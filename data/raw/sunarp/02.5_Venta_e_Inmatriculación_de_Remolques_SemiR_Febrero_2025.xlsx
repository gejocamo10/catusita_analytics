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1. Estadisticas\01. Inmatriculaciones\03. Reportes\2025\Febrero\Detallado\"/>
    </mc:Choice>
  </mc:AlternateContent>
  <xr:revisionPtr revIDLastSave="0" documentId="13_ncr:1_{B3DCDC08-A3A6-4C21-8A19-A277B5E17C92}" xr6:coauthVersionLast="47" xr6:coauthVersionMax="47" xr10:uidLastSave="{00000000-0000-0000-0000-000000000000}"/>
  <bookViews>
    <workbookView xWindow="-120" yWindow="-120" windowWidth="20730" windowHeight="11160" tabRatio="770" activeTab="1" xr2:uid="{00000000-000D-0000-FFFF-FFFF00000000}"/>
  </bookViews>
  <sheets>
    <sheet name="Portada" sheetId="22" r:id="rId1"/>
    <sheet name="RESUMEN" sheetId="2" r:id="rId2"/>
    <sheet name="Marca y mes" sheetId="3" r:id="rId3"/>
    <sheet name="Oficina Registral" sheetId="21" r:id="rId4"/>
    <sheet name="BASE" sheetId="24" r:id="rId5"/>
  </sheets>
  <definedNames>
    <definedName name="_xlnm._FilterDatabase" localSheetId="4" hidden="1">BASE!$A$1:$G$1</definedName>
    <definedName name="_xlnm._FilterDatabase" localSheetId="2" hidden="1">'Marca y mes'!$A$4:$P$4</definedName>
    <definedName name="_xlnm.Print_Area" localSheetId="1">RESUMEN!#REF!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7" i="21" l="1"/>
  <c r="P36" i="21"/>
  <c r="P35" i="21"/>
  <c r="P34" i="21"/>
  <c r="P33" i="21"/>
  <c r="P32" i="21"/>
  <c r="P31" i="21"/>
  <c r="P30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D191" i="21"/>
  <c r="E191" i="21"/>
  <c r="P50" i="21"/>
  <c r="P49" i="21"/>
  <c r="P48" i="21"/>
  <c r="P47" i="21"/>
  <c r="P46" i="21"/>
  <c r="P45" i="21"/>
  <c r="P44" i="21"/>
  <c r="P43" i="21"/>
  <c r="P42" i="21"/>
  <c r="P41" i="21"/>
  <c r="P40" i="21"/>
  <c r="P61" i="21" l="1"/>
  <c r="P60" i="21"/>
  <c r="P59" i="21"/>
  <c r="P58" i="21"/>
  <c r="P57" i="21"/>
  <c r="P56" i="21"/>
  <c r="P55" i="21"/>
  <c r="P54" i="21"/>
  <c r="P53" i="21"/>
  <c r="P52" i="21"/>
  <c r="P51" i="21"/>
  <c r="P39" i="21"/>
  <c r="P38" i="21"/>
  <c r="P8" i="21"/>
  <c r="P7" i="21"/>
  <c r="P103" i="21"/>
  <c r="P102" i="21"/>
  <c r="P101" i="21"/>
  <c r="P100" i="21"/>
  <c r="P99" i="21"/>
  <c r="P98" i="21"/>
  <c r="P97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72" i="21"/>
  <c r="P71" i="21"/>
  <c r="P70" i="21"/>
  <c r="P69" i="21"/>
  <c r="P68" i="21"/>
  <c r="P67" i="21"/>
  <c r="P66" i="21"/>
  <c r="P65" i="21"/>
  <c r="P64" i="21"/>
  <c r="P126" i="21"/>
  <c r="P125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S18" i="2"/>
  <c r="R18" i="2"/>
  <c r="S17" i="2"/>
  <c r="R17" i="2"/>
  <c r="S16" i="2"/>
  <c r="R16" i="2"/>
  <c r="S15" i="2"/>
  <c r="R15" i="2"/>
  <c r="S14" i="2"/>
  <c r="R14" i="2"/>
  <c r="S13" i="2"/>
  <c r="R13" i="2"/>
  <c r="N19" i="2"/>
  <c r="N18" i="2"/>
  <c r="N17" i="2"/>
  <c r="N16" i="2"/>
  <c r="N15" i="2"/>
  <c r="N14" i="2"/>
  <c r="N13" i="2"/>
  <c r="S5" i="2"/>
  <c r="R5" i="2"/>
  <c r="N20" i="2" l="1"/>
  <c r="Q12" i="2"/>
  <c r="P12" i="2"/>
  <c r="S12" i="2"/>
  <c r="R12" i="2"/>
  <c r="Q20" i="2"/>
  <c r="P20" i="2"/>
  <c r="B20" i="2"/>
  <c r="O15" i="2" l="1"/>
  <c r="Q6" i="2" l="1"/>
  <c r="P6" i="2"/>
  <c r="P137" i="21" l="1"/>
  <c r="P136" i="21"/>
  <c r="P135" i="21"/>
  <c r="P134" i="21"/>
  <c r="P133" i="21"/>
  <c r="P132" i="21"/>
  <c r="P131" i="21"/>
  <c r="P130" i="21"/>
  <c r="P129" i="21"/>
  <c r="P128" i="21"/>
  <c r="P127" i="21"/>
  <c r="P63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6" i="21"/>
  <c r="P155" i="21"/>
  <c r="P154" i="21"/>
  <c r="P153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N58" i="3" l="1"/>
  <c r="N57" i="3"/>
  <c r="N56" i="3"/>
  <c r="P190" i="21"/>
  <c r="P189" i="21"/>
  <c r="P188" i="21"/>
  <c r="P187" i="21"/>
  <c r="P186" i="21"/>
  <c r="P185" i="21"/>
  <c r="P184" i="21"/>
  <c r="P183" i="21"/>
  <c r="N59" i="3"/>
  <c r="N55" i="3"/>
  <c r="N54" i="3"/>
  <c r="N53" i="3"/>
  <c r="F191" i="21" l="1"/>
  <c r="G191" i="21"/>
  <c r="H191" i="21"/>
  <c r="I191" i="21"/>
  <c r="N66" i="3"/>
  <c r="N65" i="3"/>
  <c r="N64" i="3"/>
  <c r="N63" i="3"/>
  <c r="N62" i="3"/>
  <c r="N61" i="3"/>
  <c r="N71" i="3"/>
  <c r="N70" i="3"/>
  <c r="N69" i="3"/>
  <c r="N68" i="3"/>
  <c r="N67" i="3"/>
  <c r="P182" i="21"/>
  <c r="P181" i="21"/>
  <c r="P180" i="21"/>
  <c r="N78" i="3" l="1"/>
  <c r="N77" i="3"/>
  <c r="N76" i="3"/>
  <c r="N75" i="3"/>
  <c r="N74" i="3"/>
  <c r="N73" i="3"/>
  <c r="N72" i="3"/>
  <c r="N60" i="3"/>
  <c r="N52" i="3"/>
  <c r="N51" i="3"/>
  <c r="N50" i="3"/>
  <c r="N49" i="3"/>
  <c r="C20" i="2"/>
  <c r="D20" i="2"/>
  <c r="J191" i="21"/>
  <c r="K191" i="21"/>
  <c r="L191" i="21"/>
  <c r="M191" i="21"/>
  <c r="N191" i="21"/>
  <c r="O191" i="21"/>
  <c r="E20" i="2"/>
  <c r="F20" i="2"/>
  <c r="G20" i="2"/>
  <c r="H20" i="2"/>
  <c r="I20" i="2"/>
  <c r="J20" i="2"/>
  <c r="K20" i="2"/>
  <c r="L20" i="2"/>
  <c r="S20" i="2" l="1"/>
  <c r="R20" i="2"/>
  <c r="P62" i="21"/>
  <c r="N48" i="3"/>
  <c r="N47" i="3"/>
  <c r="N46" i="3"/>
  <c r="B79" i="3"/>
  <c r="C79" i="3"/>
  <c r="D79" i="3"/>
  <c r="E79" i="3"/>
  <c r="F79" i="3"/>
  <c r="G79" i="3"/>
  <c r="H79" i="3"/>
  <c r="I79" i="3"/>
  <c r="J79" i="3"/>
  <c r="K79" i="3"/>
  <c r="P2" i="21" l="1"/>
  <c r="P6" i="21"/>
  <c r="P5" i="21"/>
  <c r="P191" i="21" l="1"/>
  <c r="O2" i="3" l="1"/>
  <c r="S10" i="2" l="1"/>
  <c r="C6" i="2" l="1"/>
  <c r="S6" i="2" l="1"/>
  <c r="N5" i="3"/>
  <c r="N45" i="3"/>
  <c r="D6" i="2" l="1"/>
  <c r="E6" i="2"/>
  <c r="F6" i="2"/>
  <c r="J6" i="2" l="1"/>
  <c r="I6" i="2"/>
  <c r="H6" i="2"/>
  <c r="K6" i="2"/>
  <c r="G6" i="2"/>
  <c r="M79" i="3" l="1"/>
  <c r="L79" i="3"/>
  <c r="M20" i="2"/>
  <c r="M6" i="2" l="1"/>
  <c r="L6" i="2"/>
  <c r="B6" i="2"/>
  <c r="R6" i="2" s="1"/>
  <c r="N79" i="3"/>
  <c r="O35" i="3" l="1"/>
  <c r="O27" i="3"/>
  <c r="O19" i="3"/>
  <c r="O11" i="3"/>
  <c r="O34" i="3"/>
  <c r="O26" i="3"/>
  <c r="O18" i="3"/>
  <c r="O10" i="3"/>
  <c r="O42" i="3"/>
  <c r="O43" i="3"/>
  <c r="O30" i="3"/>
  <c r="O16" i="3"/>
  <c r="O15" i="3"/>
  <c r="O36" i="3"/>
  <c r="O12" i="3"/>
  <c r="O6" i="3"/>
  <c r="O14" i="3"/>
  <c r="O7" i="3"/>
  <c r="O39" i="3"/>
  <c r="O21" i="3"/>
  <c r="O9" i="3"/>
  <c r="O31" i="3"/>
  <c r="O29" i="3"/>
  <c r="O40" i="3"/>
  <c r="O37" i="3"/>
  <c r="O22" i="3"/>
  <c r="O17" i="3"/>
  <c r="O38" i="3"/>
  <c r="O41" i="3"/>
  <c r="O33" i="3"/>
  <c r="O13" i="3"/>
  <c r="O32" i="3"/>
  <c r="O20" i="3"/>
  <c r="O24" i="3"/>
  <c r="O25" i="3"/>
  <c r="O44" i="3"/>
  <c r="O8" i="3"/>
  <c r="O23" i="3"/>
  <c r="O28" i="3"/>
  <c r="O18" i="2"/>
  <c r="O17" i="2"/>
  <c r="O57" i="3"/>
  <c r="O58" i="3"/>
  <c r="O56" i="3"/>
  <c r="O55" i="3"/>
  <c r="O59" i="3"/>
  <c r="O53" i="3"/>
  <c r="O54" i="3"/>
  <c r="O64" i="3"/>
  <c r="O61" i="3"/>
  <c r="O63" i="3"/>
  <c r="O65" i="3"/>
  <c r="O62" i="3"/>
  <c r="O66" i="3"/>
  <c r="O68" i="3"/>
  <c r="O70" i="3"/>
  <c r="O67" i="3"/>
  <c r="O69" i="3"/>
  <c r="O71" i="3"/>
  <c r="O77" i="3"/>
  <c r="O51" i="3"/>
  <c r="O73" i="3"/>
  <c r="O78" i="3"/>
  <c r="O72" i="3"/>
  <c r="O50" i="3"/>
  <c r="O52" i="3"/>
  <c r="O49" i="3"/>
  <c r="O75" i="3"/>
  <c r="O76" i="3"/>
  <c r="O60" i="3"/>
  <c r="O74" i="3"/>
  <c r="O5" i="3"/>
  <c r="O46" i="3"/>
  <c r="O47" i="3"/>
  <c r="O48" i="3"/>
  <c r="O16" i="2"/>
  <c r="O45" i="3"/>
  <c r="O13" i="2"/>
  <c r="N5" i="2"/>
  <c r="N6" i="2" s="1"/>
  <c r="O5" i="2" s="1"/>
  <c r="O6" i="2" s="1"/>
  <c r="O14" i="2"/>
  <c r="O19" i="2"/>
  <c r="O20" i="2" l="1"/>
  <c r="O79" i="3"/>
</calcChain>
</file>

<file path=xl/sharedStrings.xml><?xml version="1.0" encoding="utf-8"?>
<sst xmlns="http://schemas.openxmlformats.org/spreadsheetml/2006/main" count="2146" uniqueCount="295">
  <si>
    <t>Total</t>
  </si>
  <si>
    <t>Cuadro 01</t>
  </si>
  <si>
    <t>Registro de Placas de Remolques y Semiremolques por Clase y mes</t>
  </si>
  <si>
    <t>CLASE</t>
  </si>
  <si>
    <t>TOTAL</t>
  </si>
  <si>
    <t>%</t>
  </si>
  <si>
    <t>REMOLQUE Y S</t>
  </si>
  <si>
    <t>Total general</t>
  </si>
  <si>
    <t>Elaboracion/Fuente :  AAP - SUNARP</t>
  </si>
  <si>
    <t>Cuadro 02</t>
  </si>
  <si>
    <t>Registro de Placas de Remolques y Semiremolques por Zona Registral y mes</t>
  </si>
  <si>
    <t>OFICINA REGISTRAL</t>
  </si>
  <si>
    <t>Cuadro 03</t>
  </si>
  <si>
    <t>Registro de Placas de Remolques y Semiremolques por Marca y mes</t>
  </si>
  <si>
    <t>MARCA</t>
  </si>
  <si>
    <t>RECONCISA</t>
  </si>
  <si>
    <t>LIMA TRAYLERS</t>
  </si>
  <si>
    <t>FAMECA</t>
  </si>
  <si>
    <t>FACTORIA J.F.C.</t>
  </si>
  <si>
    <t>FABRICACIONES ALCANTARA</t>
  </si>
  <si>
    <t>INCAPER</t>
  </si>
  <si>
    <t>FAMEDI</t>
  </si>
  <si>
    <t>GREAT DANE</t>
  </si>
  <si>
    <t>FAMECH</t>
  </si>
  <si>
    <t>ALYER</t>
  </si>
  <si>
    <t>INTECPO</t>
  </si>
  <si>
    <t>COINCA</t>
  </si>
  <si>
    <t>LIMA</t>
  </si>
  <si>
    <t>TRUJILLO</t>
  </si>
  <si>
    <t>AREQUIPA</t>
  </si>
  <si>
    <t>CHICLAYO</t>
  </si>
  <si>
    <t>HUANCAYO</t>
  </si>
  <si>
    <t>TACNA</t>
  </si>
  <si>
    <t>THE GONZALES</t>
  </si>
  <si>
    <t>RMB SATECI</t>
  </si>
  <si>
    <t>FAMEL</t>
  </si>
  <si>
    <t>INPROTECSAC</t>
  </si>
  <si>
    <t>SAKIMOTO</t>
  </si>
  <si>
    <t>FAMESERVI</t>
  </si>
  <si>
    <t>SERMECA W&amp;R</t>
  </si>
  <si>
    <t>METALTRUCK</t>
  </si>
  <si>
    <t>NACIONAL</t>
  </si>
  <si>
    <t>Cuadro 04</t>
  </si>
  <si>
    <t>Registro de Placas de Remolques y Semiremolques por Zona Registral,Marca ,modelo y mes</t>
  </si>
  <si>
    <t>OFICINA</t>
  </si>
  <si>
    <t xml:space="preserve"> MARCA</t>
  </si>
  <si>
    <t>MODELO</t>
  </si>
  <si>
    <t>STANDART</t>
  </si>
  <si>
    <t>NACIONAL STANDART</t>
  </si>
  <si>
    <t>STANDAR</t>
  </si>
  <si>
    <t>STANDARD</t>
  </si>
  <si>
    <t>ESTANDAR</t>
  </si>
  <si>
    <t>R2-ICP</t>
  </si>
  <si>
    <t>SRP-30</t>
  </si>
  <si>
    <t>AL-2007-003</t>
  </si>
  <si>
    <t>C1-FGS</t>
  </si>
  <si>
    <t>SWR-001</t>
  </si>
  <si>
    <t>ESTANDARD</t>
  </si>
  <si>
    <t>OBCAS</t>
  </si>
  <si>
    <t>METAL-TRAILER</t>
  </si>
  <si>
    <t>AML</t>
  </si>
  <si>
    <t>AML-03</t>
  </si>
  <si>
    <t>ARNOLD</t>
  </si>
  <si>
    <t>P-12R</t>
  </si>
  <si>
    <t>3RD-PLA</t>
  </si>
  <si>
    <t>ROAL</t>
  </si>
  <si>
    <t>FIA</t>
  </si>
  <si>
    <t>RAJUNSA SAC</t>
  </si>
  <si>
    <t>ACS</t>
  </si>
  <si>
    <t>ZINSAC</t>
  </si>
  <si>
    <t>INDUSTRIAS FIRME</t>
  </si>
  <si>
    <t>J Y D PROMINCO</t>
  </si>
  <si>
    <t>BARBOZA</t>
  </si>
  <si>
    <t>ALX PERU SAC</t>
  </si>
  <si>
    <t>JLC/NACIONAL</t>
  </si>
  <si>
    <t>SP03</t>
  </si>
  <si>
    <t>CAMB02FAB04/OBRM1</t>
  </si>
  <si>
    <t>PLA06FAB04/OBRM1</t>
  </si>
  <si>
    <t>TIPPLATA</t>
  </si>
  <si>
    <t>ESTÁNDAR</t>
  </si>
  <si>
    <t>FA-01-CG</t>
  </si>
  <si>
    <t>ZS-GLP03E12R</t>
  </si>
  <si>
    <t>ZS-GLP03E06R</t>
  </si>
  <si>
    <t>3S</t>
  </si>
  <si>
    <t>MELGA</t>
  </si>
  <si>
    <t>FBK BALTAZAR</t>
  </si>
  <si>
    <t>TRAVEHIC11</t>
  </si>
  <si>
    <t>UTILITY</t>
  </si>
  <si>
    <t>GSI</t>
  </si>
  <si>
    <t>SCC3</t>
  </si>
  <si>
    <t>VS2RA</t>
  </si>
  <si>
    <t>SRPLA</t>
  </si>
  <si>
    <t>RLIPA</t>
  </si>
  <si>
    <t>BLACK KUNTUR</t>
  </si>
  <si>
    <t>FLIPA / NACIONAL</t>
  </si>
  <si>
    <t>3RD-BAR</t>
  </si>
  <si>
    <t>NECH</t>
  </si>
  <si>
    <t>AL-2007-008</t>
  </si>
  <si>
    <t>R5-ACS</t>
  </si>
  <si>
    <t>IF-SRECB-3-25</t>
  </si>
  <si>
    <t>JLC</t>
  </si>
  <si>
    <t>FUR06FAB04/OBRM1</t>
  </si>
  <si>
    <t>PLA06FAB03 / OBRM1</t>
  </si>
  <si>
    <t>METAL GLOBAL FACTORY</t>
  </si>
  <si>
    <t>MRR/NACIONAL</t>
  </si>
  <si>
    <t>SRF-FMD</t>
  </si>
  <si>
    <t>3-W</t>
  </si>
  <si>
    <t>HZGROUP</t>
  </si>
  <si>
    <t>HZ1718</t>
  </si>
  <si>
    <t>MELCONSA</t>
  </si>
  <si>
    <t>RP03</t>
  </si>
  <si>
    <t>SRG 30</t>
  </si>
  <si>
    <t>GUERRA</t>
  </si>
  <si>
    <t>SR-BAR 3/12</t>
  </si>
  <si>
    <t>R1-ACS</t>
  </si>
  <si>
    <t>CUSCO</t>
  </si>
  <si>
    <t>% Part</t>
  </si>
  <si>
    <t>Febrero</t>
  </si>
  <si>
    <t>-</t>
  </si>
  <si>
    <t>L&amp;S NASSI</t>
  </si>
  <si>
    <t>CORREDOR</t>
  </si>
  <si>
    <t>FELISUR</t>
  </si>
  <si>
    <t>VOLTRAILER</t>
  </si>
  <si>
    <t>OLMEDO</t>
  </si>
  <si>
    <t>FACTORIA JC</t>
  </si>
  <si>
    <t>TRAMONTANA</t>
  </si>
  <si>
    <t>INDUBARZA</t>
  </si>
  <si>
    <t>BALLENA</t>
  </si>
  <si>
    <t>TRACUSA</t>
  </si>
  <si>
    <t>GLADIADOR</t>
  </si>
  <si>
    <t>INKA TRAYLERS S.R.L.</t>
  </si>
  <si>
    <t>ANDRES</t>
  </si>
  <si>
    <t>PERUVAC</t>
  </si>
  <si>
    <t>FABCORR</t>
  </si>
  <si>
    <t>3-B</t>
  </si>
  <si>
    <t>3-V</t>
  </si>
  <si>
    <t>3RS-VOL</t>
  </si>
  <si>
    <t>CCHM</t>
  </si>
  <si>
    <t>CISCOM06FAB04 / OBRM1</t>
  </si>
  <si>
    <t>CAMB02FAB02/OBRM1</t>
  </si>
  <si>
    <t>SEMPLAT6</t>
  </si>
  <si>
    <t>SR-PLAT 3/12</t>
  </si>
  <si>
    <t>SR-PLAT 3/6</t>
  </si>
  <si>
    <t>SRF-30</t>
  </si>
  <si>
    <t>CAMA BAJA RECTA</t>
  </si>
  <si>
    <t>C3-FGS</t>
  </si>
  <si>
    <t>C1-CLE</t>
  </si>
  <si>
    <t>C4-CLE</t>
  </si>
  <si>
    <t>OC60 NACIONAL</t>
  </si>
  <si>
    <t>CAMA BAJA</t>
  </si>
  <si>
    <t>NACIONAL ESTANDART</t>
  </si>
  <si>
    <t>IT-SRCE3</t>
  </si>
  <si>
    <t>SRPLAT</t>
  </si>
  <si>
    <t>GLM-SRP</t>
  </si>
  <si>
    <t>Var. %  Feb '25 Ene '25</t>
  </si>
  <si>
    <t>Var. %  Feb '25 vs Feb '24</t>
  </si>
  <si>
    <t>JYD PROMINCO</t>
  </si>
  <si>
    <t>IMEX</t>
  </si>
  <si>
    <t>RANDON</t>
  </si>
  <si>
    <t>AOTONG</t>
  </si>
  <si>
    <t>JEREH</t>
  </si>
  <si>
    <t>GERMANY</t>
  </si>
  <si>
    <t>JR</t>
  </si>
  <si>
    <t>MCM SOLUTIONS</t>
  </si>
  <si>
    <t>FA´SEPA FACTORIA SEÑOR DE PAMPACU</t>
  </si>
  <si>
    <t>SOLIS</t>
  </si>
  <si>
    <t>ALL AMERICA</t>
  </si>
  <si>
    <t>TELEKINESIS CSPC</t>
  </si>
  <si>
    <t>ICOGA</t>
  </si>
  <si>
    <t>HYUNDAI</t>
  </si>
  <si>
    <t>INDUSTRIAS PRIM-BALL</t>
  </si>
  <si>
    <t>RBM SATECI</t>
  </si>
  <si>
    <t>L&amp;SNASSI</t>
  </si>
  <si>
    <t>DLCM</t>
  </si>
  <si>
    <t>SB3E6R</t>
  </si>
  <si>
    <t>SP3E6R</t>
  </si>
  <si>
    <t>W-12R</t>
  </si>
  <si>
    <t>G-12R</t>
  </si>
  <si>
    <t>3RD-BOB</t>
  </si>
  <si>
    <t>2RD-FUR</t>
  </si>
  <si>
    <t>2RD-BAR</t>
  </si>
  <si>
    <t>3RD-COM</t>
  </si>
  <si>
    <t>3RD-VOL</t>
  </si>
  <si>
    <t>3RS-PLA</t>
  </si>
  <si>
    <t>SR PT AL 14.10M</t>
  </si>
  <si>
    <t>SR BA 03 25</t>
  </si>
  <si>
    <t>3-S</t>
  </si>
  <si>
    <t>SR/SD/3E</t>
  </si>
  <si>
    <t>TELEKINESIS</t>
  </si>
  <si>
    <t>BAR06FAB02-OBRM1</t>
  </si>
  <si>
    <t>CAÑ03FAB04/OBRM1</t>
  </si>
  <si>
    <t>BAR06FAB04/OBRM1</t>
  </si>
  <si>
    <t>FUR06FAB02 / OBRM1</t>
  </si>
  <si>
    <t>VOL05FAB02 OBRM1</t>
  </si>
  <si>
    <t>PLA06FAB01 / OBRM1</t>
  </si>
  <si>
    <t>BAR06FAB01/OBRM1</t>
  </si>
  <si>
    <t>CIS06FAB03/OBRM1</t>
  </si>
  <si>
    <t>PLA05FAB03/OBRE1</t>
  </si>
  <si>
    <t>RF03</t>
  </si>
  <si>
    <t>SC36</t>
  </si>
  <si>
    <t>SF36</t>
  </si>
  <si>
    <t>SFI3</t>
  </si>
  <si>
    <t>FIRME</t>
  </si>
  <si>
    <t>IF-SEM PLA-3</t>
  </si>
  <si>
    <t>CISCOM</t>
  </si>
  <si>
    <t>SR-VOLQ 3/6</t>
  </si>
  <si>
    <t>SEMVOL6</t>
  </si>
  <si>
    <t>BAR06FAB03-OBRM1</t>
  </si>
  <si>
    <t>BAR06FAB04-OBRM1</t>
  </si>
  <si>
    <t>FUR06FAB03 / OBRM1</t>
  </si>
  <si>
    <t>PLA06FAB01/OBRM1</t>
  </si>
  <si>
    <t>CIS06FAB04/OBRM1</t>
  </si>
  <si>
    <t>FUR06FAB01-OBRM1</t>
  </si>
  <si>
    <t>PLA6FAB04/OBRM1</t>
  </si>
  <si>
    <t>CISCOM06FAB03 / OBRM1</t>
  </si>
  <si>
    <t>VOL05FAB04/OBRM1</t>
  </si>
  <si>
    <t>VOL05FAB03/OBRM1</t>
  </si>
  <si>
    <t>VOL05FAB03/OBRM</t>
  </si>
  <si>
    <t>PLA06FAB04 / OBRM1</t>
  </si>
  <si>
    <t>BAR06FAB02/OBRM1</t>
  </si>
  <si>
    <t>BOM06FAB03/OBRM1</t>
  </si>
  <si>
    <t>PLA06FAB02/OBRM1</t>
  </si>
  <si>
    <t>SRPC-30</t>
  </si>
  <si>
    <t>SRCC-30</t>
  </si>
  <si>
    <t>SRFF-30</t>
  </si>
  <si>
    <t>SRTGNC-30</t>
  </si>
  <si>
    <t>R1 ACS</t>
  </si>
  <si>
    <t>R2-ACS</t>
  </si>
  <si>
    <t>C2-FGS</t>
  </si>
  <si>
    <t>C8-FGS</t>
  </si>
  <si>
    <t>AL-2007-013</t>
  </si>
  <si>
    <t>R1-ICP</t>
  </si>
  <si>
    <t>SRB-20</t>
  </si>
  <si>
    <t>SRCB-40</t>
  </si>
  <si>
    <t>LAT9400ZA</t>
  </si>
  <si>
    <t>ECM-1113-12053</t>
  </si>
  <si>
    <t>ESS-1119-12053</t>
  </si>
  <si>
    <t>CTL-1114-31053</t>
  </si>
  <si>
    <t>ETL-1114-39053</t>
  </si>
  <si>
    <t>C18-CLE</t>
  </si>
  <si>
    <t>C13-CLE</t>
  </si>
  <si>
    <t>HGJ9420GDY</t>
  </si>
  <si>
    <t>SR PT 13M 6X4 3E</t>
  </si>
  <si>
    <t>12F</t>
  </si>
  <si>
    <t>CORP.G.001</t>
  </si>
  <si>
    <t>SWR-003</t>
  </si>
  <si>
    <t>SWR-002</t>
  </si>
  <si>
    <t>SRBB-FMD</t>
  </si>
  <si>
    <t>SRV-02</t>
  </si>
  <si>
    <t>FA-02-CC</t>
  </si>
  <si>
    <t>IT-SRTCE3</t>
  </si>
  <si>
    <t>MST-VAC</t>
  </si>
  <si>
    <t>SD</t>
  </si>
  <si>
    <t>SR/PT/CS/2E</t>
  </si>
  <si>
    <t>VR2530142-AS</t>
  </si>
  <si>
    <t>TANK GLP/3E12N</t>
  </si>
  <si>
    <t>74A.317</t>
  </si>
  <si>
    <t>TRI-CONICO</t>
  </si>
  <si>
    <t>GSI-PLAT-001</t>
  </si>
  <si>
    <t>GSI-PLAT</t>
  </si>
  <si>
    <t>GSI-CC1</t>
  </si>
  <si>
    <t>SRBAR</t>
  </si>
  <si>
    <t>DEPARTAMENTO</t>
  </si>
  <si>
    <t>CARROCERIA</t>
  </si>
  <si>
    <t>CATEGORIA</t>
  </si>
  <si>
    <t>ENERO</t>
  </si>
  <si>
    <t>VOLQUETE</t>
  </si>
  <si>
    <t>O4</t>
  </si>
  <si>
    <t>BARANDA</t>
  </si>
  <si>
    <t>BOMBONA</t>
  </si>
  <si>
    <t>CISTERNA COMBUSTIBLES</t>
  </si>
  <si>
    <t>FURGON</t>
  </si>
  <si>
    <t>PLATAFORMA</t>
  </si>
  <si>
    <t>GRANELERO</t>
  </si>
  <si>
    <t>LAMBAYEQUE</t>
  </si>
  <si>
    <t>O3</t>
  </si>
  <si>
    <t>FURGON ISOTERMICO</t>
  </si>
  <si>
    <t>JUNIN</t>
  </si>
  <si>
    <t>CAÑERO</t>
  </si>
  <si>
    <t>CISTERNA</t>
  </si>
  <si>
    <t>PORTA CONTENEDOR</t>
  </si>
  <si>
    <t>TANQUE ISOTERMICO</t>
  </si>
  <si>
    <t>O2</t>
  </si>
  <si>
    <t>TANQUE CORROSIVO</t>
  </si>
  <si>
    <t>TANQUE GLP</t>
  </si>
  <si>
    <t>FURGON FRIGORIFICO</t>
  </si>
  <si>
    <t>TANQUE CRIOGENICO</t>
  </si>
  <si>
    <t>OTROS USOS ESPECIALES</t>
  </si>
  <si>
    <t>SANITARIO</t>
  </si>
  <si>
    <t>CASA RODANTE</t>
  </si>
  <si>
    <t>LA LIBERTAD</t>
  </si>
  <si>
    <t>DOLLY</t>
  </si>
  <si>
    <t>FEBRERO</t>
  </si>
  <si>
    <t>TANQUE GNC</t>
  </si>
  <si>
    <t>INSTRUCCION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</si>
</sst>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4" formatCode="_ * #,##0.00_ ;_ * \-#,##0.00_ ;_ * &quot;-&quot;??_ ;_ @_ "/>
    <numFmt numFmtId="165" formatCode="_(* #,##0.00_);_(* \(#,##0.00\);_(* &quot;-&quot;??_);_(@_)"/>
    <numFmt numFmtId="166" formatCode="_([$€]* #,##0.00_);_([$€]* \(#,##0.00\);_([$€]* &quot;-&quot;??_);_(@_)"/>
    <numFmt numFmtId="167" formatCode="_(* #,##0_);_(* \(#,##0\);_(* &quot;-&quot;??_);_(@_)"/>
    <numFmt numFmtId="168" formatCode="&quot;@ &quot;#,###&quot; rpm&quot;"/>
    <numFmt numFmtId="169" formatCode="##&quot;°&quot;"/>
    <numFmt numFmtId="170" formatCode="#,###&quot; cc&quot;"/>
    <numFmt numFmtId="171" formatCode="__@"/>
    <numFmt numFmtId="172" formatCode="_(@_)"/>
    <numFmt numFmtId="173" formatCode="0#"/>
    <numFmt numFmtId="174" formatCode="#,###&quot; Kg.&quot;"/>
    <numFmt numFmtId="175" formatCode="#,###&quot; Kg./m³&quot;"/>
    <numFmt numFmtId="176" formatCode="#,###&quot; Kg-m&quot;"/>
    <numFmt numFmtId="177" formatCode="#.00&quot; Km/gal&quot;"/>
    <numFmt numFmtId="178" formatCode="#.00&quot; Km/hr&quot;"/>
    <numFmt numFmtId="179" formatCode="#.00&quot; l/hr&quot;"/>
    <numFmt numFmtId="180" formatCode="#&quot; litros&quot;"/>
    <numFmt numFmtId="181" formatCode="#.00&quot; m&quot;"/>
    <numFmt numFmtId="182" formatCode="#.0&quot; m/m&quot;"/>
    <numFmt numFmtId="183" formatCode="#.00&quot; m²&quot;"/>
    <numFmt numFmtId="184" formatCode="#.0&quot; m³&quot;"/>
    <numFmt numFmtId="185" formatCode="###,###\ &quot;mm&quot;"/>
    <numFmt numFmtId="186" formatCode="###,###.00"/>
    <numFmt numFmtId="187" formatCode="_(&quot;US$ &quot;#,##0.00_);_(&quot;US$ &quot;\ \(#,##0.00\);_(* &quot;-&quot;_);_(@_)"/>
    <numFmt numFmtId="188" formatCode="####&quot;.&quot;##&quot;.&quot;##&quot;.&quot;##"/>
    <numFmt numFmtId="189" formatCode="##.0&quot; PS&quot;"/>
    <numFmt numFmtId="190" formatCode="##.0\ &quot;: 1&quot;"/>
    <numFmt numFmtId="191" formatCode="#,###&quot; rpm&quot;"/>
    <numFmt numFmtId="192" formatCode="_(&quot;S/. &quot;#,##0.00_);_(&quot;S/. &quot;\(#,##0.00\);_(&quot;S/. &quot;\ &quot;-&quot;??_);_(@_)"/>
    <numFmt numFmtId="193" formatCode="###\-\ ####"/>
    <numFmt numFmtId="194" formatCode="#,###&quot; Ton.&quot;"/>
    <numFmt numFmtId="195" formatCode="0.0%"/>
  </numFmts>
  <fonts count="57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2"/>
      <color indexed="8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1"/>
      <color indexed="63"/>
      <name val="Calibri"/>
      <family val="2"/>
    </font>
    <font>
      <b/>
      <sz val="11"/>
      <color indexed="49"/>
      <name val="Calibri"/>
      <family val="2"/>
    </font>
    <font>
      <sz val="11"/>
      <color indexed="54"/>
      <name val="Calibri"/>
      <family val="2"/>
    </font>
    <font>
      <i/>
      <sz val="11"/>
      <color indexed="61"/>
      <name val="Calibri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8"/>
      <color indexed="49"/>
      <name val="Cambria"/>
      <family val="2"/>
    </font>
    <font>
      <b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6"/>
      <name val="Arial"/>
      <family val="2"/>
    </font>
    <font>
      <sz val="5"/>
      <name val="Arial"/>
      <family val="2"/>
    </font>
    <font>
      <sz val="10"/>
      <name val="MS Sans Serif"/>
      <family val="2"/>
    </font>
    <font>
      <sz val="14"/>
      <color theme="0"/>
      <name val="Calibri"/>
      <family val="2"/>
    </font>
    <font>
      <b/>
      <sz val="14"/>
      <color indexed="9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4"/>
      <name val="Calibri"/>
      <family val="2"/>
    </font>
    <font>
      <sz val="12"/>
      <color indexed="8"/>
      <name val="Calibri"/>
      <family val="2"/>
    </font>
    <font>
      <b/>
      <sz val="12"/>
      <color theme="0"/>
      <name val="Calibri"/>
      <family val="2"/>
    </font>
    <font>
      <sz val="14"/>
      <color theme="0" tint="-4.9989318521683403E-2"/>
      <name val="Calibri"/>
      <family val="2"/>
    </font>
    <font>
      <b/>
      <sz val="13"/>
      <color indexed="9"/>
      <name val="Calibri"/>
      <family val="2"/>
    </font>
    <font>
      <b/>
      <sz val="12"/>
      <color indexed="9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63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/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</borders>
  <cellStyleXfs count="260">
    <xf numFmtId="0" fontId="0" fillId="0" borderId="0"/>
    <xf numFmtId="168" fontId="38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" fillId="15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16" borderId="0" applyNumberFormat="0" applyBorder="0" applyAlignment="0" applyProtection="0"/>
    <xf numFmtId="0" fontId="31" fillId="17" borderId="0" applyNumberFormat="0" applyBorder="0" applyAlignment="0" applyProtection="0"/>
    <xf numFmtId="0" fontId="4" fillId="16" borderId="0" applyNumberFormat="0" applyBorder="0" applyAlignment="0" applyProtection="0"/>
    <xf numFmtId="0" fontId="4" fillId="12" borderId="0" applyNumberFormat="0" applyBorder="0" applyAlignment="0" applyProtection="0"/>
    <xf numFmtId="0" fontId="31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31" fillId="14" borderId="0" applyNumberFormat="0" applyBorder="0" applyAlignment="0" applyProtection="0"/>
    <xf numFmtId="0" fontId="4" fillId="13" borderId="0" applyNumberFormat="0" applyBorder="0" applyAlignment="0" applyProtection="0"/>
    <xf numFmtId="0" fontId="4" fillId="18" borderId="0" applyNumberFormat="0" applyBorder="0" applyAlignment="0" applyProtection="0"/>
    <xf numFmtId="0" fontId="31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31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31" fillId="5" borderId="0" applyNumberFormat="0" applyBorder="0" applyAlignment="0" applyProtection="0"/>
    <xf numFmtId="0" fontId="4" fillId="20" borderId="0" applyNumberFormat="0" applyBorder="0" applyAlignment="0" applyProtection="0"/>
    <xf numFmtId="169" fontId="24" fillId="0" borderId="0" applyFont="0" applyFill="0" applyBorder="0" applyAlignment="0" applyProtection="0">
      <alignment horizontal="center" vertical="center"/>
    </xf>
    <xf numFmtId="169" fontId="21" fillId="0" borderId="0" applyFont="0" applyFill="0" applyBorder="0" applyAlignment="0" applyProtection="0">
      <alignment horizontal="center" vertical="center"/>
    </xf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6" fillId="11" borderId="1" applyNumberFormat="0" applyAlignment="0" applyProtection="0"/>
    <xf numFmtId="0" fontId="6" fillId="3" borderId="2" applyNumberFormat="0" applyAlignment="0" applyProtection="0"/>
    <xf numFmtId="0" fontId="6" fillId="11" borderId="1" applyNumberFormat="0" applyAlignment="0" applyProtection="0"/>
    <xf numFmtId="170" fontId="38" fillId="0" borderId="0" applyFont="0" applyFill="0" applyBorder="0" applyAlignment="0" applyProtection="0">
      <alignment horizontal="center" vertical="center"/>
    </xf>
    <xf numFmtId="0" fontId="7" fillId="21" borderId="3" applyNumberFormat="0" applyAlignment="0" applyProtection="0"/>
    <xf numFmtId="0" fontId="13" fillId="19" borderId="4" applyNumberFormat="0" applyAlignment="0" applyProtection="0"/>
    <xf numFmtId="0" fontId="7" fillId="21" borderId="3" applyNumberFormat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0" fontId="8" fillId="0" borderId="5" applyNumberFormat="0" applyFill="0" applyAlignment="0" applyProtection="0"/>
    <xf numFmtId="171" fontId="3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31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31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1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8" borderId="0" applyNumberFormat="0" applyBorder="0" applyAlignment="0" applyProtection="0"/>
    <xf numFmtId="0" fontId="31" fillId="24" borderId="0" applyNumberFormat="0" applyBorder="0" applyAlignment="0" applyProtection="0"/>
    <xf numFmtId="0" fontId="4" fillId="18" borderId="0" applyNumberFormat="0" applyBorder="0" applyAlignment="0" applyProtection="0"/>
    <xf numFmtId="0" fontId="4" fillId="17" borderId="0" applyNumberFormat="0" applyBorder="0" applyAlignment="0" applyProtection="0"/>
    <xf numFmtId="0" fontId="31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5" borderId="0" applyNumberFormat="0" applyBorder="0" applyAlignment="0" applyProtection="0"/>
    <xf numFmtId="0" fontId="31" fillId="25" borderId="0" applyNumberFormat="0" applyBorder="0" applyAlignment="0" applyProtection="0"/>
    <xf numFmtId="0" fontId="4" fillId="25" borderId="0" applyNumberFormat="0" applyBorder="0" applyAlignment="0" applyProtection="0"/>
    <xf numFmtId="0" fontId="10" fillId="5" borderId="1" applyNumberFormat="0" applyAlignment="0" applyProtection="0"/>
    <xf numFmtId="0" fontId="33" fillId="5" borderId="2" applyNumberFormat="0" applyAlignment="0" applyProtection="0"/>
    <xf numFmtId="0" fontId="10" fillId="5" borderId="1" applyNumberFormat="0" applyAlignment="0" applyProtection="0"/>
    <xf numFmtId="172" fontId="38" fillId="0" borderId="0" applyFont="0" applyFill="0" applyBorder="0" applyAlignment="0" applyProtection="0">
      <alignment vertical="center"/>
    </xf>
    <xf numFmtId="166" fontId="22" fillId="0" borderId="0" applyFont="0" applyFill="0" applyBorder="0" applyAlignment="0" applyProtection="0"/>
    <xf numFmtId="173" fontId="39" fillId="0" borderId="0" applyFont="0" applyFill="0" applyBorder="0" applyProtection="0">
      <alignment horizontal="center" vertical="center"/>
    </xf>
    <xf numFmtId="173" fontId="20" fillId="0" borderId="0" applyFont="0" applyFill="0" applyBorder="0" applyProtection="0">
      <alignment horizontal="center" vertical="center"/>
    </xf>
    <xf numFmtId="14" fontId="23" fillId="0" borderId="0" applyFont="0" applyFill="0" applyBorder="0" applyAlignment="0" applyProtection="0">
      <alignment vertical="center"/>
    </xf>
    <xf numFmtId="14" fontId="2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174" fontId="39" fillId="0" borderId="0" applyFont="0" applyFill="0" applyBorder="0" applyAlignment="0" applyProtection="0">
      <alignment horizontal="center" vertical="center"/>
    </xf>
    <xf numFmtId="174" fontId="20" fillId="0" borderId="0" applyFont="0" applyFill="0" applyBorder="0" applyAlignment="0" applyProtection="0">
      <alignment horizontal="center" vertical="center"/>
    </xf>
    <xf numFmtId="175" fontId="40" fillId="0" borderId="6" applyFont="0" applyFill="0" applyBorder="0" applyAlignment="0" applyProtection="0">
      <alignment horizontal="right" vertical="center"/>
    </xf>
    <xf numFmtId="176" fontId="39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4" fontId="39" fillId="0" borderId="0" applyFont="0" applyFill="0" applyBorder="0" applyAlignment="0" applyProtection="0"/>
    <xf numFmtId="174" fontId="20" fillId="0" borderId="0" applyFont="0" applyFill="0" applyBorder="0" applyAlignment="0" applyProtection="0"/>
    <xf numFmtId="177" fontId="39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178" fontId="39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39" fillId="0" borderId="0" applyFont="0" applyFill="0" applyBorder="0" applyProtection="0">
      <alignment horizontal="right" vertical="center"/>
    </xf>
    <xf numFmtId="179" fontId="20" fillId="0" borderId="0" applyFont="0" applyFill="0" applyBorder="0" applyProtection="0">
      <alignment horizontal="right" vertical="center"/>
    </xf>
    <xf numFmtId="180" fontId="41" fillId="0" borderId="0" applyFont="0" applyFill="0" applyBorder="0" applyAlignment="0" applyProtection="0">
      <alignment horizontal="center" vertical="center"/>
    </xf>
    <xf numFmtId="181" fontId="39" fillId="0" borderId="0" applyFont="0" applyFill="0" applyBorder="0" applyAlignment="0" applyProtection="0"/>
    <xf numFmtId="181" fontId="20" fillId="0" borderId="0" applyFont="0" applyFill="0" applyBorder="0" applyAlignment="0" applyProtection="0"/>
    <xf numFmtId="182" fontId="38" fillId="0" borderId="0" applyFont="0" applyFill="0" applyBorder="0" applyAlignment="0" applyProtection="0">
      <alignment horizontal="center" vertical="center"/>
    </xf>
    <xf numFmtId="183" fontId="39" fillId="0" borderId="0" applyFont="0" applyFill="0" applyBorder="0" applyProtection="0">
      <alignment horizontal="right" vertical="center"/>
    </xf>
    <xf numFmtId="183" fontId="20" fillId="0" borderId="0" applyFont="0" applyFill="0" applyBorder="0" applyProtection="0">
      <alignment horizontal="right" vertical="center"/>
    </xf>
    <xf numFmtId="184" fontId="39" fillId="0" borderId="0" applyFont="0" applyFill="0" applyBorder="0" applyProtection="0">
      <alignment horizontal="right" vertical="center"/>
    </xf>
    <xf numFmtId="184" fontId="20" fillId="0" borderId="0" applyFont="0" applyFill="0" applyBorder="0" applyProtection="0">
      <alignment horizontal="right" vertical="center"/>
    </xf>
    <xf numFmtId="185" fontId="39" fillId="0" borderId="0" applyFont="0" applyFill="0" applyBorder="0" applyAlignment="0" applyProtection="0">
      <alignment horizontal="left" vertical="center"/>
    </xf>
    <xf numFmtId="185" fontId="20" fillId="0" borderId="0" applyFont="0" applyFill="0" applyBorder="0" applyAlignment="0" applyProtection="0">
      <alignment horizontal="left" vertical="center"/>
    </xf>
    <xf numFmtId="165" fontId="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25" fillId="0" borderId="0" applyFont="0" applyFill="0" applyBorder="0" applyAlignment="0" applyProtection="0"/>
    <xf numFmtId="186" fontId="39" fillId="0" borderId="0" applyFont="0" applyFill="0" applyBorder="0" applyAlignment="0" applyProtection="0">
      <alignment horizontal="center" vertical="center"/>
    </xf>
    <xf numFmtId="3" fontId="39" fillId="0" borderId="0" applyFont="0" applyFill="0" applyBorder="0" applyAlignment="0" applyProtection="0">
      <alignment vertical="center"/>
    </xf>
    <xf numFmtId="3" fontId="20" fillId="0" borderId="0" applyFont="0" applyFill="0" applyBorder="0" applyAlignment="0" applyProtection="0">
      <alignment vertical="center"/>
    </xf>
    <xf numFmtId="186" fontId="20" fillId="0" borderId="0" applyFont="0" applyFill="0" applyBorder="0" applyAlignment="0" applyProtection="0">
      <alignment horizontal="center" vertical="center"/>
    </xf>
    <xf numFmtId="187" fontId="39" fillId="0" borderId="0" applyFont="0" applyFill="0" applyBorder="0" applyAlignment="0" applyProtection="0">
      <alignment vertical="center"/>
    </xf>
    <xf numFmtId="187" fontId="2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5" fillId="0" borderId="0"/>
    <xf numFmtId="0" fontId="25" fillId="0" borderId="0"/>
    <xf numFmtId="0" fontId="44" fillId="0" borderId="0"/>
    <xf numFmtId="0" fontId="25" fillId="0" borderId="0"/>
    <xf numFmtId="0" fontId="25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3" fillId="7" borderId="7" applyNumberFormat="0" applyFont="0" applyAlignment="0" applyProtection="0"/>
    <xf numFmtId="0" fontId="2" fillId="7" borderId="8" applyNumberFormat="0" applyFont="0" applyAlignment="0" applyProtection="0"/>
    <xf numFmtId="0" fontId="3" fillId="7" borderId="7" applyNumberFormat="0" applyFont="0" applyAlignment="0" applyProtection="0"/>
    <xf numFmtId="0" fontId="1" fillId="7" borderId="7" applyNumberFormat="0" applyFont="0" applyAlignment="0" applyProtection="0"/>
    <xf numFmtId="0" fontId="23" fillId="7" borderId="8" applyNumberFormat="0" applyFont="0" applyAlignment="0" applyProtection="0"/>
    <xf numFmtId="0" fontId="2" fillId="7" borderId="8" applyNumberFormat="0" applyFont="0" applyAlignment="0" applyProtection="0"/>
    <xf numFmtId="188" fontId="39" fillId="0" borderId="0" applyFont="0" applyFill="0" applyBorder="0" applyAlignment="0" applyProtection="0">
      <alignment vertical="center"/>
    </xf>
    <xf numFmtId="188" fontId="20" fillId="0" borderId="0" applyFont="0" applyFill="0" applyBorder="0" applyAlignment="0" applyProtection="0">
      <alignment vertical="center"/>
    </xf>
    <xf numFmtId="189" fontId="38" fillId="0" borderId="0" applyFont="0" applyFill="0" applyBorder="0" applyAlignment="0" applyProtection="0">
      <alignment vertical="center"/>
    </xf>
    <xf numFmtId="190" fontId="38" fillId="0" borderId="0" applyFont="0" applyFill="0" applyBorder="0" applyAlignment="0" applyProtection="0">
      <alignment vertical="center"/>
    </xf>
    <xf numFmtId="191" fontId="39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13" fillId="11" borderId="9" applyNumberFormat="0" applyAlignment="0" applyProtection="0"/>
    <xf numFmtId="0" fontId="7" fillId="3" borderId="10" applyNumberFormat="0" applyAlignment="0" applyProtection="0"/>
    <xf numFmtId="0" fontId="13" fillId="11" borderId="9" applyNumberFormat="0" applyAlignment="0" applyProtection="0"/>
    <xf numFmtId="0" fontId="42" fillId="0" borderId="0" applyNumberFormat="0" applyFill="0" applyBorder="0" applyAlignment="0" applyProtection="0">
      <alignment vertical="center"/>
    </xf>
    <xf numFmtId="192" fontId="23" fillId="0" borderId="0" applyFont="0" applyFill="0" applyBorder="0" applyProtection="0">
      <alignment horizontal="right" vertical="center"/>
    </xf>
    <xf numFmtId="192" fontId="2" fillId="0" borderId="0" applyFont="0" applyFill="0" applyBorder="0" applyProtection="0">
      <alignment horizontal="right" vertical="center"/>
    </xf>
    <xf numFmtId="49" fontId="43" fillId="0" borderId="0" applyFill="0" applyBorder="0" applyProtection="0"/>
    <xf numFmtId="49" fontId="43" fillId="0" borderId="0" applyFill="0" applyBorder="0" applyProtection="0">
      <alignment vertical="top"/>
    </xf>
    <xf numFmtId="193" fontId="24" fillId="0" borderId="0" applyFont="0" applyFill="0" applyBorder="0" applyAlignment="0" applyProtection="0">
      <alignment vertical="center"/>
    </xf>
    <xf numFmtId="193" fontId="21" fillId="0" borderId="0" applyFont="0" applyFill="0" applyBorder="0" applyAlignment="0" applyProtection="0">
      <alignment vertical="center"/>
    </xf>
    <xf numFmtId="49" fontId="39" fillId="0" borderId="0" applyFont="0" applyFill="0" applyBorder="0" applyAlignment="0" applyProtection="0">
      <alignment vertical="center"/>
    </xf>
    <xf numFmtId="49" fontId="2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8" fontId="42" fillId="0" borderId="0" applyFont="0" applyFill="0" applyBorder="0" applyAlignment="0" applyProtection="0">
      <alignment horizontal="center" vertical="center"/>
    </xf>
    <xf numFmtId="49" fontId="24" fillId="26" borderId="11" applyProtection="0">
      <alignment horizontal="center" vertical="center"/>
    </xf>
    <xf numFmtId="49" fontId="21" fillId="26" borderId="11" applyProtection="0">
      <alignment horizontal="center" vertical="center"/>
    </xf>
    <xf numFmtId="49" fontId="21" fillId="26" borderId="11" applyProtection="0">
      <alignment horizontal="center" vertical="center"/>
    </xf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35" fillId="0" borderId="13" applyNumberFormat="0" applyFill="0" applyAlignment="0" applyProtection="0"/>
    <xf numFmtId="0" fontId="17" fillId="0" borderId="12" applyNumberFormat="0" applyFill="0" applyAlignment="0" applyProtection="0"/>
    <xf numFmtId="0" fontId="18" fillId="0" borderId="14" applyNumberFormat="0" applyFill="0" applyAlignment="0" applyProtection="0"/>
    <xf numFmtId="0" fontId="36" fillId="0" borderId="14" applyNumberFormat="0" applyFill="0" applyAlignment="0" applyProtection="0"/>
    <xf numFmtId="0" fontId="18" fillId="0" borderId="14" applyNumberFormat="0" applyFill="0" applyAlignment="0" applyProtection="0"/>
    <xf numFmtId="0" fontId="9" fillId="0" borderId="15" applyNumberFormat="0" applyFill="0" applyAlignment="0" applyProtection="0"/>
    <xf numFmtId="0" fontId="32" fillId="0" borderId="16" applyNumberFormat="0" applyFill="0" applyAlignment="0" applyProtection="0"/>
    <xf numFmtId="0" fontId="9" fillId="0" borderId="15" applyNumberFormat="0" applyFill="0" applyAlignment="0" applyProtection="0"/>
    <xf numFmtId="0" fontId="3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94" fontId="39" fillId="0" borderId="17" applyFont="0" applyFill="0" applyBorder="0" applyAlignment="0" applyProtection="0">
      <alignment horizontal="center" vertical="center"/>
    </xf>
    <xf numFmtId="194" fontId="20" fillId="0" borderId="17" applyFont="0" applyFill="0" applyBorder="0" applyAlignment="0" applyProtection="0">
      <alignment horizontal="center" vertical="center"/>
    </xf>
    <xf numFmtId="0" fontId="19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8" applyNumberFormat="0" applyFill="0" applyAlignment="0" applyProtection="0"/>
    <xf numFmtId="49" fontId="38" fillId="26" borderId="11" applyFill="0" applyBorder="0" applyProtection="0">
      <alignment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23">
    <xf numFmtId="0" fontId="0" fillId="0" borderId="0" xfId="0"/>
    <xf numFmtId="0" fontId="27" fillId="27" borderId="0" xfId="0" applyFont="1" applyFill="1"/>
    <xf numFmtId="0" fontId="28" fillId="27" borderId="0" xfId="0" applyFont="1" applyFill="1"/>
    <xf numFmtId="0" fontId="29" fillId="27" borderId="0" xfId="0" applyFont="1" applyFill="1"/>
    <xf numFmtId="0" fontId="30" fillId="27" borderId="0" xfId="0" applyFont="1" applyFill="1"/>
    <xf numFmtId="3" fontId="28" fillId="27" borderId="0" xfId="0" applyNumberFormat="1" applyFont="1" applyFill="1" applyAlignment="1">
      <alignment horizontal="center"/>
    </xf>
    <xf numFmtId="3" fontId="29" fillId="27" borderId="0" xfId="0" applyNumberFormat="1" applyFont="1" applyFill="1" applyAlignment="1">
      <alignment horizontal="center"/>
    </xf>
    <xf numFmtId="3" fontId="28" fillId="27" borderId="0" xfId="176" applyNumberFormat="1" applyFont="1" applyFill="1" applyAlignment="1">
      <alignment horizontal="center"/>
    </xf>
    <xf numFmtId="167" fontId="27" fillId="27" borderId="0" xfId="176" applyNumberFormat="1" applyFont="1" applyFill="1"/>
    <xf numFmtId="0" fontId="46" fillId="29" borderId="0" xfId="255" applyFont="1" applyFill="1"/>
    <xf numFmtId="3" fontId="47" fillId="29" borderId="0" xfId="255" applyNumberFormat="1" applyFont="1" applyFill="1" applyAlignment="1">
      <alignment horizontal="center"/>
    </xf>
    <xf numFmtId="17" fontId="45" fillId="29" borderId="0" xfId="176" applyNumberFormat="1" applyFont="1" applyFill="1" applyAlignment="1">
      <alignment horizontal="center"/>
    </xf>
    <xf numFmtId="0" fontId="48" fillId="27" borderId="0" xfId="255" applyFont="1" applyFill="1"/>
    <xf numFmtId="3" fontId="47" fillId="27" borderId="0" xfId="255" applyNumberFormat="1" applyFont="1" applyFill="1" applyAlignment="1">
      <alignment horizontal="center"/>
    </xf>
    <xf numFmtId="0" fontId="47" fillId="27" borderId="0" xfId="255" applyFont="1" applyFill="1"/>
    <xf numFmtId="0" fontId="48" fillId="28" borderId="0" xfId="255" applyFont="1" applyFill="1"/>
    <xf numFmtId="3" fontId="47" fillId="31" borderId="21" xfId="176" applyNumberFormat="1" applyFont="1" applyFill="1" applyBorder="1" applyAlignment="1">
      <alignment horizontal="center"/>
    </xf>
    <xf numFmtId="3" fontId="48" fillId="28" borderId="20" xfId="255" applyNumberFormat="1" applyFont="1" applyFill="1" applyBorder="1"/>
    <xf numFmtId="165" fontId="48" fillId="28" borderId="0" xfId="176" applyFont="1" applyFill="1" applyAlignment="1">
      <alignment horizontal="center"/>
    </xf>
    <xf numFmtId="0" fontId="48" fillId="28" borderId="26" xfId="255" applyFont="1" applyFill="1" applyBorder="1"/>
    <xf numFmtId="3" fontId="48" fillId="28" borderId="26" xfId="176" applyNumberFormat="1" applyFont="1" applyFill="1" applyBorder="1" applyAlignment="1">
      <alignment horizontal="center"/>
    </xf>
    <xf numFmtId="3" fontId="48" fillId="28" borderId="26" xfId="255" applyNumberFormat="1" applyFont="1" applyFill="1" applyBorder="1" applyAlignment="1">
      <alignment horizontal="right"/>
    </xf>
    <xf numFmtId="4" fontId="48" fillId="28" borderId="26" xfId="255" applyNumberFormat="1" applyFont="1" applyFill="1" applyBorder="1" applyAlignment="1">
      <alignment horizontal="center"/>
    </xf>
    <xf numFmtId="3" fontId="47" fillId="27" borderId="0" xfId="176" applyNumberFormat="1" applyFont="1" applyFill="1" applyAlignment="1">
      <alignment horizontal="center"/>
    </xf>
    <xf numFmtId="3" fontId="48" fillId="29" borderId="0" xfId="255" applyNumberFormat="1" applyFont="1" applyFill="1" applyAlignment="1">
      <alignment horizontal="center"/>
    </xf>
    <xf numFmtId="0" fontId="48" fillId="29" borderId="0" xfId="255" applyFont="1" applyFill="1"/>
    <xf numFmtId="0" fontId="47" fillId="28" borderId="0" xfId="255" applyFont="1" applyFill="1" applyAlignment="1">
      <alignment wrapText="1"/>
    </xf>
    <xf numFmtId="3" fontId="47" fillId="31" borderId="20" xfId="176" applyNumberFormat="1" applyFont="1" applyFill="1" applyBorder="1" applyAlignment="1">
      <alignment horizontal="center"/>
    </xf>
    <xf numFmtId="3" fontId="48" fillId="28" borderId="0" xfId="176" applyNumberFormat="1" applyFont="1" applyFill="1"/>
    <xf numFmtId="4" fontId="48" fillId="28" borderId="0" xfId="176" applyNumberFormat="1" applyFont="1" applyFill="1"/>
    <xf numFmtId="3" fontId="47" fillId="31" borderId="23" xfId="176" applyNumberFormat="1" applyFont="1" applyFill="1" applyBorder="1" applyAlignment="1">
      <alignment horizontal="center"/>
    </xf>
    <xf numFmtId="0" fontId="26" fillId="27" borderId="0" xfId="257" applyFont="1" applyFill="1"/>
    <xf numFmtId="3" fontId="50" fillId="27" borderId="0" xfId="176" applyNumberFormat="1" applyFont="1" applyFill="1" applyAlignment="1">
      <alignment horizontal="center"/>
    </xf>
    <xf numFmtId="3" fontId="50" fillId="27" borderId="0" xfId="257" applyNumberFormat="1" applyFont="1" applyFill="1" applyAlignment="1">
      <alignment horizontal="center"/>
    </xf>
    <xf numFmtId="167" fontId="26" fillId="27" borderId="0" xfId="176" applyNumberFormat="1" applyFont="1" applyFill="1"/>
    <xf numFmtId="3" fontId="50" fillId="29" borderId="0" xfId="176" applyNumberFormat="1" applyFont="1" applyFill="1" applyAlignment="1">
      <alignment horizontal="center"/>
    </xf>
    <xf numFmtId="3" fontId="50" fillId="29" borderId="0" xfId="255" applyNumberFormat="1" applyFont="1" applyFill="1" applyAlignment="1">
      <alignment horizontal="center"/>
    </xf>
    <xf numFmtId="3" fontId="50" fillId="30" borderId="0" xfId="176" applyNumberFormat="1" applyFont="1" applyFill="1" applyAlignment="1">
      <alignment horizontal="center"/>
    </xf>
    <xf numFmtId="3" fontId="50" fillId="30" borderId="0" xfId="255" applyNumberFormat="1" applyFont="1" applyFill="1" applyAlignment="1">
      <alignment horizontal="center"/>
    </xf>
    <xf numFmtId="167" fontId="26" fillId="30" borderId="0" xfId="176" applyNumberFormat="1" applyFont="1" applyFill="1"/>
    <xf numFmtId="0" fontId="26" fillId="30" borderId="0" xfId="255" applyFont="1" applyFill="1"/>
    <xf numFmtId="0" fontId="26" fillId="28" borderId="25" xfId="257" applyFont="1" applyFill="1" applyBorder="1"/>
    <xf numFmtId="167" fontId="26" fillId="28" borderId="25" xfId="176" applyNumberFormat="1" applyFont="1" applyFill="1" applyBorder="1" applyAlignment="1">
      <alignment horizontal="center"/>
    </xf>
    <xf numFmtId="0" fontId="26" fillId="28" borderId="25" xfId="257" applyFont="1" applyFill="1" applyBorder="1" applyAlignment="1">
      <alignment horizontal="center"/>
    </xf>
    <xf numFmtId="3" fontId="26" fillId="28" borderId="27" xfId="257" applyNumberFormat="1" applyFont="1" applyFill="1" applyBorder="1"/>
    <xf numFmtId="3" fontId="50" fillId="31" borderId="0" xfId="176" applyNumberFormat="1" applyFont="1" applyFill="1" applyBorder="1" applyAlignment="1">
      <alignment horizontal="center"/>
    </xf>
    <xf numFmtId="167" fontId="26" fillId="28" borderId="0" xfId="176" applyNumberFormat="1" applyFont="1" applyFill="1"/>
    <xf numFmtId="2" fontId="27" fillId="28" borderId="0" xfId="0" applyNumberFormat="1" applyFont="1" applyFill="1"/>
    <xf numFmtId="3" fontId="26" fillId="28" borderId="28" xfId="257" applyNumberFormat="1" applyFont="1" applyFill="1" applyBorder="1"/>
    <xf numFmtId="0" fontId="48" fillId="28" borderId="26" xfId="257" applyFont="1" applyFill="1" applyBorder="1"/>
    <xf numFmtId="14" fontId="48" fillId="29" borderId="0" xfId="255" applyNumberFormat="1" applyFont="1" applyFill="1" applyAlignment="1">
      <alignment horizontal="center"/>
    </xf>
    <xf numFmtId="3" fontId="47" fillId="31" borderId="0" xfId="176" applyNumberFormat="1" applyFont="1" applyFill="1" applyBorder="1" applyAlignment="1">
      <alignment horizontal="center"/>
    </xf>
    <xf numFmtId="3" fontId="45" fillId="29" borderId="0" xfId="176" applyNumberFormat="1" applyFont="1" applyFill="1" applyAlignment="1">
      <alignment horizontal="center"/>
    </xf>
    <xf numFmtId="17" fontId="51" fillId="29" borderId="0" xfId="176" applyNumberFormat="1" applyFont="1" applyFill="1"/>
    <xf numFmtId="0" fontId="48" fillId="28" borderId="30" xfId="255" applyFont="1" applyFill="1" applyBorder="1"/>
    <xf numFmtId="3" fontId="48" fillId="28" borderId="25" xfId="176" applyNumberFormat="1" applyFont="1" applyFill="1" applyBorder="1" applyAlignment="1">
      <alignment horizontal="center"/>
    </xf>
    <xf numFmtId="167" fontId="48" fillId="28" borderId="25" xfId="176" applyNumberFormat="1" applyFont="1" applyFill="1" applyBorder="1" applyAlignment="1">
      <alignment horizontal="center"/>
    </xf>
    <xf numFmtId="165" fontId="48" fillId="28" borderId="29" xfId="176" applyFont="1" applyFill="1" applyBorder="1" applyAlignment="1">
      <alignment horizontal="center"/>
    </xf>
    <xf numFmtId="3" fontId="47" fillId="31" borderId="22" xfId="176" applyNumberFormat="1" applyFont="1" applyFill="1" applyBorder="1" applyAlignment="1">
      <alignment horizontal="center"/>
    </xf>
    <xf numFmtId="3" fontId="47" fillId="31" borderId="17" xfId="176" applyNumberFormat="1" applyFont="1" applyFill="1" applyBorder="1" applyAlignment="1">
      <alignment horizontal="center"/>
    </xf>
    <xf numFmtId="3" fontId="50" fillId="31" borderId="21" xfId="176" applyNumberFormat="1" applyFont="1" applyFill="1" applyBorder="1" applyAlignment="1">
      <alignment horizontal="center"/>
    </xf>
    <xf numFmtId="17" fontId="52" fillId="29" borderId="0" xfId="255" applyNumberFormat="1" applyFont="1" applyFill="1"/>
    <xf numFmtId="17" fontId="52" fillId="29" borderId="0" xfId="255" applyNumberFormat="1" applyFont="1" applyFill="1" applyAlignment="1">
      <alignment horizontal="right"/>
    </xf>
    <xf numFmtId="0" fontId="51" fillId="29" borderId="0" xfId="255" applyFont="1" applyFill="1" applyAlignment="1">
      <alignment horizontal="right"/>
    </xf>
    <xf numFmtId="0" fontId="52" fillId="29" borderId="0" xfId="255" quotePrefix="1" applyFont="1" applyFill="1" applyAlignment="1">
      <alignment horizontal="right"/>
    </xf>
    <xf numFmtId="0" fontId="21" fillId="27" borderId="0" xfId="195" applyFont="1" applyFill="1"/>
    <xf numFmtId="0" fontId="19" fillId="27" borderId="0" xfId="258" applyFont="1" applyFill="1" applyAlignment="1">
      <alignment horizontal="left"/>
    </xf>
    <xf numFmtId="0" fontId="1" fillId="27" borderId="0" xfId="258" applyFill="1" applyAlignment="1">
      <alignment horizontal="left"/>
    </xf>
    <xf numFmtId="3" fontId="1" fillId="27" borderId="0" xfId="176" applyNumberFormat="1" applyFont="1" applyFill="1" applyAlignment="1">
      <alignment horizontal="center"/>
    </xf>
    <xf numFmtId="3" fontId="1" fillId="27" borderId="0" xfId="258" applyNumberFormat="1" applyFill="1" applyAlignment="1">
      <alignment horizontal="center"/>
    </xf>
    <xf numFmtId="0" fontId="19" fillId="27" borderId="0" xfId="258" applyFont="1" applyFill="1" applyAlignment="1">
      <alignment horizontal="right"/>
    </xf>
    <xf numFmtId="0" fontId="2" fillId="27" borderId="0" xfId="195" applyFill="1"/>
    <xf numFmtId="0" fontId="7" fillId="29" borderId="0" xfId="255" applyFont="1" applyFill="1" applyAlignment="1">
      <alignment horizontal="left"/>
    </xf>
    <xf numFmtId="0" fontId="1" fillId="29" borderId="0" xfId="255" applyFill="1" applyAlignment="1">
      <alignment horizontal="left"/>
    </xf>
    <xf numFmtId="3" fontId="1" fillId="29" borderId="0" xfId="176" applyNumberFormat="1" applyFont="1" applyFill="1" applyAlignment="1">
      <alignment horizontal="center"/>
    </xf>
    <xf numFmtId="3" fontId="1" fillId="29" borderId="0" xfId="255" applyNumberFormat="1" applyFill="1" applyAlignment="1">
      <alignment horizontal="center"/>
    </xf>
    <xf numFmtId="17" fontId="7" fillId="29" borderId="0" xfId="255" applyNumberFormat="1" applyFont="1" applyFill="1" applyAlignment="1">
      <alignment horizontal="right"/>
    </xf>
    <xf numFmtId="0" fontId="53" fillId="30" borderId="0" xfId="255" applyFont="1" applyFill="1" applyAlignment="1">
      <alignment horizontal="left"/>
    </xf>
    <xf numFmtId="0" fontId="1" fillId="30" borderId="0" xfId="255" applyFill="1" applyAlignment="1">
      <alignment horizontal="left"/>
    </xf>
    <xf numFmtId="3" fontId="1" fillId="30" borderId="0" xfId="176" applyNumberFormat="1" applyFont="1" applyFill="1" applyAlignment="1">
      <alignment horizontal="center"/>
    </xf>
    <xf numFmtId="3" fontId="1" fillId="30" borderId="0" xfId="255" applyNumberFormat="1" applyFill="1" applyAlignment="1">
      <alignment horizontal="center"/>
    </xf>
    <xf numFmtId="3" fontId="7" fillId="30" borderId="0" xfId="255" applyNumberFormat="1" applyFont="1" applyFill="1" applyAlignment="1">
      <alignment horizontal="center"/>
    </xf>
    <xf numFmtId="0" fontId="7" fillId="30" borderId="0" xfId="255" applyFont="1" applyFill="1" applyAlignment="1">
      <alignment horizontal="right"/>
    </xf>
    <xf numFmtId="0" fontId="19" fillId="32" borderId="25" xfId="258" applyFont="1" applyFill="1" applyBorder="1" applyAlignment="1">
      <alignment horizontal="left"/>
    </xf>
    <xf numFmtId="0" fontId="19" fillId="28" borderId="25" xfId="258" applyFont="1" applyFill="1" applyBorder="1" applyAlignment="1">
      <alignment horizontal="right"/>
    </xf>
    <xf numFmtId="0" fontId="0" fillId="32" borderId="20" xfId="0" applyFill="1" applyBorder="1"/>
    <xf numFmtId="0" fontId="0" fillId="32" borderId="27" xfId="0" applyFill="1" applyBorder="1"/>
    <xf numFmtId="0" fontId="0" fillId="33" borderId="11" xfId="0" applyFill="1" applyBorder="1" applyAlignment="1">
      <alignment horizontal="center"/>
    </xf>
    <xf numFmtId="0" fontId="19" fillId="28" borderId="29" xfId="258" applyFont="1" applyFill="1" applyBorder="1" applyAlignment="1">
      <alignment horizontal="right"/>
    </xf>
    <xf numFmtId="0" fontId="0" fillId="32" borderId="23" xfId="0" applyFill="1" applyBorder="1"/>
    <xf numFmtId="0" fontId="0" fillId="32" borderId="24" xfId="0" applyFill="1" applyBorder="1"/>
    <xf numFmtId="0" fontId="0" fillId="32" borderId="30" xfId="0" applyFill="1" applyBorder="1"/>
    <xf numFmtId="0" fontId="21" fillId="32" borderId="32" xfId="195" applyFont="1" applyFill="1" applyBorder="1" applyAlignment="1">
      <alignment horizontal="left"/>
    </xf>
    <xf numFmtId="0" fontId="21" fillId="32" borderId="33" xfId="195" applyFont="1" applyFill="1" applyBorder="1" applyAlignment="1">
      <alignment horizontal="left"/>
    </xf>
    <xf numFmtId="0" fontId="21" fillId="32" borderId="34" xfId="195" applyFont="1" applyFill="1" applyBorder="1" applyAlignment="1">
      <alignment horizontal="left"/>
    </xf>
    <xf numFmtId="3" fontId="21" fillId="32" borderId="11" xfId="195" applyNumberFormat="1" applyFont="1" applyFill="1" applyBorder="1" applyAlignment="1">
      <alignment horizontal="center"/>
    </xf>
    <xf numFmtId="0" fontId="21" fillId="27" borderId="0" xfId="195" applyFont="1" applyFill="1" applyAlignment="1">
      <alignment horizontal="left"/>
    </xf>
    <xf numFmtId="0" fontId="2" fillId="27" borderId="0" xfId="195" applyFill="1" applyAlignment="1">
      <alignment horizontal="left"/>
    </xf>
    <xf numFmtId="3" fontId="0" fillId="27" borderId="0" xfId="176" applyNumberFormat="1" applyFont="1" applyFill="1" applyAlignment="1">
      <alignment horizontal="center"/>
    </xf>
    <xf numFmtId="3" fontId="2" fillId="27" borderId="0" xfId="195" applyNumberFormat="1" applyFill="1" applyAlignment="1">
      <alignment horizontal="center"/>
    </xf>
    <xf numFmtId="0" fontId="21" fillId="27" borderId="0" xfId="195" applyFont="1" applyFill="1" applyAlignment="1">
      <alignment horizontal="right"/>
    </xf>
    <xf numFmtId="0" fontId="0" fillId="32" borderId="27" xfId="0" applyFill="1" applyBorder="1" applyAlignment="1">
      <alignment horizontal="center"/>
    </xf>
    <xf numFmtId="0" fontId="0" fillId="32" borderId="11" xfId="0" applyFill="1" applyBorder="1" applyAlignment="1">
      <alignment horizontal="center"/>
    </xf>
    <xf numFmtId="0" fontId="0" fillId="32" borderId="31" xfId="0" applyFill="1" applyBorder="1" applyAlignment="1">
      <alignment horizontal="center"/>
    </xf>
    <xf numFmtId="0" fontId="0" fillId="32" borderId="28" xfId="0" applyFill="1" applyBorder="1" applyAlignment="1">
      <alignment horizontal="center"/>
    </xf>
    <xf numFmtId="0" fontId="0" fillId="32" borderId="6" xfId="0" applyFill="1" applyBorder="1"/>
    <xf numFmtId="17" fontId="26" fillId="28" borderId="25" xfId="256" applyNumberFormat="1" applyFont="1" applyFill="1" applyBorder="1" applyAlignment="1">
      <alignment horizontal="center" vertical="center"/>
    </xf>
    <xf numFmtId="17" fontId="26" fillId="28" borderId="29" xfId="256" applyNumberFormat="1" applyFont="1" applyFill="1" applyBorder="1" applyAlignment="1">
      <alignment horizontal="center" vertical="center" wrapText="1"/>
    </xf>
    <xf numFmtId="0" fontId="49" fillId="28" borderId="25" xfId="255" applyFont="1" applyFill="1" applyBorder="1" applyAlignment="1">
      <alignment horizontal="center" vertical="center"/>
    </xf>
    <xf numFmtId="195" fontId="48" fillId="32" borderId="22" xfId="259" applyNumberFormat="1" applyFont="1" applyFill="1" applyBorder="1" applyAlignment="1">
      <alignment horizontal="center"/>
    </xf>
    <xf numFmtId="0" fontId="48" fillId="28" borderId="25" xfId="255" applyFont="1" applyFill="1" applyBorder="1" applyAlignment="1">
      <alignment vertical="center"/>
    </xf>
    <xf numFmtId="195" fontId="48" fillId="28" borderId="26" xfId="259" applyNumberFormat="1" applyFont="1" applyFill="1" applyBorder="1" applyAlignment="1">
      <alignment horizontal="center"/>
    </xf>
    <xf numFmtId="195" fontId="48" fillId="32" borderId="17" xfId="259" applyNumberFormat="1" applyFont="1" applyFill="1" applyBorder="1" applyAlignment="1">
      <alignment horizontal="center"/>
    </xf>
    <xf numFmtId="0" fontId="48" fillId="28" borderId="25" xfId="255" applyFont="1" applyFill="1" applyBorder="1" applyAlignment="1">
      <alignment horizontal="center" vertical="center"/>
    </xf>
    <xf numFmtId="0" fontId="54" fillId="30" borderId="0" xfId="255" applyFont="1" applyFill="1"/>
    <xf numFmtId="0" fontId="46" fillId="30" borderId="6" xfId="255" applyFont="1" applyFill="1" applyBorder="1" applyAlignment="1">
      <alignment horizontal="left"/>
    </xf>
    <xf numFmtId="0" fontId="46" fillId="30" borderId="6" xfId="255" applyFont="1" applyFill="1" applyBorder="1" applyAlignment="1">
      <alignment horizontal="center"/>
    </xf>
    <xf numFmtId="0" fontId="55" fillId="34" borderId="0" xfId="195" applyFont="1" applyFill="1" applyAlignment="1">
      <alignment horizontal="center" vertical="center" wrapText="1"/>
    </xf>
    <xf numFmtId="0" fontId="56" fillId="34" borderId="0" xfId="195" applyFont="1" applyFill="1" applyAlignment="1">
      <alignment horizontal="center" vertical="center" wrapText="1"/>
    </xf>
    <xf numFmtId="0" fontId="55" fillId="35" borderId="0" xfId="195" applyFont="1" applyFill="1" applyAlignment="1">
      <alignment horizontal="center" vertical="center" wrapText="1"/>
    </xf>
    <xf numFmtId="0" fontId="2" fillId="36" borderId="0" xfId="195" applyFill="1" applyAlignment="1">
      <alignment horizontal="center" vertical="center" wrapText="1"/>
    </xf>
    <xf numFmtId="0" fontId="2" fillId="36" borderId="0" xfId="195" applyFill="1"/>
    <xf numFmtId="0" fontId="2" fillId="36" borderId="0" xfId="195" applyFill="1" applyAlignment="1">
      <alignment horizontal="center"/>
    </xf>
  </cellXfs>
  <cellStyles count="260">
    <cellStyle name="@ .....rpm" xfId="1" xr:uid="{00000000-0005-0000-0000-000000000000}"/>
    <cellStyle name="20% - Énfasis1" xfId="2" builtinId="30" customBuiltin="1"/>
    <cellStyle name="20% - Énfasis1 2" xfId="3" xr:uid="{00000000-0005-0000-0000-000002000000}"/>
    <cellStyle name="20% - Énfasis1 2 2" xfId="4" xr:uid="{00000000-0005-0000-0000-000003000000}"/>
    <cellStyle name="20% - Énfasis1 2 2 2" xfId="5" xr:uid="{00000000-0005-0000-0000-000004000000}"/>
    <cellStyle name="20% - Énfasis1 2 2_INDICE" xfId="6" xr:uid="{00000000-0005-0000-0000-000005000000}"/>
    <cellStyle name="20% - Énfasis1 2 3" xfId="7" xr:uid="{00000000-0005-0000-0000-000006000000}"/>
    <cellStyle name="20% - Énfasis1 2_Autom" xfId="8" xr:uid="{00000000-0005-0000-0000-000007000000}"/>
    <cellStyle name="20% - Énfasis2" xfId="9" builtinId="34" customBuiltin="1"/>
    <cellStyle name="20% - Énfasis2 2" xfId="10" xr:uid="{00000000-0005-0000-0000-000009000000}"/>
    <cellStyle name="20% - Énfasis2 2 2" xfId="11" xr:uid="{00000000-0005-0000-0000-00000A000000}"/>
    <cellStyle name="20% - Énfasis2 2 2 2" xfId="12" xr:uid="{00000000-0005-0000-0000-00000B000000}"/>
    <cellStyle name="20% - Énfasis2 2 2_INDICE" xfId="13" xr:uid="{00000000-0005-0000-0000-00000C000000}"/>
    <cellStyle name="20% - Énfasis2 2 3" xfId="14" xr:uid="{00000000-0005-0000-0000-00000D000000}"/>
    <cellStyle name="20% - Énfasis2 2_Autom" xfId="15" xr:uid="{00000000-0005-0000-0000-00000E000000}"/>
    <cellStyle name="20% - Énfasis3" xfId="16" builtinId="38" customBuiltin="1"/>
    <cellStyle name="20% - Énfasis3 2" xfId="17" xr:uid="{00000000-0005-0000-0000-000010000000}"/>
    <cellStyle name="20% - Énfasis3 2 2" xfId="18" xr:uid="{00000000-0005-0000-0000-000011000000}"/>
    <cellStyle name="20% - Énfasis3 2 2 2" xfId="19" xr:uid="{00000000-0005-0000-0000-000012000000}"/>
    <cellStyle name="20% - Énfasis3 2 2_INDICE" xfId="20" xr:uid="{00000000-0005-0000-0000-000013000000}"/>
    <cellStyle name="20% - Énfasis3 2 3" xfId="21" xr:uid="{00000000-0005-0000-0000-000014000000}"/>
    <cellStyle name="20% - Énfasis3 2_Autom" xfId="22" xr:uid="{00000000-0005-0000-0000-000015000000}"/>
    <cellStyle name="20% - Énfasis4" xfId="23" builtinId="42" customBuiltin="1"/>
    <cellStyle name="20% - Énfasis4 2" xfId="24" xr:uid="{00000000-0005-0000-0000-000017000000}"/>
    <cellStyle name="20% - Énfasis4 2 2" xfId="25" xr:uid="{00000000-0005-0000-0000-000018000000}"/>
    <cellStyle name="20% - Énfasis4 2 2 2" xfId="26" xr:uid="{00000000-0005-0000-0000-000019000000}"/>
    <cellStyle name="20% - Énfasis4 2 2_INDICE" xfId="27" xr:uid="{00000000-0005-0000-0000-00001A000000}"/>
    <cellStyle name="20% - Énfasis4 2 3" xfId="28" xr:uid="{00000000-0005-0000-0000-00001B000000}"/>
    <cellStyle name="20% - Énfasis4 2_Autom" xfId="29" xr:uid="{00000000-0005-0000-0000-00001C000000}"/>
    <cellStyle name="20% - Énfasis5" xfId="30" builtinId="46" customBuiltin="1"/>
    <cellStyle name="20% - Énfasis5 2" xfId="31" xr:uid="{00000000-0005-0000-0000-00001E000000}"/>
    <cellStyle name="20% - Énfasis5 2 2" xfId="32" xr:uid="{00000000-0005-0000-0000-00001F000000}"/>
    <cellStyle name="20% - Énfasis5 2 2 2" xfId="33" xr:uid="{00000000-0005-0000-0000-000020000000}"/>
    <cellStyle name="20% - Énfasis5 2 2_INDICE" xfId="34" xr:uid="{00000000-0005-0000-0000-000021000000}"/>
    <cellStyle name="20% - Énfasis5 2 3" xfId="35" xr:uid="{00000000-0005-0000-0000-000022000000}"/>
    <cellStyle name="20% - Énfasis5 2_Autom" xfId="36" xr:uid="{00000000-0005-0000-0000-000023000000}"/>
    <cellStyle name="20% - Énfasis6" xfId="37" builtinId="50" customBuiltin="1"/>
    <cellStyle name="20% - Énfasis6 2" xfId="38" xr:uid="{00000000-0005-0000-0000-000025000000}"/>
    <cellStyle name="20% - Énfasis6 2 2" xfId="39" xr:uid="{00000000-0005-0000-0000-000026000000}"/>
    <cellStyle name="20% - Énfasis6 2 2 2" xfId="40" xr:uid="{00000000-0005-0000-0000-000027000000}"/>
    <cellStyle name="20% - Énfasis6 2 2_INDICE" xfId="41" xr:uid="{00000000-0005-0000-0000-000028000000}"/>
    <cellStyle name="20% - Énfasis6 2 3" xfId="42" xr:uid="{00000000-0005-0000-0000-000029000000}"/>
    <cellStyle name="20% - Énfasis6 2_Autom" xfId="43" xr:uid="{00000000-0005-0000-0000-00002A000000}"/>
    <cellStyle name="40% - Énfasis1" xfId="44" builtinId="31" customBuiltin="1"/>
    <cellStyle name="40% - Énfasis1 2" xfId="45" xr:uid="{00000000-0005-0000-0000-00002C000000}"/>
    <cellStyle name="40% - Énfasis1 2 2" xfId="46" xr:uid="{00000000-0005-0000-0000-00002D000000}"/>
    <cellStyle name="40% - Énfasis1 2 2 2" xfId="47" xr:uid="{00000000-0005-0000-0000-00002E000000}"/>
    <cellStyle name="40% - Énfasis1 2 2_INDICE" xfId="48" xr:uid="{00000000-0005-0000-0000-00002F000000}"/>
    <cellStyle name="40% - Énfasis1 2 3" xfId="49" xr:uid="{00000000-0005-0000-0000-000030000000}"/>
    <cellStyle name="40% - Énfasis1 2_Autom" xfId="50" xr:uid="{00000000-0005-0000-0000-000031000000}"/>
    <cellStyle name="40% - Énfasis2" xfId="51" builtinId="35" customBuiltin="1"/>
    <cellStyle name="40% - Énfasis2 2" xfId="52" xr:uid="{00000000-0005-0000-0000-000033000000}"/>
    <cellStyle name="40% - Énfasis2 2 2" xfId="53" xr:uid="{00000000-0005-0000-0000-000034000000}"/>
    <cellStyle name="40% - Énfasis2 2 2 2" xfId="54" xr:uid="{00000000-0005-0000-0000-000035000000}"/>
    <cellStyle name="40% - Énfasis2 2 2_INDICE" xfId="55" xr:uid="{00000000-0005-0000-0000-000036000000}"/>
    <cellStyle name="40% - Énfasis2 2 3" xfId="56" xr:uid="{00000000-0005-0000-0000-000037000000}"/>
    <cellStyle name="40% - Énfasis2 2_Autom" xfId="57" xr:uid="{00000000-0005-0000-0000-000038000000}"/>
    <cellStyle name="40% - Énfasis3" xfId="58" builtinId="39" customBuiltin="1"/>
    <cellStyle name="40% - Énfasis3 2" xfId="59" xr:uid="{00000000-0005-0000-0000-00003A000000}"/>
    <cellStyle name="40% - Énfasis3 2 2" xfId="60" xr:uid="{00000000-0005-0000-0000-00003B000000}"/>
    <cellStyle name="40% - Énfasis3 2 2 2" xfId="61" xr:uid="{00000000-0005-0000-0000-00003C000000}"/>
    <cellStyle name="40% - Énfasis3 2 2_INDICE" xfId="62" xr:uid="{00000000-0005-0000-0000-00003D000000}"/>
    <cellStyle name="40% - Énfasis3 2 3" xfId="63" xr:uid="{00000000-0005-0000-0000-00003E000000}"/>
    <cellStyle name="40% - Énfasis3 2_Autom" xfId="64" xr:uid="{00000000-0005-0000-0000-00003F000000}"/>
    <cellStyle name="40% - Énfasis4" xfId="65" builtinId="43" customBuiltin="1"/>
    <cellStyle name="40% - Énfasis4 2" xfId="66" xr:uid="{00000000-0005-0000-0000-000041000000}"/>
    <cellStyle name="40% - Énfasis4 2 2" xfId="67" xr:uid="{00000000-0005-0000-0000-000042000000}"/>
    <cellStyle name="40% - Énfasis4 2 2 2" xfId="68" xr:uid="{00000000-0005-0000-0000-000043000000}"/>
    <cellStyle name="40% - Énfasis4 2 2_INDICE" xfId="69" xr:uid="{00000000-0005-0000-0000-000044000000}"/>
    <cellStyle name="40% - Énfasis4 2 3" xfId="70" xr:uid="{00000000-0005-0000-0000-000045000000}"/>
    <cellStyle name="40% - Énfasis4 2_Autom" xfId="71" xr:uid="{00000000-0005-0000-0000-000046000000}"/>
    <cellStyle name="40% - Énfasis5" xfId="72" builtinId="47" customBuiltin="1"/>
    <cellStyle name="40% - Énfasis5 2" xfId="73" xr:uid="{00000000-0005-0000-0000-000048000000}"/>
    <cellStyle name="40% - Énfasis5 2 2" xfId="74" xr:uid="{00000000-0005-0000-0000-000049000000}"/>
    <cellStyle name="40% - Énfasis5 2 2 2" xfId="75" xr:uid="{00000000-0005-0000-0000-00004A000000}"/>
    <cellStyle name="40% - Énfasis5 2 2_INDICE" xfId="76" xr:uid="{00000000-0005-0000-0000-00004B000000}"/>
    <cellStyle name="40% - Énfasis5 2 3" xfId="77" xr:uid="{00000000-0005-0000-0000-00004C000000}"/>
    <cellStyle name="40% - Énfasis5 2_Autom" xfId="78" xr:uid="{00000000-0005-0000-0000-00004D000000}"/>
    <cellStyle name="40% - Énfasis6" xfId="79" builtinId="51" customBuiltin="1"/>
    <cellStyle name="40% - Énfasis6 2" xfId="80" xr:uid="{00000000-0005-0000-0000-00004F000000}"/>
    <cellStyle name="40% - Énfasis6 2 2" xfId="81" xr:uid="{00000000-0005-0000-0000-000050000000}"/>
    <cellStyle name="40% - Énfasis6 2 2 2" xfId="82" xr:uid="{00000000-0005-0000-0000-000051000000}"/>
    <cellStyle name="40% - Énfasis6 2 2_INDICE" xfId="83" xr:uid="{00000000-0005-0000-0000-000052000000}"/>
    <cellStyle name="40% - Énfasis6 2 3" xfId="84" xr:uid="{00000000-0005-0000-0000-000053000000}"/>
    <cellStyle name="40% - Énfasis6 2_Autom" xfId="85" xr:uid="{00000000-0005-0000-0000-000054000000}"/>
    <cellStyle name="60% - Énfasis1" xfId="86" builtinId="32" customBuiltin="1"/>
    <cellStyle name="60% - Énfasis1 2" xfId="87" xr:uid="{00000000-0005-0000-0000-000056000000}"/>
    <cellStyle name="60% - Énfasis1 2 2" xfId="88" xr:uid="{00000000-0005-0000-0000-000057000000}"/>
    <cellStyle name="60% - Énfasis2" xfId="89" builtinId="36" customBuiltin="1"/>
    <cellStyle name="60% - Énfasis2 2" xfId="90" xr:uid="{00000000-0005-0000-0000-000059000000}"/>
    <cellStyle name="60% - Énfasis2 2 2" xfId="91" xr:uid="{00000000-0005-0000-0000-00005A000000}"/>
    <cellStyle name="60% - Énfasis3" xfId="92" builtinId="40" customBuiltin="1"/>
    <cellStyle name="60% - Énfasis3 2" xfId="93" xr:uid="{00000000-0005-0000-0000-00005C000000}"/>
    <cellStyle name="60% - Énfasis3 2 2" xfId="94" xr:uid="{00000000-0005-0000-0000-00005D000000}"/>
    <cellStyle name="60% - Énfasis4" xfId="95" builtinId="44" customBuiltin="1"/>
    <cellStyle name="60% - Énfasis4 2" xfId="96" xr:uid="{00000000-0005-0000-0000-00005F000000}"/>
    <cellStyle name="60% - Énfasis4 2 2" xfId="97" xr:uid="{00000000-0005-0000-0000-000060000000}"/>
    <cellStyle name="60% - Énfasis5" xfId="98" builtinId="48" customBuiltin="1"/>
    <cellStyle name="60% - Énfasis5 2" xfId="99" xr:uid="{00000000-0005-0000-0000-000062000000}"/>
    <cellStyle name="60% - Énfasis5 2 2" xfId="100" xr:uid="{00000000-0005-0000-0000-000063000000}"/>
    <cellStyle name="60% - Énfasis6" xfId="101" builtinId="52" customBuiltin="1"/>
    <cellStyle name="60% - Énfasis6 2" xfId="102" xr:uid="{00000000-0005-0000-0000-000065000000}"/>
    <cellStyle name="60% - Énfasis6 2 2" xfId="103" xr:uid="{00000000-0005-0000-0000-000066000000}"/>
    <cellStyle name="Angulo" xfId="104" xr:uid="{00000000-0005-0000-0000-000067000000}"/>
    <cellStyle name="Angulo 2" xfId="105" xr:uid="{00000000-0005-0000-0000-000068000000}"/>
    <cellStyle name="Buena 2" xfId="107" xr:uid="{00000000-0005-0000-0000-00006A000000}"/>
    <cellStyle name="Buena 2 2" xfId="108" xr:uid="{00000000-0005-0000-0000-00006B000000}"/>
    <cellStyle name="Bueno" xfId="106" builtinId="26" customBuiltin="1"/>
    <cellStyle name="Cálculo" xfId="109" builtinId="22" customBuiltin="1"/>
    <cellStyle name="Cálculo 2" xfId="110" xr:uid="{00000000-0005-0000-0000-00006D000000}"/>
    <cellStyle name="Cálculo 2 2" xfId="111" xr:uid="{00000000-0005-0000-0000-00006E000000}"/>
    <cellStyle name="cc" xfId="112" xr:uid="{00000000-0005-0000-0000-00006F000000}"/>
    <cellStyle name="Celda de comprobación" xfId="113" builtinId="23" customBuiltin="1"/>
    <cellStyle name="Celda de comprobación 2" xfId="114" xr:uid="{00000000-0005-0000-0000-000071000000}"/>
    <cellStyle name="Celda de comprobación 2 2" xfId="115" xr:uid="{00000000-0005-0000-0000-000072000000}"/>
    <cellStyle name="Celda vinculada" xfId="116" builtinId="24" customBuiltin="1"/>
    <cellStyle name="Celda vinculada 2" xfId="117" xr:uid="{00000000-0005-0000-0000-000074000000}"/>
    <cellStyle name="Celda vinculada 2 2" xfId="118" xr:uid="{00000000-0005-0000-0000-000075000000}"/>
    <cellStyle name="DobleEspacio" xfId="119" xr:uid="{00000000-0005-0000-0000-000076000000}"/>
    <cellStyle name="Encabezado 1" xfId="238" builtinId="16" customBuiltin="1"/>
    <cellStyle name="Encabezado 4" xfId="120" builtinId="19" customBuiltin="1"/>
    <cellStyle name="Encabezado 4 2" xfId="121" xr:uid="{00000000-0005-0000-0000-000078000000}"/>
    <cellStyle name="Encabezado 4 2 2" xfId="122" xr:uid="{00000000-0005-0000-0000-000079000000}"/>
    <cellStyle name="Énfasis1" xfId="123" builtinId="29" customBuiltin="1"/>
    <cellStyle name="Énfasis1 2" xfId="124" xr:uid="{00000000-0005-0000-0000-00007B000000}"/>
    <cellStyle name="Énfasis1 2 2" xfId="125" xr:uid="{00000000-0005-0000-0000-00007C000000}"/>
    <cellStyle name="Énfasis2" xfId="126" builtinId="33" customBuiltin="1"/>
    <cellStyle name="Énfasis2 2" xfId="127" xr:uid="{00000000-0005-0000-0000-00007E000000}"/>
    <cellStyle name="Énfasis2 2 2" xfId="128" xr:uid="{00000000-0005-0000-0000-00007F000000}"/>
    <cellStyle name="Énfasis3" xfId="129" builtinId="37" customBuiltin="1"/>
    <cellStyle name="Énfasis3 2" xfId="130" xr:uid="{00000000-0005-0000-0000-000081000000}"/>
    <cellStyle name="Énfasis3 2 2" xfId="131" xr:uid="{00000000-0005-0000-0000-000082000000}"/>
    <cellStyle name="Énfasis4" xfId="132" builtinId="41" customBuiltin="1"/>
    <cellStyle name="Énfasis4 2" xfId="133" xr:uid="{00000000-0005-0000-0000-000084000000}"/>
    <cellStyle name="Énfasis4 2 2" xfId="134" xr:uid="{00000000-0005-0000-0000-000085000000}"/>
    <cellStyle name="Énfasis5" xfId="135" builtinId="45" customBuiltin="1"/>
    <cellStyle name="Énfasis5 2" xfId="136" xr:uid="{00000000-0005-0000-0000-000087000000}"/>
    <cellStyle name="Énfasis5 2 2" xfId="137" xr:uid="{00000000-0005-0000-0000-000088000000}"/>
    <cellStyle name="Énfasis6" xfId="138" builtinId="49" customBuiltin="1"/>
    <cellStyle name="Énfasis6 2" xfId="139" xr:uid="{00000000-0005-0000-0000-00008A000000}"/>
    <cellStyle name="Énfasis6 2 2" xfId="140" xr:uid="{00000000-0005-0000-0000-00008B000000}"/>
    <cellStyle name="Entrada" xfId="141" builtinId="20" customBuiltin="1"/>
    <cellStyle name="Entrada 2" xfId="142" xr:uid="{00000000-0005-0000-0000-00008D000000}"/>
    <cellStyle name="Entrada 2 2" xfId="143" xr:uid="{00000000-0005-0000-0000-00008E000000}"/>
    <cellStyle name="Espacio" xfId="144" xr:uid="{00000000-0005-0000-0000-00008F000000}"/>
    <cellStyle name="Euro" xfId="145" xr:uid="{00000000-0005-0000-0000-000090000000}"/>
    <cellStyle name="Evaluación" xfId="146" xr:uid="{00000000-0005-0000-0000-000091000000}"/>
    <cellStyle name="Evaluación 2" xfId="147" xr:uid="{00000000-0005-0000-0000-000092000000}"/>
    <cellStyle name="Fecha" xfId="148" xr:uid="{00000000-0005-0000-0000-000093000000}"/>
    <cellStyle name="Fecha 2" xfId="149" xr:uid="{00000000-0005-0000-0000-000094000000}"/>
    <cellStyle name="Incorrecto" xfId="150" builtinId="27" customBuiltin="1"/>
    <cellStyle name="Incorrecto 2" xfId="151" xr:uid="{00000000-0005-0000-0000-000096000000}"/>
    <cellStyle name="Incorrecto 2 2" xfId="152" xr:uid="{00000000-0005-0000-0000-000097000000}"/>
    <cellStyle name="Kg." xfId="153" xr:uid="{00000000-0005-0000-0000-000098000000}"/>
    <cellStyle name="Kg. 2" xfId="154" xr:uid="{00000000-0005-0000-0000-000099000000}"/>
    <cellStyle name="Kg./m³" xfId="155" xr:uid="{00000000-0005-0000-0000-00009A000000}"/>
    <cellStyle name="Kg-m" xfId="156" xr:uid="{00000000-0005-0000-0000-00009B000000}"/>
    <cellStyle name="Kg-m 2" xfId="157" xr:uid="{00000000-0005-0000-0000-00009C000000}"/>
    <cellStyle name="Kilos" xfId="158" xr:uid="{00000000-0005-0000-0000-00009D000000}"/>
    <cellStyle name="Kilos 2" xfId="159" xr:uid="{00000000-0005-0000-0000-00009E000000}"/>
    <cellStyle name="Km/gal" xfId="160" xr:uid="{00000000-0005-0000-0000-00009F000000}"/>
    <cellStyle name="Km/gal 2" xfId="161" xr:uid="{00000000-0005-0000-0000-0000A0000000}"/>
    <cellStyle name="Km/hr" xfId="162" xr:uid="{00000000-0005-0000-0000-0000A1000000}"/>
    <cellStyle name="Km/hr 2" xfId="163" xr:uid="{00000000-0005-0000-0000-0000A2000000}"/>
    <cellStyle name="l/hr" xfId="164" xr:uid="{00000000-0005-0000-0000-0000A3000000}"/>
    <cellStyle name="l/hr 2" xfId="165" xr:uid="{00000000-0005-0000-0000-0000A4000000}"/>
    <cellStyle name="Litros" xfId="166" xr:uid="{00000000-0005-0000-0000-0000A5000000}"/>
    <cellStyle name="m" xfId="167" xr:uid="{00000000-0005-0000-0000-0000A6000000}"/>
    <cellStyle name="m 2" xfId="168" xr:uid="{00000000-0005-0000-0000-0000A7000000}"/>
    <cellStyle name="m/m" xfId="169" xr:uid="{00000000-0005-0000-0000-0000A8000000}"/>
    <cellStyle name="m²" xfId="170" xr:uid="{00000000-0005-0000-0000-0000A9000000}"/>
    <cellStyle name="m² 2" xfId="171" xr:uid="{00000000-0005-0000-0000-0000AA000000}"/>
    <cellStyle name="m³" xfId="172" xr:uid="{00000000-0005-0000-0000-0000AB000000}"/>
    <cellStyle name="m³ 2" xfId="173" xr:uid="{00000000-0005-0000-0000-0000AC000000}"/>
    <cellStyle name="Milimetros" xfId="174" xr:uid="{00000000-0005-0000-0000-0000AD000000}"/>
    <cellStyle name="Milimetros 2" xfId="175" xr:uid="{00000000-0005-0000-0000-0000AE000000}"/>
    <cellStyle name="Millares" xfId="176" builtinId="3"/>
    <cellStyle name="Millares 2 2" xfId="177" xr:uid="{00000000-0005-0000-0000-0000B0000000}"/>
    <cellStyle name="Millares 2 2 2" xfId="178" xr:uid="{00000000-0005-0000-0000-0000B1000000}"/>
    <cellStyle name="Millares 2 2 2 2" xfId="179" xr:uid="{00000000-0005-0000-0000-0000B2000000}"/>
    <cellStyle name="Millones" xfId="180" xr:uid="{00000000-0005-0000-0000-0000B3000000}"/>
    <cellStyle name="Millones (0)" xfId="181" xr:uid="{00000000-0005-0000-0000-0000B4000000}"/>
    <cellStyle name="Millones (0) 2" xfId="182" xr:uid="{00000000-0005-0000-0000-0000B5000000}"/>
    <cellStyle name="Millones 2" xfId="183" xr:uid="{00000000-0005-0000-0000-0000B6000000}"/>
    <cellStyle name="Moneda centrado" xfId="184" xr:uid="{00000000-0005-0000-0000-0000B7000000}"/>
    <cellStyle name="Moneda centrado 2" xfId="185" xr:uid="{00000000-0005-0000-0000-0000B8000000}"/>
    <cellStyle name="Neutral" xfId="186" builtinId="28" customBuiltin="1"/>
    <cellStyle name="Neutral 2" xfId="187" xr:uid="{00000000-0005-0000-0000-0000BA000000}"/>
    <cellStyle name="Neutral 2 2" xfId="188" xr:uid="{00000000-0005-0000-0000-0000BB000000}"/>
    <cellStyle name="Normal" xfId="0" builtinId="0"/>
    <cellStyle name="Normal 2" xfId="189" xr:uid="{00000000-0005-0000-0000-0000BD000000}"/>
    <cellStyle name="Normal 2 2" xfId="190" xr:uid="{00000000-0005-0000-0000-0000BE000000}"/>
    <cellStyle name="Normal 2 2 2" xfId="191" xr:uid="{00000000-0005-0000-0000-0000BF000000}"/>
    <cellStyle name="Normal 2 2 2 2" xfId="192" xr:uid="{00000000-0005-0000-0000-0000C0000000}"/>
    <cellStyle name="Normal 2 2 2_INDICE" xfId="193" xr:uid="{00000000-0005-0000-0000-0000C1000000}"/>
    <cellStyle name="Normal 2 3" xfId="194" xr:uid="{00000000-0005-0000-0000-0000C2000000}"/>
    <cellStyle name="Normal 2 3 2" xfId="195" xr:uid="{00000000-0005-0000-0000-0000C3000000}"/>
    <cellStyle name="Normal 2 3_INDICE" xfId="196" xr:uid="{00000000-0005-0000-0000-0000C4000000}"/>
    <cellStyle name="Normal 2_1" xfId="197" xr:uid="{00000000-0005-0000-0000-0000C5000000}"/>
    <cellStyle name="Normal 3" xfId="198" xr:uid="{00000000-0005-0000-0000-0000C6000000}"/>
    <cellStyle name="Normal 3 2" xfId="199" xr:uid="{00000000-0005-0000-0000-0000C7000000}"/>
    <cellStyle name="Normal 3_INDICE" xfId="200" xr:uid="{00000000-0005-0000-0000-0000C8000000}"/>
    <cellStyle name="Normal 4" xfId="201" xr:uid="{00000000-0005-0000-0000-0000C9000000}"/>
    <cellStyle name="Normal 5" xfId="202" xr:uid="{00000000-0005-0000-0000-0000CA000000}"/>
    <cellStyle name="Normal_Hoja1 2" xfId="256" xr:uid="{00000000-0005-0000-0000-0000CB000000}"/>
    <cellStyle name="Normal_Hoja2 2" xfId="255" xr:uid="{00000000-0005-0000-0000-0000CC000000}"/>
    <cellStyle name="Normal_Hoja3" xfId="257" xr:uid="{00000000-0005-0000-0000-0000CD000000}"/>
    <cellStyle name="Normal_Hoja6" xfId="258" xr:uid="{992E27E4-D8DC-47E4-ADCA-18955A023300}"/>
    <cellStyle name="Notas" xfId="203" builtinId="10" customBuiltin="1"/>
    <cellStyle name="Notas 2" xfId="204" xr:uid="{00000000-0005-0000-0000-0000D1000000}"/>
    <cellStyle name="Notas 2 2" xfId="205" xr:uid="{00000000-0005-0000-0000-0000D2000000}"/>
    <cellStyle name="Notas 2 2 2" xfId="206" xr:uid="{00000000-0005-0000-0000-0000D3000000}"/>
    <cellStyle name="Notas 2 3" xfId="207" xr:uid="{00000000-0005-0000-0000-0000D4000000}"/>
    <cellStyle name="Notas 2 3 2" xfId="208" xr:uid="{00000000-0005-0000-0000-0000D5000000}"/>
    <cellStyle name="Partida" xfId="209" xr:uid="{00000000-0005-0000-0000-0000D6000000}"/>
    <cellStyle name="Partida 2" xfId="210" xr:uid="{00000000-0005-0000-0000-0000D7000000}"/>
    <cellStyle name="Porcentual 2" xfId="259" xr:uid="{97EDF159-4483-4B74-825A-9FD9AFC5DAAE}"/>
    <cellStyle name="PS" xfId="211" xr:uid="{00000000-0005-0000-0000-0000D8000000}"/>
    <cellStyle name="Relación" xfId="212" xr:uid="{00000000-0005-0000-0000-0000D9000000}"/>
    <cellStyle name="rpm" xfId="213" xr:uid="{00000000-0005-0000-0000-0000DA000000}"/>
    <cellStyle name="rpm 2" xfId="214" xr:uid="{00000000-0005-0000-0000-0000DB000000}"/>
    <cellStyle name="Salida" xfId="215" builtinId="21" customBuiltin="1"/>
    <cellStyle name="Salida 2" xfId="216" xr:uid="{00000000-0005-0000-0000-0000DD000000}"/>
    <cellStyle name="Salida 2 2" xfId="217" xr:uid="{00000000-0005-0000-0000-0000DE000000}"/>
    <cellStyle name="Small 6" xfId="218" xr:uid="{00000000-0005-0000-0000-0000DF000000}"/>
    <cellStyle name="Soles" xfId="219" xr:uid="{00000000-0005-0000-0000-0000E0000000}"/>
    <cellStyle name="Soles 2" xfId="220" xr:uid="{00000000-0005-0000-0000-0000E1000000}"/>
    <cellStyle name="Subscript" xfId="221" xr:uid="{00000000-0005-0000-0000-0000E2000000}"/>
    <cellStyle name="Superscript" xfId="222" xr:uid="{00000000-0005-0000-0000-0000E3000000}"/>
    <cellStyle name="Teléfono" xfId="223" xr:uid="{00000000-0005-0000-0000-0000E4000000}"/>
    <cellStyle name="Teléfono 2" xfId="224" xr:uid="{00000000-0005-0000-0000-0000E5000000}"/>
    <cellStyle name="Text" xfId="225" xr:uid="{00000000-0005-0000-0000-0000E6000000}"/>
    <cellStyle name="Text 2" xfId="226" xr:uid="{00000000-0005-0000-0000-0000E7000000}"/>
    <cellStyle name="Texto de advertencia" xfId="227" builtinId="11" customBuiltin="1"/>
    <cellStyle name="Texto de advertencia 2" xfId="228" xr:uid="{00000000-0005-0000-0000-0000E9000000}"/>
    <cellStyle name="Texto de advertencia 2 2" xfId="229" xr:uid="{00000000-0005-0000-0000-0000EA000000}"/>
    <cellStyle name="Texto explicativo" xfId="230" builtinId="53" customBuiltin="1"/>
    <cellStyle name="Texto explicativo 2" xfId="231" xr:uid="{00000000-0005-0000-0000-0000EC000000}"/>
    <cellStyle name="Texto explicativo 2 2" xfId="232" xr:uid="{00000000-0005-0000-0000-0000ED000000}"/>
    <cellStyle name="Time" xfId="233" xr:uid="{00000000-0005-0000-0000-0000EE000000}"/>
    <cellStyle name="Title 10" xfId="234" xr:uid="{00000000-0005-0000-0000-0000EF000000}"/>
    <cellStyle name="Title 10 2" xfId="235" xr:uid="{00000000-0005-0000-0000-0000F0000000}"/>
    <cellStyle name="Title 10_INDICE" xfId="236" xr:uid="{00000000-0005-0000-0000-0000F1000000}"/>
    <cellStyle name="Título" xfId="237" builtinId="15" customBuiltin="1"/>
    <cellStyle name="Título 1 2" xfId="239" xr:uid="{00000000-0005-0000-0000-0000F4000000}"/>
    <cellStyle name="Título 1 2 2" xfId="240" xr:uid="{00000000-0005-0000-0000-0000F5000000}"/>
    <cellStyle name="Título 2" xfId="241" builtinId="17" customBuiltin="1"/>
    <cellStyle name="Título 2 2" xfId="242" xr:uid="{00000000-0005-0000-0000-0000F7000000}"/>
    <cellStyle name="Título 2 2 2" xfId="243" xr:uid="{00000000-0005-0000-0000-0000F8000000}"/>
    <cellStyle name="Título 3" xfId="244" builtinId="18" customBuiltin="1"/>
    <cellStyle name="Título 3 2" xfId="245" xr:uid="{00000000-0005-0000-0000-0000FA000000}"/>
    <cellStyle name="Título 3 2 2" xfId="246" xr:uid="{00000000-0005-0000-0000-0000FB000000}"/>
    <cellStyle name="Título 4" xfId="247" xr:uid="{00000000-0005-0000-0000-0000FC000000}"/>
    <cellStyle name="Título 4 2" xfId="248" xr:uid="{00000000-0005-0000-0000-0000FD000000}"/>
    <cellStyle name="Ton" xfId="249" xr:uid="{00000000-0005-0000-0000-0000FE000000}"/>
    <cellStyle name="Ton 2" xfId="250" xr:uid="{00000000-0005-0000-0000-0000FF000000}"/>
    <cellStyle name="Total" xfId="251" builtinId="25" customBuiltin="1"/>
    <cellStyle name="Total 2" xfId="252" xr:uid="{00000000-0005-0000-0000-000001010000}"/>
    <cellStyle name="Total 2 2" xfId="253" xr:uid="{00000000-0005-0000-0000-000002010000}"/>
    <cellStyle name="Wrap Text 8" xfId="254" xr:uid="{00000000-0005-0000-0000-000003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5C82D8B-0728-4F73-BB1B-F68F4B50DDBC}">
      <tableStyleElement type="wholeTable" dxfId="1"/>
      <tableStyleElement type="headerRow" dxfId="0"/>
    </tableStyle>
  </tableStyles>
  <colors>
    <mruColors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480436</xdr:colOff>
      <xdr:row>35</xdr:row>
      <xdr:rowOff>8974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8B9C0A-BEA0-4A45-F174-FB3D4255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38436" cy="5723974"/>
        </a:xfrm>
        <a:prstGeom prst="rect">
          <a:avLst/>
        </a:prstGeom>
      </xdr:spPr>
    </xdr:pic>
    <xdr:clientData/>
  </xdr:twoCellAnchor>
  <xdr:oneCellAnchor>
    <xdr:from>
      <xdr:col>6</xdr:col>
      <xdr:colOff>625929</xdr:colOff>
      <xdr:row>10</xdr:row>
      <xdr:rowOff>0</xdr:rowOff>
    </xdr:from>
    <xdr:ext cx="1736437" cy="405432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AB8211B-4DAE-2E5E-BED0-4E257BE765A2}"/>
            </a:ext>
          </a:extLst>
        </xdr:cNvPr>
        <xdr:cNvSpPr txBox="1"/>
      </xdr:nvSpPr>
      <xdr:spPr>
        <a:xfrm>
          <a:off x="5197929" y="1632857"/>
          <a:ext cx="173643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000" b="1">
              <a:solidFill>
                <a:schemeClr val="tx2">
                  <a:lumMod val="75000"/>
                </a:schemeClr>
              </a:solidFill>
            </a:rPr>
            <a:t>FEBRERO 2025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9CA1-4074-450C-B546-C61453F86261}">
  <dimension ref="A1"/>
  <sheetViews>
    <sheetView showGridLines="0" zoomScale="70" zoomScaleNormal="70" workbookViewId="0">
      <selection activeCell="K12" sqref="K12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S21"/>
  <sheetViews>
    <sheetView tabSelected="1" zoomScale="80" zoomScaleNormal="80" workbookViewId="0">
      <selection activeCell="S13" sqref="S13"/>
    </sheetView>
  </sheetViews>
  <sheetFormatPr baseColWidth="10" defaultColWidth="11.42578125" defaultRowHeight="18" outlineLevelCol="1" x14ac:dyDescent="0.25"/>
  <cols>
    <col min="1" max="1" width="27.42578125" style="4" customWidth="1"/>
    <col min="2" max="2" width="17.28515625" style="6" customWidth="1"/>
    <col min="3" max="3" width="12" style="6" customWidth="1"/>
    <col min="4" max="8" width="12" style="6" hidden="1" customWidth="1" outlineLevel="1"/>
    <col min="9" max="10" width="9.28515625" style="6" hidden="1" customWidth="1" outlineLevel="1"/>
    <col min="11" max="12" width="11.5703125" style="6" hidden="1" customWidth="1" outlineLevel="1"/>
    <col min="13" max="13" width="12.7109375" style="6" hidden="1" customWidth="1" outlineLevel="1"/>
    <col min="14" max="14" width="10.42578125" style="3" customWidth="1" collapsed="1"/>
    <col min="15" max="15" width="17.42578125" style="3" customWidth="1"/>
    <col min="16" max="17" width="11.42578125" style="3"/>
    <col min="18" max="18" width="16" style="3" customWidth="1"/>
    <col min="19" max="19" width="15" style="3" customWidth="1"/>
    <col min="20" max="16384" width="11.42578125" style="3"/>
  </cols>
  <sheetData>
    <row r="2" spans="1:19" ht="18.75" x14ac:dyDescent="0.3">
      <c r="A2" s="9" t="s">
        <v>1</v>
      </c>
      <c r="B2" s="11"/>
      <c r="C2" s="10"/>
      <c r="D2" s="10"/>
      <c r="E2" s="10"/>
      <c r="F2" s="11"/>
      <c r="G2" s="11"/>
      <c r="H2" s="11"/>
      <c r="I2" s="11"/>
      <c r="J2" s="11"/>
      <c r="K2" s="11"/>
      <c r="L2" s="52"/>
      <c r="M2" s="52"/>
      <c r="N2" s="61"/>
      <c r="O2" s="64"/>
      <c r="P2" s="64"/>
      <c r="Q2" s="64"/>
      <c r="R2" s="64"/>
      <c r="S2" s="64" t="s">
        <v>117</v>
      </c>
    </row>
    <row r="3" spans="1:19" ht="18.75" x14ac:dyDescent="0.3">
      <c r="A3" s="115" t="s">
        <v>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</row>
    <row r="4" spans="1:19" ht="30" customHeight="1" x14ac:dyDescent="0.25">
      <c r="A4" s="108" t="s">
        <v>3</v>
      </c>
      <c r="B4" s="106">
        <v>45658</v>
      </c>
      <c r="C4" s="106">
        <v>45689</v>
      </c>
      <c r="D4" s="106">
        <v>45717</v>
      </c>
      <c r="E4" s="106">
        <v>45748</v>
      </c>
      <c r="F4" s="106">
        <v>45778</v>
      </c>
      <c r="G4" s="106">
        <v>45809</v>
      </c>
      <c r="H4" s="106">
        <v>45839</v>
      </c>
      <c r="I4" s="106">
        <v>45870</v>
      </c>
      <c r="J4" s="106">
        <v>45901</v>
      </c>
      <c r="K4" s="106">
        <v>45931</v>
      </c>
      <c r="L4" s="106">
        <v>45962</v>
      </c>
      <c r="M4" s="106">
        <v>45992</v>
      </c>
      <c r="N4" s="108" t="s">
        <v>4</v>
      </c>
      <c r="O4" s="108" t="s">
        <v>5</v>
      </c>
      <c r="P4" s="106">
        <v>44958</v>
      </c>
      <c r="Q4" s="106">
        <v>45323</v>
      </c>
      <c r="R4" s="107" t="s">
        <v>154</v>
      </c>
      <c r="S4" s="107" t="s">
        <v>155</v>
      </c>
    </row>
    <row r="5" spans="1:19" ht="18.75" x14ac:dyDescent="0.3">
      <c r="A5" s="15" t="s">
        <v>6</v>
      </c>
      <c r="B5" s="16">
        <v>552</v>
      </c>
      <c r="C5" s="16">
        <v>553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7">
        <f>SUM(B5:M5)</f>
        <v>1105</v>
      </c>
      <c r="O5" s="18">
        <f>+N5*100/$N$6</f>
        <v>100</v>
      </c>
      <c r="P5" s="16">
        <v>373</v>
      </c>
      <c r="Q5" s="16">
        <v>504</v>
      </c>
      <c r="R5" s="109">
        <f>(C5/B5)-1</f>
        <v>1.8115942028984477E-3</v>
      </c>
      <c r="S5" s="109">
        <f>(C5/Q5)-1</f>
        <v>9.7222222222222321E-2</v>
      </c>
    </row>
    <row r="6" spans="1:19" s="4" customFormat="1" ht="19.5" thickBot="1" x14ac:dyDescent="0.35">
      <c r="A6" s="19" t="s">
        <v>7</v>
      </c>
      <c r="B6" s="20">
        <f t="shared" ref="B6:O6" si="0">SUM(B5:B5)</f>
        <v>552</v>
      </c>
      <c r="C6" s="20">
        <f t="shared" ref="C6" si="1">SUM(C5:C5)</f>
        <v>553</v>
      </c>
      <c r="D6" s="20">
        <f t="shared" ref="D6:M6" si="2">SUM(D5:D5)</f>
        <v>0</v>
      </c>
      <c r="E6" s="20">
        <f t="shared" si="2"/>
        <v>0</v>
      </c>
      <c r="F6" s="20">
        <f t="shared" si="2"/>
        <v>0</v>
      </c>
      <c r="G6" s="20">
        <f t="shared" si="2"/>
        <v>0</v>
      </c>
      <c r="H6" s="20">
        <f t="shared" si="2"/>
        <v>0</v>
      </c>
      <c r="I6" s="20">
        <f t="shared" si="2"/>
        <v>0</v>
      </c>
      <c r="J6" s="20">
        <f t="shared" si="2"/>
        <v>0</v>
      </c>
      <c r="K6" s="20">
        <f t="shared" si="2"/>
        <v>0</v>
      </c>
      <c r="L6" s="20">
        <f t="shared" si="2"/>
        <v>0</v>
      </c>
      <c r="M6" s="20">
        <f t="shared" si="2"/>
        <v>0</v>
      </c>
      <c r="N6" s="21">
        <f t="shared" si="0"/>
        <v>1105</v>
      </c>
      <c r="O6" s="22">
        <f t="shared" si="0"/>
        <v>100</v>
      </c>
      <c r="P6" s="20">
        <f t="shared" ref="P6:Q6" si="3">SUM(P5:P5)</f>
        <v>373</v>
      </c>
      <c r="Q6" s="20">
        <f t="shared" si="3"/>
        <v>504</v>
      </c>
      <c r="R6" s="111">
        <f>(C6/B6)-1</f>
        <v>1.8115942028984477E-3</v>
      </c>
      <c r="S6" s="111">
        <f>(C6/Q6)-1</f>
        <v>9.7222222222222321E-2</v>
      </c>
    </row>
    <row r="7" spans="1:19" ht="19.5" thickTop="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23"/>
      <c r="N7" s="14"/>
    </row>
    <row r="8" spans="1:19" ht="18.75" x14ac:dyDescent="0.3">
      <c r="A8" s="12" t="s">
        <v>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23"/>
      <c r="N8" s="14"/>
    </row>
    <row r="9" spans="1:19" ht="18.75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23"/>
      <c r="N9" s="14"/>
    </row>
    <row r="10" spans="1:19" s="4" customFormat="1" ht="18.75" x14ac:dyDescent="0.3">
      <c r="A10" s="9" t="s">
        <v>9</v>
      </c>
      <c r="B10" s="24"/>
      <c r="C10" s="24"/>
      <c r="D10" s="24"/>
      <c r="E10" s="50"/>
      <c r="F10" s="24"/>
      <c r="G10" s="24"/>
      <c r="H10" s="24"/>
      <c r="I10" s="24"/>
      <c r="J10" s="24"/>
      <c r="K10" s="24"/>
      <c r="L10" s="24"/>
      <c r="M10" s="52"/>
      <c r="N10" s="25"/>
      <c r="O10" s="62"/>
      <c r="P10" s="62"/>
      <c r="Q10" s="62"/>
      <c r="R10" s="62"/>
      <c r="S10" s="62" t="str">
        <f>S2</f>
        <v>Febrero</v>
      </c>
    </row>
    <row r="11" spans="1:19" s="4" customFormat="1" ht="18.75" x14ac:dyDescent="0.3">
      <c r="A11" s="116" t="s">
        <v>10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</row>
    <row r="12" spans="1:19" s="4" customFormat="1" ht="31.5" x14ac:dyDescent="0.25">
      <c r="A12" s="110" t="s">
        <v>11</v>
      </c>
      <c r="B12" s="106">
        <v>45658</v>
      </c>
      <c r="C12" s="106">
        <v>45689</v>
      </c>
      <c r="D12" s="106">
        <v>45717</v>
      </c>
      <c r="E12" s="106">
        <v>45748</v>
      </c>
      <c r="F12" s="106">
        <v>45778</v>
      </c>
      <c r="G12" s="106">
        <v>45809</v>
      </c>
      <c r="H12" s="106">
        <v>45839</v>
      </c>
      <c r="I12" s="106">
        <v>45870</v>
      </c>
      <c r="J12" s="106">
        <v>45901</v>
      </c>
      <c r="K12" s="106">
        <v>45931</v>
      </c>
      <c r="L12" s="106">
        <v>45962</v>
      </c>
      <c r="M12" s="106">
        <v>45992</v>
      </c>
      <c r="N12" s="110" t="s">
        <v>4</v>
      </c>
      <c r="O12" s="113" t="s">
        <v>116</v>
      </c>
      <c r="P12" s="106">
        <f>P4</f>
        <v>44958</v>
      </c>
      <c r="Q12" s="106">
        <f>Q4</f>
        <v>45323</v>
      </c>
      <c r="R12" s="107" t="str">
        <f>R4</f>
        <v>Var. %  Feb '25 Ene '25</v>
      </c>
      <c r="S12" s="107" t="str">
        <f>S4</f>
        <v>Var. %  Feb '25 vs Feb '24</v>
      </c>
    </row>
    <row r="13" spans="1:19" ht="18.75" x14ac:dyDescent="0.3">
      <c r="A13" s="26" t="s">
        <v>27</v>
      </c>
      <c r="B13" s="27">
        <v>325</v>
      </c>
      <c r="C13" s="16">
        <v>328</v>
      </c>
      <c r="D13" s="16"/>
      <c r="E13" s="16"/>
      <c r="F13" s="16"/>
      <c r="G13" s="16"/>
      <c r="H13" s="16"/>
      <c r="I13" s="16"/>
      <c r="J13" s="16"/>
      <c r="K13" s="16"/>
      <c r="L13" s="16"/>
      <c r="M13" s="58"/>
      <c r="N13" s="28">
        <f>SUM(B13:M13)</f>
        <v>653</v>
      </c>
      <c r="O13" s="29">
        <f t="shared" ref="O13:O19" si="4">+N13*100/$N$20</f>
        <v>59.095022624434392</v>
      </c>
      <c r="P13" s="27">
        <v>231</v>
      </c>
      <c r="Q13" s="16">
        <v>329</v>
      </c>
      <c r="R13" s="109">
        <f t="shared" ref="R13:R20" si="5">(C13/B13)-1</f>
        <v>9.2307692307691536E-3</v>
      </c>
      <c r="S13" s="109">
        <f t="shared" ref="S13:S20" si="6">(C13/Q13)-1</f>
        <v>-3.0395136778115228E-3</v>
      </c>
    </row>
    <row r="14" spans="1:19" ht="18.75" x14ac:dyDescent="0.3">
      <c r="A14" s="26" t="s">
        <v>28</v>
      </c>
      <c r="B14" s="30">
        <v>94</v>
      </c>
      <c r="C14" s="51">
        <v>109</v>
      </c>
      <c r="D14" s="51"/>
      <c r="E14" s="51"/>
      <c r="F14" s="51"/>
      <c r="G14" s="51"/>
      <c r="H14" s="51"/>
      <c r="I14" s="51"/>
      <c r="J14" s="51"/>
      <c r="K14" s="51"/>
      <c r="L14" s="51"/>
      <c r="M14" s="59"/>
      <c r="N14" s="28">
        <f t="shared" ref="N14:N19" si="7">SUM(B14:M14)</f>
        <v>203</v>
      </c>
      <c r="O14" s="29">
        <f t="shared" si="4"/>
        <v>18.371040723981899</v>
      </c>
      <c r="P14" s="30">
        <v>77</v>
      </c>
      <c r="Q14" s="51">
        <v>92</v>
      </c>
      <c r="R14" s="112">
        <f t="shared" si="5"/>
        <v>0.15957446808510634</v>
      </c>
      <c r="S14" s="112">
        <f t="shared" si="6"/>
        <v>0.18478260869565211</v>
      </c>
    </row>
    <row r="15" spans="1:19" ht="18.75" x14ac:dyDescent="0.3">
      <c r="A15" s="26" t="s">
        <v>29</v>
      </c>
      <c r="B15" s="30">
        <v>97</v>
      </c>
      <c r="C15" s="51">
        <v>92</v>
      </c>
      <c r="D15" s="51"/>
      <c r="E15" s="51"/>
      <c r="F15" s="51"/>
      <c r="G15" s="51"/>
      <c r="H15" s="51"/>
      <c r="I15" s="51"/>
      <c r="J15" s="51"/>
      <c r="K15" s="51"/>
      <c r="L15" s="51"/>
      <c r="M15" s="59"/>
      <c r="N15" s="28">
        <f t="shared" si="7"/>
        <v>189</v>
      </c>
      <c r="O15" s="29">
        <f t="shared" si="4"/>
        <v>17.104072398190045</v>
      </c>
      <c r="P15" s="30">
        <v>32</v>
      </c>
      <c r="Q15" s="51">
        <v>61</v>
      </c>
      <c r="R15" s="112">
        <f t="shared" si="5"/>
        <v>-5.1546391752577359E-2</v>
      </c>
      <c r="S15" s="112">
        <f t="shared" si="6"/>
        <v>0.50819672131147531</v>
      </c>
    </row>
    <row r="16" spans="1:19" ht="18.75" x14ac:dyDescent="0.3">
      <c r="A16" s="26" t="s">
        <v>30</v>
      </c>
      <c r="B16" s="30">
        <v>13</v>
      </c>
      <c r="C16" s="51">
        <v>16</v>
      </c>
      <c r="D16" s="51"/>
      <c r="E16" s="51"/>
      <c r="F16" s="51"/>
      <c r="G16" s="51"/>
      <c r="H16" s="51"/>
      <c r="I16" s="51"/>
      <c r="J16" s="51"/>
      <c r="K16" s="51"/>
      <c r="L16" s="51"/>
      <c r="M16" s="59"/>
      <c r="N16" s="28">
        <f t="shared" si="7"/>
        <v>29</v>
      </c>
      <c r="O16" s="29">
        <f t="shared" si="4"/>
        <v>2.6244343891402715</v>
      </c>
      <c r="P16" s="30">
        <v>13</v>
      </c>
      <c r="Q16" s="51">
        <v>13</v>
      </c>
      <c r="R16" s="112">
        <f t="shared" si="5"/>
        <v>0.23076923076923084</v>
      </c>
      <c r="S16" s="112">
        <f t="shared" si="6"/>
        <v>0.23076923076923084</v>
      </c>
    </row>
    <row r="17" spans="1:19" ht="18.75" x14ac:dyDescent="0.3">
      <c r="A17" s="26" t="s">
        <v>32</v>
      </c>
      <c r="B17" s="30">
        <v>14</v>
      </c>
      <c r="C17" s="51">
        <v>3</v>
      </c>
      <c r="D17" s="51"/>
      <c r="E17" s="51"/>
      <c r="F17" s="51"/>
      <c r="G17" s="51"/>
      <c r="H17" s="51"/>
      <c r="I17" s="51"/>
      <c r="J17" s="51"/>
      <c r="K17" s="51"/>
      <c r="L17" s="51"/>
      <c r="M17" s="59"/>
      <c r="N17" s="28">
        <f t="shared" si="7"/>
        <v>17</v>
      </c>
      <c r="O17" s="29">
        <f t="shared" si="4"/>
        <v>1.5384615384615385</v>
      </c>
      <c r="P17" s="30">
        <v>5</v>
      </c>
      <c r="Q17" s="51">
        <v>2</v>
      </c>
      <c r="R17" s="112">
        <f t="shared" si="5"/>
        <v>-0.7857142857142857</v>
      </c>
      <c r="S17" s="112">
        <f t="shared" si="6"/>
        <v>0.5</v>
      </c>
    </row>
    <row r="18" spans="1:19" ht="18.75" x14ac:dyDescent="0.3">
      <c r="A18" s="26" t="s">
        <v>31</v>
      </c>
      <c r="B18" s="30">
        <v>5</v>
      </c>
      <c r="C18" s="51">
        <v>5</v>
      </c>
      <c r="D18" s="51"/>
      <c r="E18" s="51"/>
      <c r="F18" s="51"/>
      <c r="G18" s="51"/>
      <c r="H18" s="51"/>
      <c r="I18" s="51"/>
      <c r="J18" s="51"/>
      <c r="K18" s="51"/>
      <c r="L18" s="51"/>
      <c r="M18" s="59"/>
      <c r="N18" s="28">
        <f t="shared" si="7"/>
        <v>10</v>
      </c>
      <c r="O18" s="29">
        <f t="shared" si="4"/>
        <v>0.90497737556561086</v>
      </c>
      <c r="P18" s="30">
        <v>11</v>
      </c>
      <c r="Q18" s="51">
        <v>7</v>
      </c>
      <c r="R18" s="112">
        <f t="shared" si="5"/>
        <v>0</v>
      </c>
      <c r="S18" s="112">
        <f t="shared" si="6"/>
        <v>-0.2857142857142857</v>
      </c>
    </row>
    <row r="19" spans="1:19" ht="18.75" x14ac:dyDescent="0.3">
      <c r="A19" s="26" t="s">
        <v>115</v>
      </c>
      <c r="B19" s="30">
        <v>4</v>
      </c>
      <c r="C19" s="51">
        <v>0</v>
      </c>
      <c r="D19" s="51"/>
      <c r="E19" s="51"/>
      <c r="F19" s="51"/>
      <c r="G19" s="51"/>
      <c r="H19" s="51"/>
      <c r="I19" s="51"/>
      <c r="J19" s="51"/>
      <c r="K19" s="51"/>
      <c r="L19" s="51"/>
      <c r="M19" s="59"/>
      <c r="N19" s="28">
        <f t="shared" si="7"/>
        <v>4</v>
      </c>
      <c r="O19" s="29">
        <f t="shared" si="4"/>
        <v>0.36199095022624433</v>
      </c>
      <c r="P19" s="30">
        <v>4</v>
      </c>
      <c r="Q19" s="51">
        <v>0</v>
      </c>
      <c r="R19" s="112" t="s">
        <v>118</v>
      </c>
      <c r="S19" s="112" t="s">
        <v>118</v>
      </c>
    </row>
    <row r="20" spans="1:19" s="4" customFormat="1" ht="19.5" thickBot="1" x14ac:dyDescent="0.35">
      <c r="A20" s="54" t="s">
        <v>4</v>
      </c>
      <c r="B20" s="55">
        <f t="shared" ref="B20:Q20" si="8">SUM(B13:B19)</f>
        <v>552</v>
      </c>
      <c r="C20" s="55">
        <f t="shared" si="8"/>
        <v>553</v>
      </c>
      <c r="D20" s="55">
        <f t="shared" si="8"/>
        <v>0</v>
      </c>
      <c r="E20" s="55">
        <f t="shared" si="8"/>
        <v>0</v>
      </c>
      <c r="F20" s="55">
        <f t="shared" si="8"/>
        <v>0</v>
      </c>
      <c r="G20" s="55">
        <f t="shared" si="8"/>
        <v>0</v>
      </c>
      <c r="H20" s="55">
        <f t="shared" si="8"/>
        <v>0</v>
      </c>
      <c r="I20" s="55">
        <f t="shared" si="8"/>
        <v>0</v>
      </c>
      <c r="J20" s="55">
        <f t="shared" si="8"/>
        <v>0</v>
      </c>
      <c r="K20" s="55">
        <f t="shared" si="8"/>
        <v>0</v>
      </c>
      <c r="L20" s="55">
        <f t="shared" si="8"/>
        <v>0</v>
      </c>
      <c r="M20" s="55">
        <f t="shared" si="8"/>
        <v>0</v>
      </c>
      <c r="N20" s="56">
        <f t="shared" si="8"/>
        <v>1105</v>
      </c>
      <c r="O20" s="57">
        <f t="shared" si="8"/>
        <v>100</v>
      </c>
      <c r="P20" s="20">
        <f t="shared" si="8"/>
        <v>373</v>
      </c>
      <c r="Q20" s="20">
        <f t="shared" si="8"/>
        <v>504</v>
      </c>
      <c r="R20" s="111">
        <f t="shared" si="5"/>
        <v>1.8115942028984477E-3</v>
      </c>
      <c r="S20" s="111">
        <f t="shared" si="6"/>
        <v>9.7222222222222321E-2</v>
      </c>
    </row>
    <row r="21" spans="1:19" ht="18.75" thickTop="1" x14ac:dyDescent="0.25"/>
  </sheetData>
  <mergeCells count="2">
    <mergeCell ref="A3:S3"/>
    <mergeCell ref="A11:S11"/>
  </mergeCells>
  <phoneticPr fontId="20" type="noConversion"/>
  <conditionalFormatting sqref="R6">
    <cfRule type="iconSet" priority="2">
      <iconSet>
        <cfvo type="percent" val="0"/>
        <cfvo type="num" val="-9.9999999999999998E-13" gte="0"/>
        <cfvo type="num" val="0"/>
      </iconSet>
    </cfRule>
  </conditionalFormatting>
  <conditionalFormatting sqref="R20:S20">
    <cfRule type="iconSet" priority="3">
      <iconSet>
        <cfvo type="percent" val="0"/>
        <cfvo type="num" val="-9.9999999999999998E-13" gte="0"/>
        <cfvo type="num" val="0"/>
      </iconSet>
    </cfRule>
  </conditionalFormatting>
  <conditionalFormatting sqref="S6">
    <cfRule type="iconSet" priority="1">
      <iconSet>
        <cfvo type="percent" val="0"/>
        <cfvo type="num" val="-9.9999999999999998E-13" gte="0"/>
        <cfvo type="num" val="0"/>
      </iconSet>
    </cfRule>
  </conditionalFormatting>
  <pageMargins left="0" right="0" top="0" bottom="0" header="0" footer="0"/>
  <pageSetup paperSize="9" scale="68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81"/>
  <sheetViews>
    <sheetView zoomScale="80" zoomScaleNormal="80" workbookViewId="0">
      <selection activeCell="A5" sqref="A5:C78"/>
    </sheetView>
  </sheetViews>
  <sheetFormatPr baseColWidth="10" defaultColWidth="11.42578125" defaultRowHeight="15.75" outlineLevelCol="1" x14ac:dyDescent="0.25"/>
  <cols>
    <col min="1" max="1" width="29.28515625" style="1" customWidth="1"/>
    <col min="2" max="2" width="12.7109375" style="7" customWidth="1"/>
    <col min="3" max="3" width="10.7109375" style="7" customWidth="1"/>
    <col min="4" max="6" width="10.5703125" style="7" hidden="1" customWidth="1" outlineLevel="1"/>
    <col min="7" max="13" width="10.5703125" style="5" hidden="1" customWidth="1" outlineLevel="1"/>
    <col min="14" max="14" width="10.140625" style="8" customWidth="1" collapsed="1"/>
    <col min="15" max="15" width="19.85546875" style="1" customWidth="1"/>
    <col min="16" max="16" width="9.85546875" style="2" customWidth="1"/>
    <col min="17" max="16384" width="11.42578125" style="2"/>
  </cols>
  <sheetData>
    <row r="1" spans="1:15" ht="7.5" customHeight="1" x14ac:dyDescent="0.25">
      <c r="A1" s="31"/>
      <c r="B1" s="32"/>
      <c r="C1" s="32"/>
      <c r="D1" s="32"/>
      <c r="E1" s="32"/>
      <c r="F1" s="32"/>
      <c r="G1" s="33"/>
      <c r="H1" s="33"/>
      <c r="I1" s="33"/>
      <c r="J1" s="33"/>
      <c r="K1" s="33"/>
      <c r="L1" s="33"/>
      <c r="M1" s="33"/>
      <c r="N1" s="34"/>
    </row>
    <row r="2" spans="1:15" ht="18.75" customHeight="1" x14ac:dyDescent="0.3">
      <c r="A2" s="9" t="s">
        <v>12</v>
      </c>
      <c r="B2" s="35"/>
      <c r="C2" s="35"/>
      <c r="D2" s="52"/>
      <c r="E2" s="52"/>
      <c r="F2" s="35"/>
      <c r="G2" s="36"/>
      <c r="H2" s="36"/>
      <c r="I2" s="36"/>
      <c r="J2" s="36"/>
      <c r="K2" s="36"/>
      <c r="L2" s="36"/>
      <c r="M2" s="36"/>
      <c r="N2" s="53"/>
      <c r="O2" s="63" t="str">
        <f>RESUMEN!S2</f>
        <v>Febrero</v>
      </c>
    </row>
    <row r="3" spans="1:15" x14ac:dyDescent="0.25">
      <c r="A3" s="114" t="s">
        <v>13</v>
      </c>
      <c r="B3" s="37"/>
      <c r="C3" s="37"/>
      <c r="D3" s="37"/>
      <c r="E3" s="37"/>
      <c r="F3" s="37"/>
      <c r="G3" s="38"/>
      <c r="H3" s="38"/>
      <c r="I3" s="38"/>
      <c r="J3" s="38"/>
      <c r="K3" s="38"/>
      <c r="L3" s="38"/>
      <c r="M3" s="38"/>
      <c r="N3" s="39"/>
      <c r="O3" s="40"/>
    </row>
    <row r="4" spans="1:15" s="1" customFormat="1" ht="21" customHeight="1" x14ac:dyDescent="0.25">
      <c r="A4" s="41" t="s">
        <v>14</v>
      </c>
      <c r="B4" s="106">
        <v>45658</v>
      </c>
      <c r="C4" s="106">
        <v>45689</v>
      </c>
      <c r="D4" s="106">
        <v>45717</v>
      </c>
      <c r="E4" s="106">
        <v>45748</v>
      </c>
      <c r="F4" s="106">
        <v>45778</v>
      </c>
      <c r="G4" s="106">
        <v>45809</v>
      </c>
      <c r="H4" s="106">
        <v>45839</v>
      </c>
      <c r="I4" s="106">
        <v>45870</v>
      </c>
      <c r="J4" s="106">
        <v>45901</v>
      </c>
      <c r="K4" s="106">
        <v>45931</v>
      </c>
      <c r="L4" s="106">
        <v>45962</v>
      </c>
      <c r="M4" s="106">
        <v>45992</v>
      </c>
      <c r="N4" s="42" t="s">
        <v>0</v>
      </c>
      <c r="O4" s="43" t="s">
        <v>5</v>
      </c>
    </row>
    <row r="5" spans="1:15" x14ac:dyDescent="0.25">
      <c r="A5" s="44" t="s">
        <v>58</v>
      </c>
      <c r="B5" s="45">
        <v>77</v>
      </c>
      <c r="C5" s="45">
        <v>90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46">
        <f t="shared" ref="N5:N45" si="0">SUM(B5:M5)</f>
        <v>167</v>
      </c>
      <c r="O5" s="47">
        <f t="shared" ref="O5:O36" si="1">+N5*100/$N$79</f>
        <v>15.113122171945701</v>
      </c>
    </row>
    <row r="6" spans="1:15" x14ac:dyDescent="0.25">
      <c r="A6" s="48" t="s">
        <v>65</v>
      </c>
      <c r="B6" s="45">
        <v>68</v>
      </c>
      <c r="C6" s="45">
        <v>81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6">
        <f t="shared" ref="N6" si="2">SUM(B6:M6)</f>
        <v>149</v>
      </c>
      <c r="O6" s="47">
        <f t="shared" si="1"/>
        <v>13.484162895927602</v>
      </c>
    </row>
    <row r="7" spans="1:15" x14ac:dyDescent="0.25">
      <c r="A7" s="48" t="s">
        <v>62</v>
      </c>
      <c r="B7" s="45">
        <v>34</v>
      </c>
      <c r="C7" s="45">
        <v>29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6">
        <f t="shared" ref="N7:N8" si="3">SUM(B7:M7)</f>
        <v>63</v>
      </c>
      <c r="O7" s="47">
        <f t="shared" si="1"/>
        <v>5.7013574660633486</v>
      </c>
    </row>
    <row r="8" spans="1:15" x14ac:dyDescent="0.25">
      <c r="A8" s="48" t="s">
        <v>37</v>
      </c>
      <c r="B8" s="45">
        <v>14</v>
      </c>
      <c r="C8" s="45">
        <v>40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6">
        <f t="shared" si="3"/>
        <v>54</v>
      </c>
      <c r="O8" s="47">
        <f t="shared" si="1"/>
        <v>4.886877828054299</v>
      </c>
    </row>
    <row r="9" spans="1:15" x14ac:dyDescent="0.25">
      <c r="A9" s="48" t="s">
        <v>16</v>
      </c>
      <c r="B9" s="45">
        <v>9</v>
      </c>
      <c r="C9" s="45">
        <v>38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6">
        <f t="shared" ref="N9:N44" si="4">SUM(B9:M9)</f>
        <v>47</v>
      </c>
      <c r="O9" s="47">
        <f t="shared" si="1"/>
        <v>4.253393665158371</v>
      </c>
    </row>
    <row r="10" spans="1:15" x14ac:dyDescent="0.25">
      <c r="A10" s="48" t="s">
        <v>109</v>
      </c>
      <c r="B10" s="45">
        <v>22</v>
      </c>
      <c r="C10" s="45">
        <v>20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>
        <f t="shared" si="4"/>
        <v>42</v>
      </c>
      <c r="O10" s="47">
        <f t="shared" si="1"/>
        <v>3.8009049773755654</v>
      </c>
    </row>
    <row r="11" spans="1:15" x14ac:dyDescent="0.25">
      <c r="A11" s="48" t="s">
        <v>84</v>
      </c>
      <c r="B11" s="45">
        <v>18</v>
      </c>
      <c r="C11" s="45">
        <v>19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6">
        <f t="shared" si="4"/>
        <v>37</v>
      </c>
      <c r="O11" s="47">
        <f t="shared" si="1"/>
        <v>3.3484162895927603</v>
      </c>
    </row>
    <row r="12" spans="1:15" x14ac:dyDescent="0.25">
      <c r="A12" s="48" t="s">
        <v>17</v>
      </c>
      <c r="B12" s="45">
        <v>24</v>
      </c>
      <c r="C12" s="45">
        <v>11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6">
        <f t="shared" si="4"/>
        <v>35</v>
      </c>
      <c r="O12" s="47">
        <f t="shared" si="1"/>
        <v>3.1674208144796379</v>
      </c>
    </row>
    <row r="13" spans="1:15" x14ac:dyDescent="0.25">
      <c r="A13" s="48" t="s">
        <v>25</v>
      </c>
      <c r="B13" s="45">
        <v>21</v>
      </c>
      <c r="C13" s="45">
        <v>13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6">
        <f t="shared" si="4"/>
        <v>34</v>
      </c>
      <c r="O13" s="47">
        <f t="shared" si="1"/>
        <v>3.0769230769230771</v>
      </c>
    </row>
    <row r="14" spans="1:15" x14ac:dyDescent="0.25">
      <c r="A14" s="48" t="s">
        <v>156</v>
      </c>
      <c r="B14" s="45">
        <v>5</v>
      </c>
      <c r="C14" s="45">
        <v>28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6">
        <f t="shared" si="4"/>
        <v>33</v>
      </c>
      <c r="O14" s="47">
        <f t="shared" si="1"/>
        <v>2.9864253393665159</v>
      </c>
    </row>
    <row r="15" spans="1:15" x14ac:dyDescent="0.25">
      <c r="A15" s="48" t="s">
        <v>40</v>
      </c>
      <c r="B15" s="45">
        <v>9</v>
      </c>
      <c r="C15" s="45">
        <v>22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>
        <f t="shared" si="4"/>
        <v>31</v>
      </c>
      <c r="O15" s="47">
        <f t="shared" si="1"/>
        <v>2.8054298642533935</v>
      </c>
    </row>
    <row r="16" spans="1:15" x14ac:dyDescent="0.25">
      <c r="A16" s="48" t="s">
        <v>71</v>
      </c>
      <c r="B16" s="45">
        <v>29</v>
      </c>
      <c r="C16" s="45">
        <v>2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6">
        <f t="shared" si="4"/>
        <v>31</v>
      </c>
      <c r="O16" s="47">
        <f t="shared" si="1"/>
        <v>2.8054298642533935</v>
      </c>
    </row>
    <row r="17" spans="1:15" x14ac:dyDescent="0.25">
      <c r="A17" s="48" t="s">
        <v>157</v>
      </c>
      <c r="B17" s="45">
        <v>14</v>
      </c>
      <c r="C17" s="45">
        <v>14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6">
        <f t="shared" si="4"/>
        <v>28</v>
      </c>
      <c r="O17" s="47">
        <f t="shared" si="1"/>
        <v>2.5339366515837103</v>
      </c>
    </row>
    <row r="18" spans="1:15" x14ac:dyDescent="0.25">
      <c r="A18" s="48" t="s">
        <v>120</v>
      </c>
      <c r="B18" s="45">
        <v>12</v>
      </c>
      <c r="C18" s="45">
        <v>8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6">
        <f t="shared" si="4"/>
        <v>20</v>
      </c>
      <c r="O18" s="47">
        <f t="shared" si="1"/>
        <v>1.8099547511312217</v>
      </c>
    </row>
    <row r="19" spans="1:15" x14ac:dyDescent="0.25">
      <c r="A19" s="48" t="s">
        <v>68</v>
      </c>
      <c r="B19" s="45">
        <v>6</v>
      </c>
      <c r="C19" s="45">
        <v>14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6">
        <f t="shared" si="4"/>
        <v>20</v>
      </c>
      <c r="O19" s="47">
        <f t="shared" si="1"/>
        <v>1.8099547511312217</v>
      </c>
    </row>
    <row r="20" spans="1:15" x14ac:dyDescent="0.25">
      <c r="A20" s="48" t="s">
        <v>60</v>
      </c>
      <c r="B20" s="45">
        <v>15</v>
      </c>
      <c r="C20" s="45">
        <v>2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6">
        <f t="shared" si="4"/>
        <v>17</v>
      </c>
      <c r="O20" s="47">
        <f t="shared" si="1"/>
        <v>1.5384615384615385</v>
      </c>
    </row>
    <row r="21" spans="1:15" x14ac:dyDescent="0.25">
      <c r="A21" s="48" t="s">
        <v>23</v>
      </c>
      <c r="B21" s="45">
        <v>7</v>
      </c>
      <c r="C21" s="45">
        <v>9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6">
        <f t="shared" si="4"/>
        <v>16</v>
      </c>
      <c r="O21" s="47">
        <f t="shared" si="1"/>
        <v>1.4479638009049773</v>
      </c>
    </row>
    <row r="22" spans="1:15" x14ac:dyDescent="0.25">
      <c r="A22" s="48" t="s">
        <v>158</v>
      </c>
      <c r="B22" s="45">
        <v>13</v>
      </c>
      <c r="C22" s="45">
        <v>2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6">
        <f t="shared" si="4"/>
        <v>15</v>
      </c>
      <c r="O22" s="47">
        <f t="shared" si="1"/>
        <v>1.3574660633484164</v>
      </c>
    </row>
    <row r="23" spans="1:15" x14ac:dyDescent="0.25">
      <c r="A23" s="48" t="s">
        <v>36</v>
      </c>
      <c r="B23" s="45">
        <v>12</v>
      </c>
      <c r="C23" s="45">
        <v>2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6">
        <f t="shared" si="4"/>
        <v>14</v>
      </c>
      <c r="O23" s="47">
        <f t="shared" si="1"/>
        <v>1.2669683257918551</v>
      </c>
    </row>
    <row r="24" spans="1:15" x14ac:dyDescent="0.25">
      <c r="A24" s="48" t="s">
        <v>103</v>
      </c>
      <c r="B24" s="45">
        <v>4</v>
      </c>
      <c r="C24" s="45">
        <v>10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>
        <f t="shared" si="4"/>
        <v>14</v>
      </c>
      <c r="O24" s="47">
        <f t="shared" si="1"/>
        <v>1.2669683257918551</v>
      </c>
    </row>
    <row r="25" spans="1:15" x14ac:dyDescent="0.25">
      <c r="A25" s="48" t="s">
        <v>33</v>
      </c>
      <c r="B25" s="45">
        <v>6</v>
      </c>
      <c r="C25" s="45">
        <v>7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6">
        <f t="shared" si="4"/>
        <v>13</v>
      </c>
      <c r="O25" s="47">
        <f t="shared" si="1"/>
        <v>1.1764705882352942</v>
      </c>
    </row>
    <row r="26" spans="1:15" x14ac:dyDescent="0.25">
      <c r="A26" s="48" t="s">
        <v>26</v>
      </c>
      <c r="B26" s="45">
        <v>11</v>
      </c>
      <c r="C26" s="45">
        <v>2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6">
        <f t="shared" si="4"/>
        <v>13</v>
      </c>
      <c r="O26" s="47">
        <f t="shared" si="1"/>
        <v>1.1764705882352942</v>
      </c>
    </row>
    <row r="27" spans="1:15" x14ac:dyDescent="0.25">
      <c r="A27" s="48" t="s">
        <v>24</v>
      </c>
      <c r="B27" s="45">
        <v>7</v>
      </c>
      <c r="C27" s="45">
        <v>5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6">
        <f t="shared" si="4"/>
        <v>12</v>
      </c>
      <c r="O27" s="47">
        <f t="shared" si="1"/>
        <v>1.0859728506787329</v>
      </c>
    </row>
    <row r="28" spans="1:15" x14ac:dyDescent="0.25">
      <c r="A28" s="48" t="s">
        <v>107</v>
      </c>
      <c r="B28" s="45">
        <v>9</v>
      </c>
      <c r="C28" s="45">
        <v>2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6">
        <f t="shared" si="4"/>
        <v>11</v>
      </c>
      <c r="O28" s="47">
        <f t="shared" si="1"/>
        <v>0.99547511312217196</v>
      </c>
    </row>
    <row r="29" spans="1:15" x14ac:dyDescent="0.25">
      <c r="A29" s="48" t="s">
        <v>86</v>
      </c>
      <c r="B29" s="45">
        <v>6</v>
      </c>
      <c r="C29" s="45">
        <v>4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6">
        <f t="shared" si="4"/>
        <v>10</v>
      </c>
      <c r="O29" s="47">
        <f t="shared" si="1"/>
        <v>0.90497737556561086</v>
      </c>
    </row>
    <row r="30" spans="1:15" x14ac:dyDescent="0.25">
      <c r="A30" s="48" t="s">
        <v>20</v>
      </c>
      <c r="B30" s="45">
        <v>5</v>
      </c>
      <c r="C30" s="45">
        <v>5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6">
        <f t="shared" si="4"/>
        <v>10</v>
      </c>
      <c r="O30" s="47">
        <f t="shared" si="1"/>
        <v>0.90497737556561086</v>
      </c>
    </row>
    <row r="31" spans="1:15" x14ac:dyDescent="0.25">
      <c r="A31" s="48" t="s">
        <v>87</v>
      </c>
      <c r="B31" s="45">
        <v>5</v>
      </c>
      <c r="C31" s="45">
        <v>4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6">
        <f t="shared" si="4"/>
        <v>9</v>
      </c>
      <c r="O31" s="47">
        <f t="shared" si="1"/>
        <v>0.81447963800904977</v>
      </c>
    </row>
    <row r="32" spans="1:15" x14ac:dyDescent="0.25">
      <c r="A32" s="48" t="s">
        <v>159</v>
      </c>
      <c r="B32" s="45">
        <v>0</v>
      </c>
      <c r="C32" s="45">
        <v>9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6">
        <f t="shared" si="4"/>
        <v>9</v>
      </c>
      <c r="O32" s="47">
        <f t="shared" si="1"/>
        <v>0.81447963800904977</v>
      </c>
    </row>
    <row r="33" spans="1:15" x14ac:dyDescent="0.25">
      <c r="A33" s="48" t="s">
        <v>22</v>
      </c>
      <c r="B33" s="45">
        <v>3</v>
      </c>
      <c r="C33" s="45">
        <v>5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6">
        <f t="shared" si="4"/>
        <v>8</v>
      </c>
      <c r="O33" s="47">
        <f t="shared" si="1"/>
        <v>0.72398190045248867</v>
      </c>
    </row>
    <row r="34" spans="1:15" x14ac:dyDescent="0.25">
      <c r="A34" s="48" t="s">
        <v>18</v>
      </c>
      <c r="B34" s="45">
        <v>7</v>
      </c>
      <c r="C34" s="45">
        <v>1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6">
        <f t="shared" si="4"/>
        <v>8</v>
      </c>
      <c r="O34" s="47">
        <f t="shared" si="1"/>
        <v>0.72398190045248867</v>
      </c>
    </row>
    <row r="35" spans="1:15" x14ac:dyDescent="0.25">
      <c r="A35" s="48" t="s">
        <v>122</v>
      </c>
      <c r="B35" s="45">
        <v>6</v>
      </c>
      <c r="C35" s="45">
        <v>1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6">
        <f t="shared" si="4"/>
        <v>7</v>
      </c>
      <c r="O35" s="47">
        <f t="shared" si="1"/>
        <v>0.63348416289592757</v>
      </c>
    </row>
    <row r="36" spans="1:15" x14ac:dyDescent="0.25">
      <c r="A36" s="48" t="s">
        <v>67</v>
      </c>
      <c r="B36" s="45">
        <v>0</v>
      </c>
      <c r="C36" s="45">
        <v>7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6">
        <f t="shared" si="4"/>
        <v>7</v>
      </c>
      <c r="O36" s="47">
        <f t="shared" si="1"/>
        <v>0.63348416289592757</v>
      </c>
    </row>
    <row r="37" spans="1:15" x14ac:dyDescent="0.25">
      <c r="A37" s="48" t="s">
        <v>69</v>
      </c>
      <c r="B37" s="45">
        <v>3</v>
      </c>
      <c r="C37" s="45">
        <v>3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6">
        <f t="shared" si="4"/>
        <v>6</v>
      </c>
      <c r="O37" s="47">
        <f t="shared" ref="O37:O68" si="5">+N37*100/$N$79</f>
        <v>0.54298642533936647</v>
      </c>
    </row>
    <row r="38" spans="1:15" x14ac:dyDescent="0.25">
      <c r="A38" s="48" t="s">
        <v>121</v>
      </c>
      <c r="B38" s="45">
        <v>2</v>
      </c>
      <c r="C38" s="45">
        <v>4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>
        <f t="shared" si="4"/>
        <v>6</v>
      </c>
      <c r="O38" s="47">
        <f t="shared" si="5"/>
        <v>0.54298642533936647</v>
      </c>
    </row>
    <row r="39" spans="1:15" x14ac:dyDescent="0.25">
      <c r="A39" s="48" t="s">
        <v>160</v>
      </c>
      <c r="B39" s="45">
        <v>6</v>
      </c>
      <c r="C39" s="45">
        <v>0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6">
        <f t="shared" si="4"/>
        <v>6</v>
      </c>
      <c r="O39" s="47">
        <f t="shared" si="5"/>
        <v>0.54298642533936647</v>
      </c>
    </row>
    <row r="40" spans="1:15" x14ac:dyDescent="0.25">
      <c r="A40" s="48" t="s">
        <v>15</v>
      </c>
      <c r="B40" s="45">
        <v>5</v>
      </c>
      <c r="C40" s="45">
        <v>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6">
        <f t="shared" si="4"/>
        <v>6</v>
      </c>
      <c r="O40" s="47">
        <f t="shared" si="5"/>
        <v>0.54298642533936647</v>
      </c>
    </row>
    <row r="41" spans="1:15" x14ac:dyDescent="0.25">
      <c r="A41" s="48" t="s">
        <v>124</v>
      </c>
      <c r="B41" s="45">
        <v>1</v>
      </c>
      <c r="C41" s="45">
        <v>4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6">
        <f t="shared" si="4"/>
        <v>5</v>
      </c>
      <c r="O41" s="47">
        <f t="shared" si="5"/>
        <v>0.45248868778280543</v>
      </c>
    </row>
    <row r="42" spans="1:15" x14ac:dyDescent="0.25">
      <c r="A42" s="48" t="s">
        <v>161</v>
      </c>
      <c r="B42" s="45">
        <v>4</v>
      </c>
      <c r="C42" s="45">
        <v>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6">
        <f t="shared" si="4"/>
        <v>5</v>
      </c>
      <c r="O42" s="47">
        <f t="shared" si="5"/>
        <v>0.45248868778280543</v>
      </c>
    </row>
    <row r="43" spans="1:15" x14ac:dyDescent="0.25">
      <c r="A43" s="48" t="s">
        <v>39</v>
      </c>
      <c r="B43" s="45">
        <v>4</v>
      </c>
      <c r="C43" s="45">
        <v>1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6">
        <f t="shared" si="4"/>
        <v>5</v>
      </c>
      <c r="O43" s="47">
        <f t="shared" si="5"/>
        <v>0.45248868778280543</v>
      </c>
    </row>
    <row r="44" spans="1:15" x14ac:dyDescent="0.25">
      <c r="A44" s="48" t="s">
        <v>162</v>
      </c>
      <c r="B44" s="45">
        <v>2</v>
      </c>
      <c r="C44" s="45">
        <v>3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6">
        <f t="shared" si="4"/>
        <v>5</v>
      </c>
      <c r="O44" s="47">
        <f t="shared" si="5"/>
        <v>0.45248868778280543</v>
      </c>
    </row>
    <row r="45" spans="1:15" x14ac:dyDescent="0.25">
      <c r="A45" s="48" t="s">
        <v>70</v>
      </c>
      <c r="B45" s="45">
        <v>4</v>
      </c>
      <c r="C45" s="45">
        <v>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6">
        <f t="shared" si="0"/>
        <v>4</v>
      </c>
      <c r="O45" s="47">
        <f t="shared" si="5"/>
        <v>0.36199095022624433</v>
      </c>
    </row>
    <row r="46" spans="1:15" x14ac:dyDescent="0.25">
      <c r="A46" s="48" t="s">
        <v>21</v>
      </c>
      <c r="B46" s="45">
        <v>4</v>
      </c>
      <c r="C46" s="45">
        <v>0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6">
        <f t="shared" ref="N46:N47" si="6">SUM(B46:M46)</f>
        <v>4</v>
      </c>
      <c r="O46" s="47">
        <f t="shared" si="5"/>
        <v>0.36199095022624433</v>
      </c>
    </row>
    <row r="47" spans="1:15" x14ac:dyDescent="0.25">
      <c r="A47" s="48" t="s">
        <v>93</v>
      </c>
      <c r="B47" s="45">
        <v>2</v>
      </c>
      <c r="C47" s="45">
        <v>2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6">
        <f t="shared" si="6"/>
        <v>4</v>
      </c>
      <c r="O47" s="47">
        <f t="shared" si="5"/>
        <v>0.36199095022624433</v>
      </c>
    </row>
    <row r="48" spans="1:15" x14ac:dyDescent="0.25">
      <c r="A48" s="48" t="s">
        <v>88</v>
      </c>
      <c r="B48" s="45">
        <v>4</v>
      </c>
      <c r="C48" s="45">
        <v>0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6">
        <f t="shared" ref="N48" si="7">SUM(B48:M48)</f>
        <v>4</v>
      </c>
      <c r="O48" s="47">
        <f t="shared" si="5"/>
        <v>0.36199095022624433</v>
      </c>
    </row>
    <row r="49" spans="1:15" x14ac:dyDescent="0.25">
      <c r="A49" s="48" t="s">
        <v>119</v>
      </c>
      <c r="B49" s="45">
        <v>3</v>
      </c>
      <c r="C49" s="45">
        <v>1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6">
        <f t="shared" ref="N49:N78" si="8">SUM(B49:M49)</f>
        <v>4</v>
      </c>
      <c r="O49" s="47">
        <f t="shared" si="5"/>
        <v>0.36199095022624433</v>
      </c>
    </row>
    <row r="50" spans="1:15" x14ac:dyDescent="0.25">
      <c r="A50" s="48" t="s">
        <v>85</v>
      </c>
      <c r="B50" s="45">
        <v>2</v>
      </c>
      <c r="C50" s="45">
        <v>2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6">
        <f t="shared" si="8"/>
        <v>4</v>
      </c>
      <c r="O50" s="47">
        <f t="shared" si="5"/>
        <v>0.36199095022624433</v>
      </c>
    </row>
    <row r="51" spans="1:15" x14ac:dyDescent="0.25">
      <c r="A51" s="48" t="s">
        <v>72</v>
      </c>
      <c r="B51" s="45">
        <v>2</v>
      </c>
      <c r="C51" s="45">
        <v>2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6">
        <f t="shared" si="8"/>
        <v>4</v>
      </c>
      <c r="O51" s="47">
        <f t="shared" si="5"/>
        <v>0.36199095022624433</v>
      </c>
    </row>
    <row r="52" spans="1:15" x14ac:dyDescent="0.25">
      <c r="A52" s="48" t="s">
        <v>112</v>
      </c>
      <c r="B52" s="45">
        <v>1</v>
      </c>
      <c r="C52" s="45">
        <v>2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6">
        <f t="shared" si="8"/>
        <v>3</v>
      </c>
      <c r="O52" s="47">
        <f t="shared" si="5"/>
        <v>0.27149321266968324</v>
      </c>
    </row>
    <row r="53" spans="1:15" x14ac:dyDescent="0.25">
      <c r="A53" s="48" t="s">
        <v>163</v>
      </c>
      <c r="B53" s="45">
        <v>3</v>
      </c>
      <c r="C53" s="45">
        <v>0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6">
        <f t="shared" ref="N53:N59" si="9">SUM(B53:M53)</f>
        <v>3</v>
      </c>
      <c r="O53" s="47">
        <f t="shared" si="5"/>
        <v>0.27149321266968324</v>
      </c>
    </row>
    <row r="54" spans="1:15" x14ac:dyDescent="0.25">
      <c r="A54" s="48" t="s">
        <v>34</v>
      </c>
      <c r="B54" s="45">
        <v>1</v>
      </c>
      <c r="C54" s="45">
        <v>2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>
        <f t="shared" si="9"/>
        <v>3</v>
      </c>
      <c r="O54" s="47">
        <f t="shared" si="5"/>
        <v>0.27149321266968324</v>
      </c>
    </row>
    <row r="55" spans="1:15" x14ac:dyDescent="0.25">
      <c r="A55" s="48" t="s">
        <v>125</v>
      </c>
      <c r="B55" s="45">
        <v>2</v>
      </c>
      <c r="C55" s="45">
        <v>1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6">
        <f t="shared" si="9"/>
        <v>3</v>
      </c>
      <c r="O55" s="47">
        <f t="shared" si="5"/>
        <v>0.27149321266968324</v>
      </c>
    </row>
    <row r="56" spans="1:15" x14ac:dyDescent="0.25">
      <c r="A56" s="48" t="s">
        <v>19</v>
      </c>
      <c r="B56" s="45">
        <v>1</v>
      </c>
      <c r="C56" s="45">
        <v>2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6">
        <f t="shared" ref="N56:N58" si="10">SUM(B56:M56)</f>
        <v>3</v>
      </c>
      <c r="O56" s="47">
        <f t="shared" si="5"/>
        <v>0.27149321266968324</v>
      </c>
    </row>
    <row r="57" spans="1:15" x14ac:dyDescent="0.25">
      <c r="A57" s="48" t="s">
        <v>164</v>
      </c>
      <c r="B57" s="45">
        <v>1</v>
      </c>
      <c r="C57" s="45">
        <v>2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6">
        <f t="shared" si="10"/>
        <v>3</v>
      </c>
      <c r="O57" s="47">
        <f t="shared" si="5"/>
        <v>0.27149321266968324</v>
      </c>
    </row>
    <row r="58" spans="1:15" x14ac:dyDescent="0.25">
      <c r="A58" s="48" t="s">
        <v>127</v>
      </c>
      <c r="B58" s="45">
        <v>1</v>
      </c>
      <c r="C58" s="45">
        <v>2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6">
        <f t="shared" si="10"/>
        <v>3</v>
      </c>
      <c r="O58" s="47">
        <f t="shared" si="5"/>
        <v>0.27149321266968324</v>
      </c>
    </row>
    <row r="59" spans="1:15" x14ac:dyDescent="0.25">
      <c r="A59" s="48" t="s">
        <v>92</v>
      </c>
      <c r="B59" s="45">
        <v>2</v>
      </c>
      <c r="C59" s="45">
        <v>0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6">
        <f t="shared" si="9"/>
        <v>2</v>
      </c>
      <c r="O59" s="47">
        <f t="shared" si="5"/>
        <v>0.18099547511312217</v>
      </c>
    </row>
    <row r="60" spans="1:15" x14ac:dyDescent="0.25">
      <c r="A60" s="48" t="s">
        <v>123</v>
      </c>
      <c r="B60" s="45">
        <v>1</v>
      </c>
      <c r="C60" s="45">
        <v>1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6">
        <f t="shared" si="8"/>
        <v>2</v>
      </c>
      <c r="O60" s="47">
        <f t="shared" si="5"/>
        <v>0.18099547511312217</v>
      </c>
    </row>
    <row r="61" spans="1:15" x14ac:dyDescent="0.25">
      <c r="A61" s="48" t="s">
        <v>35</v>
      </c>
      <c r="B61" s="45">
        <v>1</v>
      </c>
      <c r="C61" s="45">
        <v>1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6">
        <f t="shared" si="8"/>
        <v>2</v>
      </c>
      <c r="O61" s="47">
        <f t="shared" si="5"/>
        <v>0.18099547511312217</v>
      </c>
    </row>
    <row r="62" spans="1:15" x14ac:dyDescent="0.25">
      <c r="A62" s="48" t="s">
        <v>66</v>
      </c>
      <c r="B62" s="45">
        <v>1</v>
      </c>
      <c r="C62" s="45">
        <v>1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6">
        <f t="shared" si="8"/>
        <v>2</v>
      </c>
      <c r="O62" s="47">
        <f t="shared" si="5"/>
        <v>0.18099547511312217</v>
      </c>
    </row>
    <row r="63" spans="1:15" x14ac:dyDescent="0.25">
      <c r="A63" s="48" t="s">
        <v>126</v>
      </c>
      <c r="B63" s="45">
        <v>1</v>
      </c>
      <c r="C63" s="45">
        <v>1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6">
        <f t="shared" si="8"/>
        <v>2</v>
      </c>
      <c r="O63" s="47">
        <f t="shared" si="5"/>
        <v>0.18099547511312217</v>
      </c>
    </row>
    <row r="64" spans="1:15" x14ac:dyDescent="0.25">
      <c r="A64" s="48" t="s">
        <v>130</v>
      </c>
      <c r="B64" s="45">
        <v>0</v>
      </c>
      <c r="C64" s="45">
        <v>2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6">
        <f t="shared" si="8"/>
        <v>2</v>
      </c>
      <c r="O64" s="47">
        <f t="shared" si="5"/>
        <v>0.18099547511312217</v>
      </c>
    </row>
    <row r="65" spans="1:15" x14ac:dyDescent="0.25">
      <c r="A65" s="48" t="s">
        <v>129</v>
      </c>
      <c r="B65" s="45">
        <v>1</v>
      </c>
      <c r="C65" s="45">
        <v>1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6">
        <f t="shared" si="8"/>
        <v>2</v>
      </c>
      <c r="O65" s="47">
        <f t="shared" si="5"/>
        <v>0.18099547511312217</v>
      </c>
    </row>
    <row r="66" spans="1:15" x14ac:dyDescent="0.25">
      <c r="A66" s="48" t="s">
        <v>165</v>
      </c>
      <c r="B66" s="45">
        <v>0</v>
      </c>
      <c r="C66" s="45">
        <v>2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6">
        <f t="shared" ref="N66" si="11">SUM(B66:M66)</f>
        <v>2</v>
      </c>
      <c r="O66" s="47">
        <f t="shared" si="5"/>
        <v>0.18099547511312217</v>
      </c>
    </row>
    <row r="67" spans="1:15" x14ac:dyDescent="0.25">
      <c r="A67" s="48" t="s">
        <v>166</v>
      </c>
      <c r="B67" s="45">
        <v>1</v>
      </c>
      <c r="C67" s="45">
        <v>0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6">
        <f t="shared" ref="N67:N71" si="12">SUM(B67:M67)</f>
        <v>1</v>
      </c>
      <c r="O67" s="47">
        <f t="shared" si="5"/>
        <v>9.0497737556561084E-2</v>
      </c>
    </row>
    <row r="68" spans="1:15" x14ac:dyDescent="0.25">
      <c r="A68" s="48" t="s">
        <v>132</v>
      </c>
      <c r="B68" s="45">
        <v>1</v>
      </c>
      <c r="C68" s="45">
        <v>0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6">
        <f t="shared" si="12"/>
        <v>1</v>
      </c>
      <c r="O68" s="47">
        <f t="shared" si="5"/>
        <v>9.0497737556561084E-2</v>
      </c>
    </row>
    <row r="69" spans="1:15" x14ac:dyDescent="0.25">
      <c r="A69" s="48" t="s">
        <v>73</v>
      </c>
      <c r="B69" s="45">
        <v>1</v>
      </c>
      <c r="C69" s="45">
        <v>0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6">
        <f t="shared" si="12"/>
        <v>1</v>
      </c>
      <c r="O69" s="47">
        <f t="shared" ref="O69:O78" si="13">+N69*100/$N$79</f>
        <v>9.0497737556561084E-2</v>
      </c>
    </row>
    <row r="70" spans="1:15" x14ac:dyDescent="0.25">
      <c r="A70" s="48" t="s">
        <v>131</v>
      </c>
      <c r="B70" s="45">
        <v>0</v>
      </c>
      <c r="C70" s="45">
        <v>1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6">
        <f t="shared" si="12"/>
        <v>1</v>
      </c>
      <c r="O70" s="47">
        <f t="shared" si="13"/>
        <v>9.0497737556561084E-2</v>
      </c>
    </row>
    <row r="71" spans="1:15" x14ac:dyDescent="0.25">
      <c r="A71" s="48" t="s">
        <v>38</v>
      </c>
      <c r="B71" s="45">
        <v>1</v>
      </c>
      <c r="C71" s="45">
        <v>0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6">
        <f t="shared" si="12"/>
        <v>1</v>
      </c>
      <c r="O71" s="47">
        <f t="shared" si="13"/>
        <v>9.0497737556561084E-2</v>
      </c>
    </row>
    <row r="72" spans="1:15" x14ac:dyDescent="0.25">
      <c r="A72" s="48" t="s">
        <v>167</v>
      </c>
      <c r="B72" s="45">
        <v>0</v>
      </c>
      <c r="C72" s="45">
        <v>1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6">
        <f t="shared" si="8"/>
        <v>1</v>
      </c>
      <c r="O72" s="47">
        <f t="shared" si="13"/>
        <v>9.0497737556561084E-2</v>
      </c>
    </row>
    <row r="73" spans="1:15" x14ac:dyDescent="0.25">
      <c r="A73" s="48" t="s">
        <v>168</v>
      </c>
      <c r="B73" s="45">
        <v>1</v>
      </c>
      <c r="C73" s="45">
        <v>0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6">
        <f t="shared" si="8"/>
        <v>1</v>
      </c>
      <c r="O73" s="47">
        <f t="shared" si="13"/>
        <v>9.0497737556561084E-2</v>
      </c>
    </row>
    <row r="74" spans="1:15" x14ac:dyDescent="0.25">
      <c r="A74" s="48" t="s">
        <v>169</v>
      </c>
      <c r="B74" s="45">
        <v>1</v>
      </c>
      <c r="C74" s="45">
        <v>0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6">
        <f t="shared" si="8"/>
        <v>1</v>
      </c>
      <c r="O74" s="47">
        <f t="shared" si="13"/>
        <v>9.0497737556561084E-2</v>
      </c>
    </row>
    <row r="75" spans="1:15" x14ac:dyDescent="0.25">
      <c r="A75" s="48" t="s">
        <v>170</v>
      </c>
      <c r="B75" s="45">
        <v>0</v>
      </c>
      <c r="C75" s="45">
        <v>1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6">
        <f t="shared" si="8"/>
        <v>1</v>
      </c>
      <c r="O75" s="47">
        <f t="shared" si="13"/>
        <v>9.0497737556561084E-2</v>
      </c>
    </row>
    <row r="76" spans="1:15" x14ac:dyDescent="0.25">
      <c r="A76" s="48" t="s">
        <v>128</v>
      </c>
      <c r="B76" s="45">
        <v>1</v>
      </c>
      <c r="C76" s="45">
        <v>0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6">
        <f t="shared" si="8"/>
        <v>1</v>
      </c>
      <c r="O76" s="47">
        <f t="shared" si="13"/>
        <v>9.0497737556561084E-2</v>
      </c>
    </row>
    <row r="77" spans="1:15" x14ac:dyDescent="0.25">
      <c r="A77" s="48" t="s">
        <v>171</v>
      </c>
      <c r="B77" s="45">
        <v>1</v>
      </c>
      <c r="C77" s="45">
        <v>0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6">
        <f t="shared" si="8"/>
        <v>1</v>
      </c>
      <c r="O77" s="47">
        <f t="shared" si="13"/>
        <v>9.0497737556561084E-2</v>
      </c>
    </row>
    <row r="78" spans="1:15" x14ac:dyDescent="0.25">
      <c r="A78" s="48" t="s">
        <v>172</v>
      </c>
      <c r="B78" s="45">
        <v>1</v>
      </c>
      <c r="C78" s="45">
        <v>0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6">
        <f t="shared" si="8"/>
        <v>1</v>
      </c>
      <c r="O78" s="47">
        <f t="shared" si="13"/>
        <v>9.0497737556561084E-2</v>
      </c>
    </row>
    <row r="79" spans="1:15" s="4" customFormat="1" ht="19.5" thickBot="1" x14ac:dyDescent="0.35">
      <c r="A79" s="49" t="s">
        <v>4</v>
      </c>
      <c r="B79" s="20">
        <f t="shared" ref="B79:O79" si="14">SUM(B5:B78)</f>
        <v>552</v>
      </c>
      <c r="C79" s="20">
        <f t="shared" si="14"/>
        <v>553</v>
      </c>
      <c r="D79" s="20">
        <f t="shared" si="14"/>
        <v>0</v>
      </c>
      <c r="E79" s="20">
        <f t="shared" si="14"/>
        <v>0</v>
      </c>
      <c r="F79" s="20">
        <f t="shared" si="14"/>
        <v>0</v>
      </c>
      <c r="G79" s="20">
        <f t="shared" si="14"/>
        <v>0</v>
      </c>
      <c r="H79" s="20">
        <f t="shared" si="14"/>
        <v>0</v>
      </c>
      <c r="I79" s="20">
        <f t="shared" si="14"/>
        <v>0</v>
      </c>
      <c r="J79" s="20">
        <f t="shared" si="14"/>
        <v>0</v>
      </c>
      <c r="K79" s="20">
        <f t="shared" si="14"/>
        <v>0</v>
      </c>
      <c r="L79" s="20">
        <f t="shared" si="14"/>
        <v>0</v>
      </c>
      <c r="M79" s="20">
        <f t="shared" si="14"/>
        <v>0</v>
      </c>
      <c r="N79" s="20">
        <f t="shared" si="14"/>
        <v>1105</v>
      </c>
      <c r="O79" s="20">
        <f t="shared" si="14"/>
        <v>99.999999999999901</v>
      </c>
    </row>
    <row r="80" spans="1:15" ht="16.5" thickTop="1" x14ac:dyDescent="0.25"/>
    <row r="81" spans="1:1" ht="18.75" x14ac:dyDescent="0.3">
      <c r="A81" s="12"/>
    </row>
  </sheetData>
  <sortState xmlns:xlrd2="http://schemas.microsoft.com/office/spreadsheetml/2017/richdata2" ref="A5:O124">
    <sortCondition descending="1" ref="N5:N124"/>
  </sortState>
  <dataConsolidate/>
  <phoneticPr fontId="20" type="noConversion"/>
  <pageMargins left="0.78740157480314965" right="0.78740157480314965" top="0.98425196850393704" bottom="0.98425196850393704" header="0" footer="0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5EAF-867F-4A08-AC1F-79C84E79049D}">
  <dimension ref="A1:P191"/>
  <sheetViews>
    <sheetView topLeftCell="A179" zoomScale="80" zoomScaleNormal="80" workbookViewId="0">
      <selection activeCell="R190" sqref="R190"/>
    </sheetView>
  </sheetViews>
  <sheetFormatPr baseColWidth="10" defaultColWidth="11.42578125" defaultRowHeight="12.75" outlineLevelCol="1" x14ac:dyDescent="0.2"/>
  <cols>
    <col min="1" max="1" width="18.5703125" style="65" customWidth="1"/>
    <col min="2" max="2" width="19.28515625" style="96" customWidth="1"/>
    <col min="3" max="3" width="17.28515625" style="97" customWidth="1"/>
    <col min="4" max="4" width="10.85546875" style="98" customWidth="1"/>
    <col min="5" max="5" width="13.42578125" style="98" customWidth="1"/>
    <col min="6" max="6" width="11.140625" style="98" hidden="1" customWidth="1" outlineLevel="1"/>
    <col min="7" max="15" width="11.140625" style="99" hidden="1" customWidth="1" outlineLevel="1"/>
    <col min="16" max="16" width="11.140625" style="100" customWidth="1" collapsed="1"/>
    <col min="17" max="16384" width="11.42578125" style="71"/>
  </cols>
  <sheetData>
    <row r="1" spans="1:16" ht="15" x14ac:dyDescent="0.25">
      <c r="B1" s="66"/>
      <c r="C1" s="67"/>
      <c r="D1" s="68"/>
      <c r="E1" s="68"/>
      <c r="F1" s="68"/>
      <c r="G1" s="69"/>
      <c r="H1" s="69"/>
      <c r="I1" s="69"/>
      <c r="J1" s="69"/>
      <c r="K1" s="69"/>
      <c r="L1" s="69"/>
      <c r="M1" s="69"/>
      <c r="N1" s="69"/>
      <c r="O1" s="69"/>
      <c r="P1" s="70"/>
    </row>
    <row r="2" spans="1:16" ht="18.75" x14ac:dyDescent="0.3">
      <c r="A2" s="72" t="s">
        <v>42</v>
      </c>
      <c r="B2" s="72"/>
      <c r="C2" s="73"/>
      <c r="D2" s="74"/>
      <c r="E2" s="74"/>
      <c r="F2" s="74"/>
      <c r="G2" s="75"/>
      <c r="H2" s="75"/>
      <c r="I2" s="75"/>
      <c r="J2" s="75"/>
      <c r="K2" s="75"/>
      <c r="L2" s="75"/>
      <c r="M2" s="75"/>
      <c r="N2" s="11"/>
      <c r="O2" s="75"/>
      <c r="P2" s="76" t="str">
        <f>RESUMEN!S2</f>
        <v>Febrero</v>
      </c>
    </row>
    <row r="3" spans="1:16" ht="17.25" x14ac:dyDescent="0.3">
      <c r="A3" s="77" t="s">
        <v>43</v>
      </c>
      <c r="B3" s="77"/>
      <c r="C3" s="78"/>
      <c r="D3" s="79"/>
      <c r="E3" s="79"/>
      <c r="F3" s="79"/>
      <c r="G3" s="80"/>
      <c r="H3" s="80"/>
      <c r="I3" s="80"/>
      <c r="J3" s="80"/>
      <c r="K3" s="80"/>
      <c r="L3" s="80"/>
      <c r="M3" s="80"/>
      <c r="N3" s="81"/>
      <c r="O3" s="80"/>
      <c r="P3" s="82"/>
    </row>
    <row r="4" spans="1:16" ht="15.75" x14ac:dyDescent="0.25">
      <c r="A4" s="83" t="s">
        <v>44</v>
      </c>
      <c r="B4" s="83" t="s">
        <v>45</v>
      </c>
      <c r="C4" s="83" t="s">
        <v>46</v>
      </c>
      <c r="D4" s="106">
        <v>45292</v>
      </c>
      <c r="E4" s="106">
        <v>45323</v>
      </c>
      <c r="F4" s="106">
        <v>45352</v>
      </c>
      <c r="G4" s="106">
        <v>45383</v>
      </c>
      <c r="H4" s="106">
        <v>45413</v>
      </c>
      <c r="I4" s="106">
        <v>45444</v>
      </c>
      <c r="J4" s="106">
        <v>45474</v>
      </c>
      <c r="K4" s="106">
        <v>45505</v>
      </c>
      <c r="L4" s="106">
        <v>45536</v>
      </c>
      <c r="M4" s="106">
        <v>45566</v>
      </c>
      <c r="N4" s="106">
        <v>45597</v>
      </c>
      <c r="O4" s="106">
        <v>45627</v>
      </c>
      <c r="P4" s="84" t="s">
        <v>0</v>
      </c>
    </row>
    <row r="5" spans="1:16" ht="15" x14ac:dyDescent="0.25">
      <c r="A5" s="85" t="s">
        <v>29</v>
      </c>
      <c r="B5" s="86" t="s">
        <v>156</v>
      </c>
      <c r="C5" s="101" t="s">
        <v>100</v>
      </c>
      <c r="D5" s="87">
        <v>5</v>
      </c>
      <c r="E5" s="87">
        <v>0</v>
      </c>
      <c r="F5" s="87"/>
      <c r="G5" s="87"/>
      <c r="H5" s="87"/>
      <c r="I5" s="87"/>
      <c r="J5" s="87"/>
      <c r="K5" s="87"/>
      <c r="L5" s="87"/>
      <c r="M5" s="87"/>
      <c r="N5" s="87"/>
      <c r="O5" s="87"/>
      <c r="P5" s="88">
        <f t="shared" ref="P5:P61" si="0">SUM(D5:O5)</f>
        <v>5</v>
      </c>
    </row>
    <row r="6" spans="1:16" ht="15" x14ac:dyDescent="0.25">
      <c r="A6" s="89"/>
      <c r="B6" s="90"/>
      <c r="C6" s="103" t="s">
        <v>74</v>
      </c>
      <c r="D6" s="87">
        <v>0</v>
      </c>
      <c r="E6" s="87">
        <v>28</v>
      </c>
      <c r="F6" s="87"/>
      <c r="G6" s="87"/>
      <c r="H6" s="87"/>
      <c r="I6" s="87"/>
      <c r="J6" s="87"/>
      <c r="K6" s="87"/>
      <c r="L6" s="87"/>
      <c r="M6" s="87"/>
      <c r="N6" s="87"/>
      <c r="O6" s="87"/>
      <c r="P6" s="88">
        <f t="shared" si="0"/>
        <v>28</v>
      </c>
    </row>
    <row r="7" spans="1:16" ht="15" x14ac:dyDescent="0.25">
      <c r="A7" s="89"/>
      <c r="B7" s="85" t="s">
        <v>71</v>
      </c>
      <c r="C7" s="101" t="s">
        <v>100</v>
      </c>
      <c r="D7" s="87">
        <v>8</v>
      </c>
      <c r="E7" s="87">
        <v>0</v>
      </c>
      <c r="F7" s="87"/>
      <c r="G7" s="87"/>
      <c r="H7" s="87"/>
      <c r="I7" s="87"/>
      <c r="J7" s="87"/>
      <c r="K7" s="87"/>
      <c r="L7" s="87"/>
      <c r="M7" s="87"/>
      <c r="N7" s="87"/>
      <c r="O7" s="87"/>
      <c r="P7" s="88">
        <f t="shared" si="0"/>
        <v>8</v>
      </c>
    </row>
    <row r="8" spans="1:16" ht="15" x14ac:dyDescent="0.25">
      <c r="A8" s="89"/>
      <c r="B8" s="90"/>
      <c r="C8" s="103" t="s">
        <v>74</v>
      </c>
      <c r="D8" s="87">
        <v>21</v>
      </c>
      <c r="E8" s="87">
        <v>2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8">
        <f t="shared" si="0"/>
        <v>23</v>
      </c>
    </row>
    <row r="9" spans="1:16" ht="15" x14ac:dyDescent="0.25">
      <c r="A9" s="89"/>
      <c r="B9" s="85" t="s">
        <v>157</v>
      </c>
      <c r="C9" s="101" t="s">
        <v>173</v>
      </c>
      <c r="D9" s="87">
        <v>14</v>
      </c>
      <c r="E9" s="87">
        <v>14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>
        <f t="shared" ref="P9:P37" si="1">SUM(D9:O9)</f>
        <v>28</v>
      </c>
    </row>
    <row r="10" spans="1:16" ht="15" x14ac:dyDescent="0.25">
      <c r="A10" s="89"/>
      <c r="B10" s="91" t="s">
        <v>120</v>
      </c>
      <c r="C10" s="102" t="s">
        <v>133</v>
      </c>
      <c r="D10" s="87">
        <v>10</v>
      </c>
      <c r="E10" s="87">
        <v>8</v>
      </c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8">
        <f t="shared" si="1"/>
        <v>18</v>
      </c>
    </row>
    <row r="11" spans="1:16" ht="15" x14ac:dyDescent="0.25">
      <c r="A11" s="89"/>
      <c r="B11" s="85" t="s">
        <v>23</v>
      </c>
      <c r="C11" s="101" t="s">
        <v>174</v>
      </c>
      <c r="D11" s="87">
        <v>1</v>
      </c>
      <c r="E11" s="87">
        <v>1</v>
      </c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8">
        <f t="shared" si="1"/>
        <v>2</v>
      </c>
    </row>
    <row r="12" spans="1:16" ht="15" x14ac:dyDescent="0.25">
      <c r="A12" s="89"/>
      <c r="B12" s="89"/>
      <c r="C12" s="104" t="s">
        <v>175</v>
      </c>
      <c r="D12" s="87">
        <v>2</v>
      </c>
      <c r="E12" s="87">
        <v>0</v>
      </c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8">
        <f t="shared" si="1"/>
        <v>2</v>
      </c>
    </row>
    <row r="13" spans="1:16" ht="15" x14ac:dyDescent="0.25">
      <c r="A13" s="89"/>
      <c r="B13" s="89"/>
      <c r="C13" s="104" t="s">
        <v>63</v>
      </c>
      <c r="D13" s="87">
        <v>1</v>
      </c>
      <c r="E13" s="87">
        <v>6</v>
      </c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8">
        <f t="shared" si="1"/>
        <v>7</v>
      </c>
    </row>
    <row r="14" spans="1:16" ht="15" x14ac:dyDescent="0.25">
      <c r="A14" s="89"/>
      <c r="B14" s="89"/>
      <c r="C14" s="104" t="s">
        <v>176</v>
      </c>
      <c r="D14" s="87">
        <v>3</v>
      </c>
      <c r="E14" s="87">
        <v>0</v>
      </c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8">
        <f t="shared" si="1"/>
        <v>3</v>
      </c>
    </row>
    <row r="15" spans="1:16" ht="15" x14ac:dyDescent="0.25">
      <c r="A15" s="89"/>
      <c r="B15" s="90"/>
      <c r="C15" s="103" t="s">
        <v>177</v>
      </c>
      <c r="D15" s="87">
        <v>0</v>
      </c>
      <c r="E15" s="87">
        <v>2</v>
      </c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8">
        <f t="shared" si="1"/>
        <v>2</v>
      </c>
    </row>
    <row r="16" spans="1:16" ht="15" x14ac:dyDescent="0.25">
      <c r="A16" s="89"/>
      <c r="B16" s="91" t="s">
        <v>103</v>
      </c>
      <c r="C16" s="102" t="s">
        <v>104</v>
      </c>
      <c r="D16" s="87">
        <v>4</v>
      </c>
      <c r="E16" s="87">
        <v>10</v>
      </c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8">
        <f t="shared" si="1"/>
        <v>14</v>
      </c>
    </row>
    <row r="17" spans="1:16" ht="15" x14ac:dyDescent="0.25">
      <c r="A17" s="89"/>
      <c r="B17" s="85" t="s">
        <v>33</v>
      </c>
      <c r="C17" s="101" t="s">
        <v>95</v>
      </c>
      <c r="D17" s="87">
        <v>0</v>
      </c>
      <c r="E17" s="87">
        <v>1</v>
      </c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8">
        <f t="shared" si="1"/>
        <v>1</v>
      </c>
    </row>
    <row r="18" spans="1:16" ht="15" x14ac:dyDescent="0.25">
      <c r="A18" s="89"/>
      <c r="B18" s="89"/>
      <c r="C18" s="104" t="s">
        <v>178</v>
      </c>
      <c r="D18" s="87">
        <v>0</v>
      </c>
      <c r="E18" s="87">
        <v>3</v>
      </c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8">
        <f t="shared" si="1"/>
        <v>3</v>
      </c>
    </row>
    <row r="19" spans="1:16" ht="15" x14ac:dyDescent="0.25">
      <c r="A19" s="89"/>
      <c r="B19" s="89"/>
      <c r="C19" s="104" t="s">
        <v>64</v>
      </c>
      <c r="D19" s="87">
        <v>0</v>
      </c>
      <c r="E19" s="87">
        <v>1</v>
      </c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8">
        <f t="shared" si="1"/>
        <v>1</v>
      </c>
    </row>
    <row r="20" spans="1:16" ht="15" x14ac:dyDescent="0.25">
      <c r="A20" s="89"/>
      <c r="B20" s="89"/>
      <c r="C20" s="104" t="s">
        <v>179</v>
      </c>
      <c r="D20" s="87">
        <v>1</v>
      </c>
      <c r="E20" s="87">
        <v>0</v>
      </c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8">
        <f t="shared" si="1"/>
        <v>1</v>
      </c>
    </row>
    <row r="21" spans="1:16" ht="15" x14ac:dyDescent="0.25">
      <c r="A21" s="89"/>
      <c r="B21" s="89"/>
      <c r="C21" s="104" t="s">
        <v>180</v>
      </c>
      <c r="D21" s="87">
        <v>2</v>
      </c>
      <c r="E21" s="87">
        <v>0</v>
      </c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8">
        <f t="shared" si="1"/>
        <v>2</v>
      </c>
    </row>
    <row r="22" spans="1:16" ht="15" x14ac:dyDescent="0.25">
      <c r="A22" s="89"/>
      <c r="B22" s="89"/>
      <c r="C22" s="104" t="s">
        <v>181</v>
      </c>
      <c r="D22" s="87">
        <v>1</v>
      </c>
      <c r="E22" s="87">
        <v>0</v>
      </c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8">
        <f t="shared" si="1"/>
        <v>1</v>
      </c>
    </row>
    <row r="23" spans="1:16" ht="15" x14ac:dyDescent="0.25">
      <c r="A23" s="89"/>
      <c r="B23" s="89"/>
      <c r="C23" s="104" t="s">
        <v>182</v>
      </c>
      <c r="D23" s="87">
        <v>1</v>
      </c>
      <c r="E23" s="87">
        <v>0</v>
      </c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8">
        <f t="shared" si="1"/>
        <v>1</v>
      </c>
    </row>
    <row r="24" spans="1:16" ht="15" x14ac:dyDescent="0.25">
      <c r="A24" s="89"/>
      <c r="B24" s="90"/>
      <c r="C24" s="103" t="s">
        <v>183</v>
      </c>
      <c r="D24" s="87">
        <v>1</v>
      </c>
      <c r="E24" s="87">
        <v>2</v>
      </c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8">
        <f t="shared" si="1"/>
        <v>3</v>
      </c>
    </row>
    <row r="25" spans="1:16" ht="15" x14ac:dyDescent="0.25">
      <c r="A25" s="89"/>
      <c r="B25" s="85" t="s">
        <v>158</v>
      </c>
      <c r="C25" s="101" t="s">
        <v>184</v>
      </c>
      <c r="D25" s="87">
        <v>4</v>
      </c>
      <c r="E25" s="87">
        <v>0</v>
      </c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8">
        <f t="shared" si="1"/>
        <v>4</v>
      </c>
    </row>
    <row r="26" spans="1:16" ht="15" x14ac:dyDescent="0.25">
      <c r="A26" s="89"/>
      <c r="B26" s="90"/>
      <c r="C26" s="103" t="s">
        <v>185</v>
      </c>
      <c r="D26" s="87">
        <v>5</v>
      </c>
      <c r="E26" s="87">
        <v>0</v>
      </c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8">
        <f t="shared" si="1"/>
        <v>5</v>
      </c>
    </row>
    <row r="27" spans="1:16" ht="15" x14ac:dyDescent="0.25">
      <c r="A27" s="89"/>
      <c r="B27" s="85" t="s">
        <v>121</v>
      </c>
      <c r="C27" s="101" t="s">
        <v>134</v>
      </c>
      <c r="D27" s="87">
        <v>0</v>
      </c>
      <c r="E27" s="87">
        <v>1</v>
      </c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8">
        <f t="shared" si="1"/>
        <v>1</v>
      </c>
    </row>
    <row r="28" spans="1:16" ht="15" x14ac:dyDescent="0.25">
      <c r="A28" s="89"/>
      <c r="B28" s="89"/>
      <c r="C28" s="104" t="s">
        <v>186</v>
      </c>
      <c r="D28" s="87">
        <v>1</v>
      </c>
      <c r="E28" s="87">
        <v>0</v>
      </c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8">
        <f t="shared" si="1"/>
        <v>1</v>
      </c>
    </row>
    <row r="29" spans="1:16" ht="15" x14ac:dyDescent="0.25">
      <c r="A29" s="89"/>
      <c r="B29" s="90"/>
      <c r="C29" s="103" t="s">
        <v>135</v>
      </c>
      <c r="D29" s="87">
        <v>1</v>
      </c>
      <c r="E29" s="87">
        <v>3</v>
      </c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8">
        <f t="shared" si="1"/>
        <v>4</v>
      </c>
    </row>
    <row r="30" spans="1:16" ht="15" x14ac:dyDescent="0.25">
      <c r="A30" s="89"/>
      <c r="B30" s="85" t="s">
        <v>36</v>
      </c>
      <c r="C30" s="101" t="s">
        <v>47</v>
      </c>
      <c r="D30" s="87">
        <v>4</v>
      </c>
      <c r="E30" s="87">
        <v>1</v>
      </c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8">
        <f t="shared" si="1"/>
        <v>5</v>
      </c>
    </row>
    <row r="31" spans="1:16" ht="15" x14ac:dyDescent="0.25">
      <c r="A31" s="89"/>
      <c r="B31" s="85" t="s">
        <v>93</v>
      </c>
      <c r="C31" s="101" t="s">
        <v>96</v>
      </c>
      <c r="D31" s="87">
        <v>2</v>
      </c>
      <c r="E31" s="87">
        <v>2</v>
      </c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8">
        <f t="shared" si="1"/>
        <v>4</v>
      </c>
    </row>
    <row r="32" spans="1:16" ht="15" x14ac:dyDescent="0.25">
      <c r="A32" s="89"/>
      <c r="B32" s="85" t="s">
        <v>164</v>
      </c>
      <c r="C32" s="101" t="s">
        <v>137</v>
      </c>
      <c r="D32" s="87">
        <v>1</v>
      </c>
      <c r="E32" s="87">
        <v>2</v>
      </c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>
        <f t="shared" si="1"/>
        <v>3</v>
      </c>
    </row>
    <row r="33" spans="1:16" ht="15" x14ac:dyDescent="0.25">
      <c r="A33" s="89"/>
      <c r="B33" s="85" t="s">
        <v>112</v>
      </c>
      <c r="C33" s="101" t="s">
        <v>187</v>
      </c>
      <c r="D33" s="87">
        <v>0</v>
      </c>
      <c r="E33" s="87">
        <v>2</v>
      </c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8">
        <f t="shared" si="1"/>
        <v>2</v>
      </c>
    </row>
    <row r="34" spans="1:16" ht="15" x14ac:dyDescent="0.25">
      <c r="A34" s="89"/>
      <c r="B34" s="85" t="s">
        <v>92</v>
      </c>
      <c r="C34" s="101" t="s">
        <v>94</v>
      </c>
      <c r="D34" s="87">
        <v>2</v>
      </c>
      <c r="E34" s="87">
        <v>0</v>
      </c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8">
        <f t="shared" si="1"/>
        <v>2</v>
      </c>
    </row>
    <row r="35" spans="1:16" ht="15" x14ac:dyDescent="0.25">
      <c r="A35" s="89"/>
      <c r="B35" s="85" t="s">
        <v>25</v>
      </c>
      <c r="C35" s="101" t="s">
        <v>48</v>
      </c>
      <c r="D35" s="87">
        <v>0</v>
      </c>
      <c r="E35" s="87">
        <v>1</v>
      </c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8">
        <f t="shared" si="1"/>
        <v>1</v>
      </c>
    </row>
    <row r="36" spans="1:16" ht="15" x14ac:dyDescent="0.25">
      <c r="A36" s="89"/>
      <c r="B36" s="85" t="s">
        <v>73</v>
      </c>
      <c r="C36" s="101" t="s">
        <v>136</v>
      </c>
      <c r="D36" s="87">
        <v>1</v>
      </c>
      <c r="E36" s="87">
        <v>0</v>
      </c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8">
        <f t="shared" si="1"/>
        <v>1</v>
      </c>
    </row>
    <row r="37" spans="1:16" ht="15" x14ac:dyDescent="0.25">
      <c r="A37" s="89"/>
      <c r="B37" s="85" t="s">
        <v>65</v>
      </c>
      <c r="C37" s="101" t="s">
        <v>51</v>
      </c>
      <c r="D37" s="87">
        <v>1</v>
      </c>
      <c r="E37" s="87">
        <v>0</v>
      </c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8">
        <f t="shared" si="1"/>
        <v>1</v>
      </c>
    </row>
    <row r="38" spans="1:16" ht="15" x14ac:dyDescent="0.25">
      <c r="A38" s="89"/>
      <c r="B38" s="85" t="s">
        <v>167</v>
      </c>
      <c r="C38" s="101" t="s">
        <v>188</v>
      </c>
      <c r="D38" s="87">
        <v>0</v>
      </c>
      <c r="E38" s="87">
        <v>1</v>
      </c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8">
        <f t="shared" si="0"/>
        <v>1</v>
      </c>
    </row>
    <row r="39" spans="1:16" ht="15" x14ac:dyDescent="0.25">
      <c r="A39" s="90"/>
      <c r="B39" s="91" t="s">
        <v>109</v>
      </c>
      <c r="C39" s="102" t="s">
        <v>48</v>
      </c>
      <c r="D39" s="87">
        <v>0</v>
      </c>
      <c r="E39" s="87">
        <v>1</v>
      </c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8">
        <f t="shared" si="0"/>
        <v>1</v>
      </c>
    </row>
    <row r="40" spans="1:16" ht="15" x14ac:dyDescent="0.25">
      <c r="A40" s="85" t="s">
        <v>30</v>
      </c>
      <c r="B40" s="85" t="s">
        <v>58</v>
      </c>
      <c r="C40" s="101" t="s">
        <v>189</v>
      </c>
      <c r="D40" s="87">
        <v>1</v>
      </c>
      <c r="E40" s="87">
        <v>0</v>
      </c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8">
        <f t="shared" ref="P40:P50" si="2">SUM(D40:O40)</f>
        <v>1</v>
      </c>
    </row>
    <row r="41" spans="1:16" ht="15" x14ac:dyDescent="0.25">
      <c r="A41" s="89"/>
      <c r="B41" s="89"/>
      <c r="C41" s="104" t="s">
        <v>190</v>
      </c>
      <c r="D41" s="87">
        <v>0</v>
      </c>
      <c r="E41" s="87">
        <v>1</v>
      </c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8">
        <f t="shared" si="2"/>
        <v>1</v>
      </c>
    </row>
    <row r="42" spans="1:16" ht="15" x14ac:dyDescent="0.25">
      <c r="A42" s="89"/>
      <c r="B42" s="89"/>
      <c r="C42" s="104" t="s">
        <v>76</v>
      </c>
      <c r="D42" s="87">
        <v>0</v>
      </c>
      <c r="E42" s="87">
        <v>1</v>
      </c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8">
        <f t="shared" si="2"/>
        <v>1</v>
      </c>
    </row>
    <row r="43" spans="1:16" ht="15" x14ac:dyDescent="0.25">
      <c r="A43" s="89"/>
      <c r="B43" s="89"/>
      <c r="C43" s="104" t="s">
        <v>138</v>
      </c>
      <c r="D43" s="87">
        <v>1</v>
      </c>
      <c r="E43" s="87">
        <v>1</v>
      </c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8">
        <f t="shared" si="2"/>
        <v>2</v>
      </c>
    </row>
    <row r="44" spans="1:16" ht="15" x14ac:dyDescent="0.25">
      <c r="A44" s="89"/>
      <c r="B44" s="89"/>
      <c r="C44" s="104" t="s">
        <v>191</v>
      </c>
      <c r="D44" s="87">
        <v>2</v>
      </c>
      <c r="E44" s="87">
        <v>0</v>
      </c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8">
        <f t="shared" si="2"/>
        <v>2</v>
      </c>
    </row>
    <row r="45" spans="1:16" ht="15" x14ac:dyDescent="0.25">
      <c r="A45" s="89"/>
      <c r="B45" s="89"/>
      <c r="C45" s="104" t="s">
        <v>77</v>
      </c>
      <c r="D45" s="87">
        <v>0</v>
      </c>
      <c r="E45" s="87">
        <v>1</v>
      </c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8">
        <f t="shared" si="2"/>
        <v>1</v>
      </c>
    </row>
    <row r="46" spans="1:16" ht="15" x14ac:dyDescent="0.25">
      <c r="A46" s="89"/>
      <c r="B46" s="89"/>
      <c r="C46" s="104" t="s">
        <v>192</v>
      </c>
      <c r="D46" s="87">
        <v>0</v>
      </c>
      <c r="E46" s="87">
        <v>1</v>
      </c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8">
        <f t="shared" si="2"/>
        <v>1</v>
      </c>
    </row>
    <row r="47" spans="1:16" ht="15" x14ac:dyDescent="0.25">
      <c r="A47" s="89"/>
      <c r="B47" s="89"/>
      <c r="C47" s="104" t="s">
        <v>102</v>
      </c>
      <c r="D47" s="87">
        <v>1</v>
      </c>
      <c r="E47" s="87">
        <v>3</v>
      </c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8">
        <f t="shared" si="2"/>
        <v>4</v>
      </c>
    </row>
    <row r="48" spans="1:16" ht="15" x14ac:dyDescent="0.25">
      <c r="A48" s="89"/>
      <c r="B48" s="89"/>
      <c r="C48" s="104" t="s">
        <v>193</v>
      </c>
      <c r="D48" s="87">
        <v>1</v>
      </c>
      <c r="E48" s="87">
        <v>0</v>
      </c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8">
        <f t="shared" si="2"/>
        <v>1</v>
      </c>
    </row>
    <row r="49" spans="1:16" ht="15" x14ac:dyDescent="0.25">
      <c r="A49" s="89"/>
      <c r="B49" s="89"/>
      <c r="C49" s="104" t="s">
        <v>194</v>
      </c>
      <c r="D49" s="87">
        <v>0</v>
      </c>
      <c r="E49" s="87">
        <v>2</v>
      </c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8">
        <f t="shared" si="2"/>
        <v>2</v>
      </c>
    </row>
    <row r="50" spans="1:16" ht="15" x14ac:dyDescent="0.25">
      <c r="A50" s="89"/>
      <c r="B50" s="89"/>
      <c r="C50" s="104" t="s">
        <v>195</v>
      </c>
      <c r="D50" s="87">
        <v>1</v>
      </c>
      <c r="E50" s="87">
        <v>0</v>
      </c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8">
        <f t="shared" si="2"/>
        <v>1</v>
      </c>
    </row>
    <row r="51" spans="1:16" ht="15" x14ac:dyDescent="0.25">
      <c r="A51" s="89"/>
      <c r="B51" s="89"/>
      <c r="C51" s="104" t="s">
        <v>196</v>
      </c>
      <c r="D51" s="87">
        <v>0</v>
      </c>
      <c r="E51" s="87">
        <v>1</v>
      </c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8">
        <f t="shared" si="0"/>
        <v>1</v>
      </c>
    </row>
    <row r="52" spans="1:16" ht="15" x14ac:dyDescent="0.25">
      <c r="A52" s="89"/>
      <c r="B52" s="90"/>
      <c r="C52" s="103" t="s">
        <v>197</v>
      </c>
      <c r="D52" s="87">
        <v>0</v>
      </c>
      <c r="E52" s="87">
        <v>1</v>
      </c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8">
        <f t="shared" si="0"/>
        <v>1</v>
      </c>
    </row>
    <row r="53" spans="1:16" ht="15" x14ac:dyDescent="0.25">
      <c r="A53" s="89"/>
      <c r="B53" s="85" t="s">
        <v>86</v>
      </c>
      <c r="C53" s="101" t="s">
        <v>198</v>
      </c>
      <c r="D53" s="87">
        <v>0</v>
      </c>
      <c r="E53" s="87">
        <v>1</v>
      </c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8">
        <f t="shared" si="0"/>
        <v>1</v>
      </c>
    </row>
    <row r="54" spans="1:16" ht="15" x14ac:dyDescent="0.25">
      <c r="A54" s="89"/>
      <c r="B54" s="89"/>
      <c r="C54" s="104" t="s">
        <v>110</v>
      </c>
      <c r="D54" s="87">
        <v>1</v>
      </c>
      <c r="E54" s="87">
        <v>0</v>
      </c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8">
        <f t="shared" si="0"/>
        <v>1</v>
      </c>
    </row>
    <row r="55" spans="1:16" ht="15" x14ac:dyDescent="0.25">
      <c r="A55" s="89"/>
      <c r="B55" s="89"/>
      <c r="C55" s="104" t="s">
        <v>199</v>
      </c>
      <c r="D55" s="87">
        <v>0</v>
      </c>
      <c r="E55" s="87">
        <v>1</v>
      </c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8">
        <f t="shared" si="0"/>
        <v>1</v>
      </c>
    </row>
    <row r="56" spans="1:16" ht="15" x14ac:dyDescent="0.25">
      <c r="A56" s="89"/>
      <c r="B56" s="89"/>
      <c r="C56" s="104" t="s">
        <v>89</v>
      </c>
      <c r="D56" s="87">
        <v>1</v>
      </c>
      <c r="E56" s="87">
        <v>0</v>
      </c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8">
        <f t="shared" si="0"/>
        <v>1</v>
      </c>
    </row>
    <row r="57" spans="1:16" ht="15" x14ac:dyDescent="0.25">
      <c r="A57" s="89"/>
      <c r="B57" s="89"/>
      <c r="C57" s="104" t="s">
        <v>200</v>
      </c>
      <c r="D57" s="87">
        <v>0</v>
      </c>
      <c r="E57" s="87">
        <v>1</v>
      </c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8">
        <f t="shared" si="0"/>
        <v>1</v>
      </c>
    </row>
    <row r="58" spans="1:16" ht="15" x14ac:dyDescent="0.25">
      <c r="A58" s="89"/>
      <c r="B58" s="89"/>
      <c r="C58" s="104" t="s">
        <v>201</v>
      </c>
      <c r="D58" s="87">
        <v>2</v>
      </c>
      <c r="E58" s="87">
        <v>0</v>
      </c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8">
        <f t="shared" si="0"/>
        <v>2</v>
      </c>
    </row>
    <row r="59" spans="1:16" ht="15" x14ac:dyDescent="0.25">
      <c r="A59" s="90"/>
      <c r="B59" s="90"/>
      <c r="C59" s="103" t="s">
        <v>75</v>
      </c>
      <c r="D59" s="87">
        <v>2</v>
      </c>
      <c r="E59" s="87">
        <v>1</v>
      </c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8">
        <f t="shared" si="0"/>
        <v>3</v>
      </c>
    </row>
    <row r="60" spans="1:16" ht="15" x14ac:dyDescent="0.25">
      <c r="A60" s="85" t="s">
        <v>115</v>
      </c>
      <c r="B60" s="85" t="s">
        <v>70</v>
      </c>
      <c r="C60" s="101" t="s">
        <v>202</v>
      </c>
      <c r="D60" s="87">
        <v>1</v>
      </c>
      <c r="E60" s="87">
        <v>0</v>
      </c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8">
        <f t="shared" si="0"/>
        <v>1</v>
      </c>
    </row>
    <row r="61" spans="1:16" ht="15" x14ac:dyDescent="0.25">
      <c r="A61" s="89"/>
      <c r="B61" s="89"/>
      <c r="C61" s="104" t="s">
        <v>203</v>
      </c>
      <c r="D61" s="87">
        <v>2</v>
      </c>
      <c r="E61" s="87">
        <v>0</v>
      </c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8">
        <f t="shared" si="0"/>
        <v>2</v>
      </c>
    </row>
    <row r="62" spans="1:16" ht="15" x14ac:dyDescent="0.25">
      <c r="A62" s="90"/>
      <c r="B62" s="90"/>
      <c r="C62" s="103" t="s">
        <v>99</v>
      </c>
      <c r="D62" s="87">
        <v>1</v>
      </c>
      <c r="E62" s="87">
        <v>0</v>
      </c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8">
        <f t="shared" ref="P62:P182" si="3">SUM(D62:O62)</f>
        <v>1</v>
      </c>
    </row>
    <row r="63" spans="1:16" ht="15" x14ac:dyDescent="0.25">
      <c r="A63" s="85" t="s">
        <v>31</v>
      </c>
      <c r="B63" s="85" t="s">
        <v>72</v>
      </c>
      <c r="C63" s="101" t="s">
        <v>204</v>
      </c>
      <c r="D63" s="87">
        <v>0</v>
      </c>
      <c r="E63" s="87">
        <v>1</v>
      </c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8">
        <f t="shared" si="3"/>
        <v>1</v>
      </c>
    </row>
    <row r="64" spans="1:16" ht="15" x14ac:dyDescent="0.25">
      <c r="A64" s="89"/>
      <c r="B64" s="90"/>
      <c r="C64" s="103" t="s">
        <v>78</v>
      </c>
      <c r="D64" s="87">
        <v>2</v>
      </c>
      <c r="E64" s="87">
        <v>1</v>
      </c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8">
        <f t="shared" si="3"/>
        <v>3</v>
      </c>
    </row>
    <row r="65" spans="1:16" ht="15" x14ac:dyDescent="0.25">
      <c r="A65" s="89"/>
      <c r="B65" s="85" t="s">
        <v>85</v>
      </c>
      <c r="C65" s="101" t="s">
        <v>113</v>
      </c>
      <c r="D65" s="87">
        <v>1</v>
      </c>
      <c r="E65" s="87">
        <v>0</v>
      </c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8">
        <f t="shared" si="3"/>
        <v>1</v>
      </c>
    </row>
    <row r="66" spans="1:16" ht="15" x14ac:dyDescent="0.25">
      <c r="A66" s="89"/>
      <c r="B66" s="89"/>
      <c r="C66" s="104" t="s">
        <v>141</v>
      </c>
      <c r="D66" s="87">
        <v>0</v>
      </c>
      <c r="E66" s="87">
        <v>1</v>
      </c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8">
        <f t="shared" si="3"/>
        <v>1</v>
      </c>
    </row>
    <row r="67" spans="1:16" ht="15" x14ac:dyDescent="0.25">
      <c r="A67" s="89"/>
      <c r="B67" s="89"/>
      <c r="C67" s="104" t="s">
        <v>142</v>
      </c>
      <c r="D67" s="87">
        <v>1</v>
      </c>
      <c r="E67" s="87">
        <v>0</v>
      </c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8">
        <f t="shared" si="3"/>
        <v>1</v>
      </c>
    </row>
    <row r="68" spans="1:16" ht="15" x14ac:dyDescent="0.25">
      <c r="A68" s="89"/>
      <c r="B68" s="90"/>
      <c r="C68" s="103" t="s">
        <v>205</v>
      </c>
      <c r="D68" s="87">
        <v>0</v>
      </c>
      <c r="E68" s="87">
        <v>1</v>
      </c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8">
        <f t="shared" si="3"/>
        <v>1</v>
      </c>
    </row>
    <row r="69" spans="1:16" ht="15" x14ac:dyDescent="0.25">
      <c r="A69" s="89"/>
      <c r="B69" s="85" t="s">
        <v>126</v>
      </c>
      <c r="C69" s="101" t="s">
        <v>140</v>
      </c>
      <c r="D69" s="87">
        <v>1</v>
      </c>
      <c r="E69" s="87">
        <v>0</v>
      </c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8">
        <f t="shared" si="3"/>
        <v>1</v>
      </c>
    </row>
    <row r="70" spans="1:16" ht="15" x14ac:dyDescent="0.25">
      <c r="A70" s="90"/>
      <c r="B70" s="90"/>
      <c r="C70" s="103" t="s">
        <v>206</v>
      </c>
      <c r="D70" s="87">
        <v>0</v>
      </c>
      <c r="E70" s="87">
        <v>1</v>
      </c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8">
        <f t="shared" si="3"/>
        <v>1</v>
      </c>
    </row>
    <row r="71" spans="1:16" ht="15" x14ac:dyDescent="0.25">
      <c r="A71" s="85" t="s">
        <v>27</v>
      </c>
      <c r="B71" s="91" t="s">
        <v>65</v>
      </c>
      <c r="C71" s="102" t="s">
        <v>51</v>
      </c>
      <c r="D71" s="87">
        <v>67</v>
      </c>
      <c r="E71" s="87">
        <v>81</v>
      </c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8">
        <f t="shared" si="3"/>
        <v>148</v>
      </c>
    </row>
    <row r="72" spans="1:16" ht="15" x14ac:dyDescent="0.25">
      <c r="A72" s="89"/>
      <c r="B72" s="85" t="s">
        <v>58</v>
      </c>
      <c r="C72" s="101" t="s">
        <v>207</v>
      </c>
      <c r="D72" s="87">
        <v>0</v>
      </c>
      <c r="E72" s="87">
        <v>1</v>
      </c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8">
        <f t="shared" si="3"/>
        <v>1</v>
      </c>
    </row>
    <row r="73" spans="1:16" ht="15" x14ac:dyDescent="0.25">
      <c r="A73" s="89"/>
      <c r="B73" s="89"/>
      <c r="C73" s="104" t="s">
        <v>208</v>
      </c>
      <c r="D73" s="87">
        <v>3</v>
      </c>
      <c r="E73" s="87">
        <v>1</v>
      </c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8">
        <f t="shared" si="3"/>
        <v>4</v>
      </c>
    </row>
    <row r="74" spans="1:16" ht="15" x14ac:dyDescent="0.25">
      <c r="A74" s="89"/>
      <c r="B74" s="89"/>
      <c r="C74" s="104" t="s">
        <v>209</v>
      </c>
      <c r="D74" s="87">
        <v>1</v>
      </c>
      <c r="E74" s="87">
        <v>0</v>
      </c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8">
        <f t="shared" si="3"/>
        <v>1</v>
      </c>
    </row>
    <row r="75" spans="1:16" ht="15" x14ac:dyDescent="0.25">
      <c r="A75" s="89"/>
      <c r="B75" s="89"/>
      <c r="C75" s="104" t="s">
        <v>210</v>
      </c>
      <c r="D75" s="87">
        <v>3</v>
      </c>
      <c r="E75" s="87">
        <v>1</v>
      </c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8">
        <f t="shared" si="3"/>
        <v>4</v>
      </c>
    </row>
    <row r="76" spans="1:16" ht="15" x14ac:dyDescent="0.25">
      <c r="A76" s="89"/>
      <c r="B76" s="89"/>
      <c r="C76" s="104" t="s">
        <v>211</v>
      </c>
      <c r="D76" s="87">
        <v>0</v>
      </c>
      <c r="E76" s="87">
        <v>2</v>
      </c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8">
        <f t="shared" si="3"/>
        <v>2</v>
      </c>
    </row>
    <row r="77" spans="1:16" ht="15" x14ac:dyDescent="0.25">
      <c r="A77" s="89"/>
      <c r="B77" s="89"/>
      <c r="C77" s="104" t="s">
        <v>76</v>
      </c>
      <c r="D77" s="87">
        <v>6</v>
      </c>
      <c r="E77" s="87">
        <v>12</v>
      </c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8">
        <f t="shared" si="3"/>
        <v>18</v>
      </c>
    </row>
    <row r="78" spans="1:16" ht="15" x14ac:dyDescent="0.25">
      <c r="A78" s="89"/>
      <c r="B78" s="89"/>
      <c r="C78" s="104" t="s">
        <v>138</v>
      </c>
      <c r="D78" s="87">
        <v>0</v>
      </c>
      <c r="E78" s="87">
        <v>7</v>
      </c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8">
        <f t="shared" si="3"/>
        <v>7</v>
      </c>
    </row>
    <row r="79" spans="1:16" ht="15" x14ac:dyDescent="0.25">
      <c r="A79" s="89"/>
      <c r="B79" s="89"/>
      <c r="C79" s="104" t="s">
        <v>212</v>
      </c>
      <c r="D79" s="87">
        <v>1</v>
      </c>
      <c r="E79" s="87">
        <v>0</v>
      </c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8">
        <f t="shared" si="3"/>
        <v>1</v>
      </c>
    </row>
    <row r="80" spans="1:16" ht="15" x14ac:dyDescent="0.25">
      <c r="A80" s="89"/>
      <c r="B80" s="89"/>
      <c r="C80" s="104" t="s">
        <v>77</v>
      </c>
      <c r="D80" s="87">
        <v>16</v>
      </c>
      <c r="E80" s="87">
        <v>15</v>
      </c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8">
        <f t="shared" si="3"/>
        <v>31</v>
      </c>
    </row>
    <row r="81" spans="1:16" ht="15" x14ac:dyDescent="0.25">
      <c r="A81" s="89"/>
      <c r="B81" s="89"/>
      <c r="C81" s="104" t="s">
        <v>213</v>
      </c>
      <c r="D81" s="87">
        <v>1</v>
      </c>
      <c r="E81" s="87">
        <v>0</v>
      </c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8">
        <f t="shared" si="3"/>
        <v>1</v>
      </c>
    </row>
    <row r="82" spans="1:16" ht="15" x14ac:dyDescent="0.25">
      <c r="A82" s="89"/>
      <c r="B82" s="89"/>
      <c r="C82" s="104" t="s">
        <v>214</v>
      </c>
      <c r="D82" s="87">
        <v>0</v>
      </c>
      <c r="E82" s="87">
        <v>1</v>
      </c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8">
        <f t="shared" si="3"/>
        <v>1</v>
      </c>
    </row>
    <row r="83" spans="1:16" ht="15" x14ac:dyDescent="0.25">
      <c r="A83" s="89"/>
      <c r="B83" s="89"/>
      <c r="C83" s="104" t="s">
        <v>192</v>
      </c>
      <c r="D83" s="87">
        <v>1</v>
      </c>
      <c r="E83" s="87">
        <v>1</v>
      </c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8">
        <f t="shared" si="3"/>
        <v>2</v>
      </c>
    </row>
    <row r="84" spans="1:16" ht="15" x14ac:dyDescent="0.25">
      <c r="A84" s="89"/>
      <c r="B84" s="89"/>
      <c r="C84" s="104" t="s">
        <v>101</v>
      </c>
      <c r="D84" s="87">
        <v>0</v>
      </c>
      <c r="E84" s="87">
        <v>3</v>
      </c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8">
        <f t="shared" si="3"/>
        <v>3</v>
      </c>
    </row>
    <row r="85" spans="1:16" ht="15" x14ac:dyDescent="0.25">
      <c r="A85" s="89"/>
      <c r="B85" s="89"/>
      <c r="C85" s="104" t="s">
        <v>102</v>
      </c>
      <c r="D85" s="87">
        <v>10</v>
      </c>
      <c r="E85" s="87">
        <v>12</v>
      </c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8">
        <f t="shared" si="3"/>
        <v>22</v>
      </c>
    </row>
    <row r="86" spans="1:16" ht="15" x14ac:dyDescent="0.25">
      <c r="A86" s="89"/>
      <c r="B86" s="89"/>
      <c r="C86" s="104" t="s">
        <v>215</v>
      </c>
      <c r="D86" s="87">
        <v>2</v>
      </c>
      <c r="E86" s="87">
        <v>3</v>
      </c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8">
        <f t="shared" si="3"/>
        <v>5</v>
      </c>
    </row>
    <row r="87" spans="1:16" ht="15" x14ac:dyDescent="0.25">
      <c r="A87" s="89"/>
      <c r="B87" s="89"/>
      <c r="C87" s="104" t="s">
        <v>139</v>
      </c>
      <c r="D87" s="87">
        <v>5</v>
      </c>
      <c r="E87" s="87">
        <v>1</v>
      </c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8">
        <f t="shared" ref="P87:P103" si="4">SUM(D87:O87)</f>
        <v>6</v>
      </c>
    </row>
    <row r="88" spans="1:16" ht="15" x14ac:dyDescent="0.25">
      <c r="A88" s="89"/>
      <c r="B88" s="89"/>
      <c r="C88" s="104" t="s">
        <v>216</v>
      </c>
      <c r="D88" s="87">
        <v>10</v>
      </c>
      <c r="E88" s="87">
        <v>10</v>
      </c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8">
        <f t="shared" si="4"/>
        <v>20</v>
      </c>
    </row>
    <row r="89" spans="1:16" ht="15" x14ac:dyDescent="0.25">
      <c r="A89" s="89"/>
      <c r="B89" s="89"/>
      <c r="C89" s="104" t="s">
        <v>217</v>
      </c>
      <c r="D89" s="87">
        <v>1</v>
      </c>
      <c r="E89" s="87">
        <v>0</v>
      </c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8">
        <f t="shared" si="4"/>
        <v>1</v>
      </c>
    </row>
    <row r="90" spans="1:16" ht="15" x14ac:dyDescent="0.25">
      <c r="A90" s="89"/>
      <c r="B90" s="89"/>
      <c r="C90" s="104" t="s">
        <v>218</v>
      </c>
      <c r="D90" s="87">
        <v>4</v>
      </c>
      <c r="E90" s="87">
        <v>4</v>
      </c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8">
        <f t="shared" si="4"/>
        <v>8</v>
      </c>
    </row>
    <row r="91" spans="1:16" ht="15" x14ac:dyDescent="0.25">
      <c r="A91" s="89"/>
      <c r="B91" s="89"/>
      <c r="C91" s="104" t="s">
        <v>196</v>
      </c>
      <c r="D91" s="87">
        <v>4</v>
      </c>
      <c r="E91" s="87">
        <v>1</v>
      </c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8">
        <f t="shared" si="4"/>
        <v>5</v>
      </c>
    </row>
    <row r="92" spans="1:16" ht="15" x14ac:dyDescent="0.25">
      <c r="A92" s="89"/>
      <c r="B92" s="89"/>
      <c r="C92" s="104" t="s">
        <v>219</v>
      </c>
      <c r="D92" s="87">
        <v>0</v>
      </c>
      <c r="E92" s="87">
        <v>1</v>
      </c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8">
        <f t="shared" si="4"/>
        <v>1</v>
      </c>
    </row>
    <row r="93" spans="1:16" ht="15" x14ac:dyDescent="0.25">
      <c r="A93" s="89"/>
      <c r="B93" s="89"/>
      <c r="C93" s="104" t="s">
        <v>220</v>
      </c>
      <c r="D93" s="87">
        <v>1</v>
      </c>
      <c r="E93" s="87">
        <v>0</v>
      </c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8">
        <f t="shared" si="4"/>
        <v>1</v>
      </c>
    </row>
    <row r="94" spans="1:16" ht="15" x14ac:dyDescent="0.25">
      <c r="A94" s="89"/>
      <c r="B94" s="90"/>
      <c r="C94" s="103" t="s">
        <v>221</v>
      </c>
      <c r="D94" s="87">
        <v>0</v>
      </c>
      <c r="E94" s="87">
        <v>1</v>
      </c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8">
        <f t="shared" si="4"/>
        <v>1</v>
      </c>
    </row>
    <row r="95" spans="1:16" ht="15" x14ac:dyDescent="0.25">
      <c r="A95" s="89"/>
      <c r="B95" s="85" t="s">
        <v>16</v>
      </c>
      <c r="C95" s="101" t="s">
        <v>143</v>
      </c>
      <c r="D95" s="87">
        <v>0</v>
      </c>
      <c r="E95" s="87">
        <v>2</v>
      </c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8">
        <f t="shared" si="4"/>
        <v>2</v>
      </c>
    </row>
    <row r="96" spans="1:16" ht="15" x14ac:dyDescent="0.25">
      <c r="A96" s="89"/>
      <c r="B96" s="89"/>
      <c r="C96" s="104" t="s">
        <v>111</v>
      </c>
      <c r="D96" s="87">
        <v>3</v>
      </c>
      <c r="E96" s="87">
        <v>0</v>
      </c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8">
        <f t="shared" si="4"/>
        <v>3</v>
      </c>
    </row>
    <row r="97" spans="1:16" ht="15" x14ac:dyDescent="0.25">
      <c r="A97" s="89"/>
      <c r="B97" s="89"/>
      <c r="C97" s="104" t="s">
        <v>53</v>
      </c>
      <c r="D97" s="87">
        <v>2</v>
      </c>
      <c r="E97" s="87">
        <v>13</v>
      </c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8">
        <f t="shared" si="4"/>
        <v>15</v>
      </c>
    </row>
    <row r="98" spans="1:16" ht="15" x14ac:dyDescent="0.25">
      <c r="A98" s="89"/>
      <c r="B98" s="89"/>
      <c r="C98" s="104" t="s">
        <v>222</v>
      </c>
      <c r="D98" s="87">
        <v>0</v>
      </c>
      <c r="E98" s="87">
        <v>15</v>
      </c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8">
        <f t="shared" si="4"/>
        <v>15</v>
      </c>
    </row>
    <row r="99" spans="1:16" ht="15" x14ac:dyDescent="0.25">
      <c r="A99" s="89"/>
      <c r="B99" s="89"/>
      <c r="C99" s="104" t="s">
        <v>223</v>
      </c>
      <c r="D99" s="87">
        <v>4</v>
      </c>
      <c r="E99" s="87">
        <v>0</v>
      </c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8">
        <f t="shared" si="4"/>
        <v>4</v>
      </c>
    </row>
    <row r="100" spans="1:16" ht="15" x14ac:dyDescent="0.25">
      <c r="A100" s="89"/>
      <c r="B100" s="89"/>
      <c r="C100" s="104" t="s">
        <v>224</v>
      </c>
      <c r="D100" s="87">
        <v>0</v>
      </c>
      <c r="E100" s="87">
        <v>1</v>
      </c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8">
        <f t="shared" si="4"/>
        <v>1</v>
      </c>
    </row>
    <row r="101" spans="1:16" ht="15" x14ac:dyDescent="0.25">
      <c r="A101" s="89"/>
      <c r="B101" s="90"/>
      <c r="C101" s="103" t="s">
        <v>225</v>
      </c>
      <c r="D101" s="87">
        <v>0</v>
      </c>
      <c r="E101" s="87">
        <v>7</v>
      </c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8">
        <f t="shared" si="4"/>
        <v>7</v>
      </c>
    </row>
    <row r="102" spans="1:16" ht="15" x14ac:dyDescent="0.25">
      <c r="A102" s="89"/>
      <c r="B102" s="85" t="s">
        <v>109</v>
      </c>
      <c r="C102" s="101" t="s">
        <v>48</v>
      </c>
      <c r="D102" s="87">
        <v>22</v>
      </c>
      <c r="E102" s="87">
        <v>19</v>
      </c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8">
        <f t="shared" si="4"/>
        <v>41</v>
      </c>
    </row>
    <row r="103" spans="1:16" ht="15" x14ac:dyDescent="0.25">
      <c r="A103" s="89"/>
      <c r="B103" s="85" t="s">
        <v>84</v>
      </c>
      <c r="C103" s="101" t="s">
        <v>48</v>
      </c>
      <c r="D103" s="87">
        <v>18</v>
      </c>
      <c r="E103" s="87">
        <v>19</v>
      </c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8">
        <f t="shared" si="4"/>
        <v>37</v>
      </c>
    </row>
    <row r="104" spans="1:16" ht="15" x14ac:dyDescent="0.25">
      <c r="A104" s="89"/>
      <c r="B104" s="91" t="s">
        <v>25</v>
      </c>
      <c r="C104" s="102" t="s">
        <v>48</v>
      </c>
      <c r="D104" s="87">
        <v>21</v>
      </c>
      <c r="E104" s="87">
        <v>12</v>
      </c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8">
        <f t="shared" ref="P104:P126" si="5">SUM(D104:O104)</f>
        <v>33</v>
      </c>
    </row>
    <row r="105" spans="1:16" ht="15" x14ac:dyDescent="0.25">
      <c r="A105" s="89"/>
      <c r="B105" s="85" t="s">
        <v>68</v>
      </c>
      <c r="C105" s="101" t="s">
        <v>226</v>
      </c>
      <c r="D105" s="87">
        <v>2</v>
      </c>
      <c r="E105" s="87">
        <v>3</v>
      </c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8">
        <f t="shared" si="5"/>
        <v>5</v>
      </c>
    </row>
    <row r="106" spans="1:16" ht="15" x14ac:dyDescent="0.25">
      <c r="A106" s="89"/>
      <c r="B106" s="89"/>
      <c r="C106" s="104" t="s">
        <v>114</v>
      </c>
      <c r="D106" s="87">
        <v>0</v>
      </c>
      <c r="E106" s="87">
        <v>1</v>
      </c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8">
        <f t="shared" si="5"/>
        <v>1</v>
      </c>
    </row>
    <row r="107" spans="1:16" ht="15" x14ac:dyDescent="0.25">
      <c r="A107" s="89"/>
      <c r="B107" s="89"/>
      <c r="C107" s="104" t="s">
        <v>98</v>
      </c>
      <c r="D107" s="87">
        <v>3</v>
      </c>
      <c r="E107" s="87">
        <v>9</v>
      </c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8">
        <f t="shared" si="5"/>
        <v>12</v>
      </c>
    </row>
    <row r="108" spans="1:16" ht="15" x14ac:dyDescent="0.25">
      <c r="A108" s="89"/>
      <c r="B108" s="90"/>
      <c r="C108" s="103" t="s">
        <v>227</v>
      </c>
      <c r="D108" s="87">
        <v>1</v>
      </c>
      <c r="E108" s="87">
        <v>1</v>
      </c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8">
        <f t="shared" si="5"/>
        <v>2</v>
      </c>
    </row>
    <row r="109" spans="1:16" ht="15" x14ac:dyDescent="0.25">
      <c r="A109" s="89"/>
      <c r="B109" s="85" t="s">
        <v>26</v>
      </c>
      <c r="C109" s="101" t="s">
        <v>55</v>
      </c>
      <c r="D109" s="87">
        <v>1</v>
      </c>
      <c r="E109" s="87">
        <v>0</v>
      </c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8">
        <f t="shared" si="5"/>
        <v>1</v>
      </c>
    </row>
    <row r="110" spans="1:16" ht="15" x14ac:dyDescent="0.25">
      <c r="A110" s="89"/>
      <c r="B110" s="89"/>
      <c r="C110" s="104" t="s">
        <v>228</v>
      </c>
      <c r="D110" s="87">
        <v>4</v>
      </c>
      <c r="E110" s="87">
        <v>1</v>
      </c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8">
        <f t="shared" si="5"/>
        <v>5</v>
      </c>
    </row>
    <row r="111" spans="1:16" ht="15" x14ac:dyDescent="0.25">
      <c r="A111" s="89"/>
      <c r="B111" s="89"/>
      <c r="C111" s="104" t="s">
        <v>145</v>
      </c>
      <c r="D111" s="87">
        <v>0</v>
      </c>
      <c r="E111" s="87">
        <v>1</v>
      </c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8">
        <f t="shared" si="5"/>
        <v>1</v>
      </c>
    </row>
    <row r="112" spans="1:16" ht="15" x14ac:dyDescent="0.25">
      <c r="A112" s="89"/>
      <c r="B112" s="90"/>
      <c r="C112" s="103" t="s">
        <v>229</v>
      </c>
      <c r="D112" s="87">
        <v>6</v>
      </c>
      <c r="E112" s="87">
        <v>0</v>
      </c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8">
        <f t="shared" si="5"/>
        <v>6</v>
      </c>
    </row>
    <row r="113" spans="1:16" ht="15" x14ac:dyDescent="0.25">
      <c r="A113" s="89"/>
      <c r="B113" s="91" t="s">
        <v>60</v>
      </c>
      <c r="C113" s="102" t="s">
        <v>61</v>
      </c>
      <c r="D113" s="87">
        <v>10</v>
      </c>
      <c r="E113" s="87">
        <v>2</v>
      </c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8">
        <f t="shared" si="5"/>
        <v>12</v>
      </c>
    </row>
    <row r="114" spans="1:16" ht="15" x14ac:dyDescent="0.25">
      <c r="A114" s="89"/>
      <c r="B114" s="85" t="s">
        <v>24</v>
      </c>
      <c r="C114" s="101" t="s">
        <v>54</v>
      </c>
      <c r="D114" s="87">
        <v>6</v>
      </c>
      <c r="E114" s="87">
        <v>4</v>
      </c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8">
        <f t="shared" si="5"/>
        <v>10</v>
      </c>
    </row>
    <row r="115" spans="1:16" ht="15" x14ac:dyDescent="0.25">
      <c r="A115" s="89"/>
      <c r="B115" s="89"/>
      <c r="C115" s="104" t="s">
        <v>97</v>
      </c>
      <c r="D115" s="87">
        <v>1</v>
      </c>
      <c r="E115" s="87">
        <v>0</v>
      </c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8">
        <f t="shared" si="5"/>
        <v>1</v>
      </c>
    </row>
    <row r="116" spans="1:16" ht="15" x14ac:dyDescent="0.25">
      <c r="A116" s="89"/>
      <c r="B116" s="90"/>
      <c r="C116" s="103" t="s">
        <v>230</v>
      </c>
      <c r="D116" s="87">
        <v>0</v>
      </c>
      <c r="E116" s="87">
        <v>1</v>
      </c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8">
        <f t="shared" si="5"/>
        <v>1</v>
      </c>
    </row>
    <row r="117" spans="1:16" ht="15" x14ac:dyDescent="0.25">
      <c r="A117" s="89"/>
      <c r="B117" s="91" t="s">
        <v>107</v>
      </c>
      <c r="C117" s="102" t="s">
        <v>108</v>
      </c>
      <c r="D117" s="87">
        <v>9</v>
      </c>
      <c r="E117" s="87">
        <v>2</v>
      </c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8">
        <f t="shared" si="5"/>
        <v>11</v>
      </c>
    </row>
    <row r="118" spans="1:16" ht="15" x14ac:dyDescent="0.25">
      <c r="A118" s="89"/>
      <c r="B118" s="85" t="s">
        <v>20</v>
      </c>
      <c r="C118" s="101" t="s">
        <v>231</v>
      </c>
      <c r="D118" s="87">
        <v>2</v>
      </c>
      <c r="E118" s="87">
        <v>0</v>
      </c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8">
        <f t="shared" si="5"/>
        <v>2</v>
      </c>
    </row>
    <row r="119" spans="1:16" ht="15" x14ac:dyDescent="0.25">
      <c r="A119" s="89"/>
      <c r="B119" s="89"/>
      <c r="C119" s="104" t="s">
        <v>52</v>
      </c>
      <c r="D119" s="87">
        <v>2</v>
      </c>
      <c r="E119" s="87">
        <v>4</v>
      </c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8">
        <f t="shared" si="5"/>
        <v>6</v>
      </c>
    </row>
    <row r="120" spans="1:16" ht="15" x14ac:dyDescent="0.25">
      <c r="A120" s="89"/>
      <c r="B120" s="89"/>
      <c r="C120" s="104" t="s">
        <v>232</v>
      </c>
      <c r="D120" s="87">
        <v>1</v>
      </c>
      <c r="E120" s="87">
        <v>0</v>
      </c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8">
        <f t="shared" si="5"/>
        <v>1</v>
      </c>
    </row>
    <row r="121" spans="1:16" ht="15" x14ac:dyDescent="0.25">
      <c r="A121" s="89"/>
      <c r="B121" s="90"/>
      <c r="C121" s="103" t="s">
        <v>233</v>
      </c>
      <c r="D121" s="87">
        <v>0</v>
      </c>
      <c r="E121" s="87">
        <v>1</v>
      </c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8">
        <f t="shared" si="5"/>
        <v>1</v>
      </c>
    </row>
    <row r="122" spans="1:16" ht="15" x14ac:dyDescent="0.25">
      <c r="A122" s="89"/>
      <c r="B122" s="91" t="s">
        <v>159</v>
      </c>
      <c r="C122" s="102" t="s">
        <v>234</v>
      </c>
      <c r="D122" s="87">
        <v>0</v>
      </c>
      <c r="E122" s="87">
        <v>9</v>
      </c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8">
        <f t="shared" si="5"/>
        <v>9</v>
      </c>
    </row>
    <row r="123" spans="1:16" ht="15" x14ac:dyDescent="0.25">
      <c r="A123" s="89"/>
      <c r="B123" s="85" t="s">
        <v>22</v>
      </c>
      <c r="C123" s="101" t="s">
        <v>235</v>
      </c>
      <c r="D123" s="87">
        <v>0</v>
      </c>
      <c r="E123" s="87">
        <v>3</v>
      </c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8">
        <f t="shared" si="5"/>
        <v>3</v>
      </c>
    </row>
    <row r="124" spans="1:16" ht="15" x14ac:dyDescent="0.25">
      <c r="A124" s="89"/>
      <c r="B124" s="89"/>
      <c r="C124" s="104" t="s">
        <v>236</v>
      </c>
      <c r="D124" s="87">
        <v>1</v>
      </c>
      <c r="E124" s="87">
        <v>2</v>
      </c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8">
        <f t="shared" si="5"/>
        <v>3</v>
      </c>
    </row>
    <row r="125" spans="1:16" ht="15" x14ac:dyDescent="0.25">
      <c r="A125" s="89"/>
      <c r="B125" s="89"/>
      <c r="C125" s="104" t="s">
        <v>237</v>
      </c>
      <c r="D125" s="87">
        <v>1</v>
      </c>
      <c r="E125" s="87">
        <v>0</v>
      </c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8">
        <f t="shared" si="5"/>
        <v>1</v>
      </c>
    </row>
    <row r="126" spans="1:16" ht="15" x14ac:dyDescent="0.25">
      <c r="A126" s="89"/>
      <c r="B126" s="90"/>
      <c r="C126" s="103" t="s">
        <v>238</v>
      </c>
      <c r="D126" s="87">
        <v>1</v>
      </c>
      <c r="E126" s="87">
        <v>0</v>
      </c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8">
        <f t="shared" si="5"/>
        <v>1</v>
      </c>
    </row>
    <row r="127" spans="1:16" ht="15" x14ac:dyDescent="0.25">
      <c r="A127" s="89"/>
      <c r="B127" s="85" t="s">
        <v>18</v>
      </c>
      <c r="C127" s="101" t="s">
        <v>83</v>
      </c>
      <c r="D127" s="87">
        <v>1</v>
      </c>
      <c r="E127" s="87">
        <v>1</v>
      </c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8">
        <f t="shared" si="3"/>
        <v>2</v>
      </c>
    </row>
    <row r="128" spans="1:16" ht="15" x14ac:dyDescent="0.25">
      <c r="A128" s="89"/>
      <c r="B128" s="90"/>
      <c r="C128" s="103" t="s">
        <v>106</v>
      </c>
      <c r="D128" s="87">
        <v>6</v>
      </c>
      <c r="E128" s="87">
        <v>0</v>
      </c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8">
        <f t="shared" si="3"/>
        <v>6</v>
      </c>
    </row>
    <row r="129" spans="1:16" ht="15" x14ac:dyDescent="0.25">
      <c r="A129" s="89"/>
      <c r="B129" s="91" t="s">
        <v>36</v>
      </c>
      <c r="C129" s="102" t="s">
        <v>47</v>
      </c>
      <c r="D129" s="87">
        <v>7</v>
      </c>
      <c r="E129" s="87">
        <v>1</v>
      </c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8">
        <f t="shared" si="3"/>
        <v>8</v>
      </c>
    </row>
    <row r="130" spans="1:16" ht="15" x14ac:dyDescent="0.25">
      <c r="A130" s="89"/>
      <c r="B130" s="85" t="s">
        <v>122</v>
      </c>
      <c r="C130" s="101" t="s">
        <v>239</v>
      </c>
      <c r="D130" s="87">
        <v>1</v>
      </c>
      <c r="E130" s="87">
        <v>1</v>
      </c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8">
        <f t="shared" si="3"/>
        <v>2</v>
      </c>
    </row>
    <row r="131" spans="1:16" ht="15" x14ac:dyDescent="0.25">
      <c r="A131" s="89"/>
      <c r="B131" s="89"/>
      <c r="C131" s="104" t="s">
        <v>146</v>
      </c>
      <c r="D131" s="87">
        <v>2</v>
      </c>
      <c r="E131" s="87">
        <v>0</v>
      </c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8">
        <f t="shared" si="3"/>
        <v>2</v>
      </c>
    </row>
    <row r="132" spans="1:16" ht="15" x14ac:dyDescent="0.25">
      <c r="A132" s="89"/>
      <c r="B132" s="89"/>
      <c r="C132" s="104" t="s">
        <v>147</v>
      </c>
      <c r="D132" s="87">
        <v>2</v>
      </c>
      <c r="E132" s="87">
        <v>0</v>
      </c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8">
        <f t="shared" si="3"/>
        <v>2</v>
      </c>
    </row>
    <row r="133" spans="1:16" ht="15" x14ac:dyDescent="0.25">
      <c r="A133" s="89"/>
      <c r="B133" s="90"/>
      <c r="C133" s="103" t="s">
        <v>240</v>
      </c>
      <c r="D133" s="87">
        <v>1</v>
      </c>
      <c r="E133" s="87">
        <v>0</v>
      </c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8">
        <f t="shared" si="3"/>
        <v>1</v>
      </c>
    </row>
    <row r="134" spans="1:16" ht="15" x14ac:dyDescent="0.25">
      <c r="A134" s="89"/>
      <c r="B134" s="85" t="s">
        <v>67</v>
      </c>
      <c r="C134" s="101" t="s">
        <v>41</v>
      </c>
      <c r="D134" s="87">
        <v>0</v>
      </c>
      <c r="E134" s="87">
        <v>7</v>
      </c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8">
        <f t="shared" si="3"/>
        <v>7</v>
      </c>
    </row>
    <row r="135" spans="1:16" ht="15" x14ac:dyDescent="0.25">
      <c r="A135" s="89"/>
      <c r="B135" s="91" t="s">
        <v>15</v>
      </c>
      <c r="C135" s="102" t="s">
        <v>59</v>
      </c>
      <c r="D135" s="87">
        <v>5</v>
      </c>
      <c r="E135" s="87">
        <v>1</v>
      </c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8">
        <f t="shared" si="3"/>
        <v>6</v>
      </c>
    </row>
    <row r="136" spans="1:16" ht="15" x14ac:dyDescent="0.25">
      <c r="A136" s="89"/>
      <c r="B136" s="85" t="s">
        <v>69</v>
      </c>
      <c r="C136" s="101" t="s">
        <v>81</v>
      </c>
      <c r="D136" s="87">
        <v>2</v>
      </c>
      <c r="E136" s="87">
        <v>2</v>
      </c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8">
        <f t="shared" si="3"/>
        <v>4</v>
      </c>
    </row>
    <row r="137" spans="1:16" ht="15" x14ac:dyDescent="0.25">
      <c r="A137" s="89"/>
      <c r="B137" s="90"/>
      <c r="C137" s="103" t="s">
        <v>82</v>
      </c>
      <c r="D137" s="87">
        <v>1</v>
      </c>
      <c r="E137" s="87">
        <v>1</v>
      </c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8">
        <f t="shared" si="3"/>
        <v>2</v>
      </c>
    </row>
    <row r="138" spans="1:16" ht="15" x14ac:dyDescent="0.25">
      <c r="A138" s="89"/>
      <c r="B138" s="85" t="s">
        <v>160</v>
      </c>
      <c r="C138" s="101" t="s">
        <v>241</v>
      </c>
      <c r="D138" s="87">
        <v>6</v>
      </c>
      <c r="E138" s="87">
        <v>0</v>
      </c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8">
        <f t="shared" ref="P138:P179" si="6">SUM(D138:O138)</f>
        <v>6</v>
      </c>
    </row>
    <row r="139" spans="1:16" ht="15" x14ac:dyDescent="0.25">
      <c r="A139" s="89"/>
      <c r="B139" s="91" t="s">
        <v>158</v>
      </c>
      <c r="C139" s="102" t="s">
        <v>242</v>
      </c>
      <c r="D139" s="87">
        <v>4</v>
      </c>
      <c r="E139" s="87">
        <v>2</v>
      </c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8">
        <f t="shared" si="6"/>
        <v>6</v>
      </c>
    </row>
    <row r="140" spans="1:16" ht="15" x14ac:dyDescent="0.25">
      <c r="A140" s="89"/>
      <c r="B140" s="85" t="s">
        <v>124</v>
      </c>
      <c r="C140" s="101" t="s">
        <v>243</v>
      </c>
      <c r="D140" s="87">
        <v>1</v>
      </c>
      <c r="E140" s="87">
        <v>0</v>
      </c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8">
        <f t="shared" si="6"/>
        <v>1</v>
      </c>
    </row>
    <row r="141" spans="1:16" ht="15" x14ac:dyDescent="0.25">
      <c r="A141" s="89"/>
      <c r="B141" s="90"/>
      <c r="C141" s="103" t="s">
        <v>83</v>
      </c>
      <c r="D141" s="87">
        <v>0</v>
      </c>
      <c r="E141" s="87">
        <v>4</v>
      </c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8">
        <f t="shared" si="6"/>
        <v>4</v>
      </c>
    </row>
    <row r="142" spans="1:16" ht="15" x14ac:dyDescent="0.25">
      <c r="A142" s="89"/>
      <c r="B142" s="85" t="s">
        <v>161</v>
      </c>
      <c r="C142" s="101" t="s">
        <v>244</v>
      </c>
      <c r="D142" s="87">
        <v>4</v>
      </c>
      <c r="E142" s="87">
        <v>1</v>
      </c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8">
        <f t="shared" si="6"/>
        <v>5</v>
      </c>
    </row>
    <row r="143" spans="1:16" ht="15" x14ac:dyDescent="0.25">
      <c r="A143" s="89"/>
      <c r="B143" s="91" t="s">
        <v>162</v>
      </c>
      <c r="C143" s="102" t="s">
        <v>41</v>
      </c>
      <c r="D143" s="87">
        <v>2</v>
      </c>
      <c r="E143" s="87">
        <v>3</v>
      </c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8">
        <f t="shared" si="6"/>
        <v>5</v>
      </c>
    </row>
    <row r="144" spans="1:16" ht="15" x14ac:dyDescent="0.25">
      <c r="A144" s="89"/>
      <c r="B144" s="85" t="s">
        <v>39</v>
      </c>
      <c r="C144" s="101" t="s">
        <v>56</v>
      </c>
      <c r="D144" s="87">
        <v>3</v>
      </c>
      <c r="E144" s="87">
        <v>0</v>
      </c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8">
        <f t="shared" si="6"/>
        <v>3</v>
      </c>
    </row>
    <row r="145" spans="1:16" ht="15" x14ac:dyDescent="0.25">
      <c r="A145" s="89"/>
      <c r="B145" s="89"/>
      <c r="C145" s="104" t="s">
        <v>245</v>
      </c>
      <c r="D145" s="87">
        <v>0</v>
      </c>
      <c r="E145" s="87">
        <v>1</v>
      </c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8">
        <f t="shared" si="6"/>
        <v>1</v>
      </c>
    </row>
    <row r="146" spans="1:16" ht="15" x14ac:dyDescent="0.25">
      <c r="A146" s="89"/>
      <c r="B146" s="90"/>
      <c r="C146" s="103" t="s">
        <v>246</v>
      </c>
      <c r="D146" s="87">
        <v>1</v>
      </c>
      <c r="E146" s="87">
        <v>0</v>
      </c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8">
        <f t="shared" si="6"/>
        <v>1</v>
      </c>
    </row>
    <row r="147" spans="1:16" ht="15" x14ac:dyDescent="0.25">
      <c r="A147" s="89"/>
      <c r="B147" s="85" t="s">
        <v>21</v>
      </c>
      <c r="C147" s="101" t="s">
        <v>247</v>
      </c>
      <c r="D147" s="87">
        <v>1</v>
      </c>
      <c r="E147" s="87">
        <v>0</v>
      </c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8">
        <f t="shared" si="6"/>
        <v>1</v>
      </c>
    </row>
    <row r="148" spans="1:16" ht="15" x14ac:dyDescent="0.25">
      <c r="A148" s="89"/>
      <c r="B148" s="90"/>
      <c r="C148" s="103" t="s">
        <v>105</v>
      </c>
      <c r="D148" s="87">
        <v>3</v>
      </c>
      <c r="E148" s="87">
        <v>0</v>
      </c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8">
        <f t="shared" si="6"/>
        <v>3</v>
      </c>
    </row>
    <row r="149" spans="1:16" ht="15" x14ac:dyDescent="0.25">
      <c r="A149" s="89"/>
      <c r="B149" s="85" t="s">
        <v>125</v>
      </c>
      <c r="C149" s="101" t="s">
        <v>149</v>
      </c>
      <c r="D149" s="87">
        <v>2</v>
      </c>
      <c r="E149" s="87">
        <v>0</v>
      </c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8">
        <f t="shared" si="6"/>
        <v>2</v>
      </c>
    </row>
    <row r="150" spans="1:16" ht="15" x14ac:dyDescent="0.25">
      <c r="A150" s="89"/>
      <c r="B150" s="90"/>
      <c r="C150" s="103" t="s">
        <v>248</v>
      </c>
      <c r="D150" s="87">
        <v>0</v>
      </c>
      <c r="E150" s="87">
        <v>1</v>
      </c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8">
        <f t="shared" si="6"/>
        <v>1</v>
      </c>
    </row>
    <row r="151" spans="1:16" ht="15" x14ac:dyDescent="0.25">
      <c r="A151" s="89"/>
      <c r="B151" s="85" t="s">
        <v>34</v>
      </c>
      <c r="C151" s="101" t="s">
        <v>144</v>
      </c>
      <c r="D151" s="87">
        <v>1</v>
      </c>
      <c r="E151" s="87">
        <v>2</v>
      </c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8">
        <f t="shared" si="6"/>
        <v>3</v>
      </c>
    </row>
    <row r="152" spans="1:16" ht="15" x14ac:dyDescent="0.25">
      <c r="A152" s="89"/>
      <c r="B152" s="91" t="s">
        <v>163</v>
      </c>
      <c r="C152" s="102" t="s">
        <v>51</v>
      </c>
      <c r="D152" s="87">
        <v>3</v>
      </c>
      <c r="E152" s="87">
        <v>0</v>
      </c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8">
        <f t="shared" si="6"/>
        <v>3</v>
      </c>
    </row>
    <row r="153" spans="1:16" ht="15" x14ac:dyDescent="0.25">
      <c r="A153" s="89"/>
      <c r="B153" s="85" t="s">
        <v>19</v>
      </c>
      <c r="C153" s="101" t="s">
        <v>80</v>
      </c>
      <c r="D153" s="87">
        <v>0</v>
      </c>
      <c r="E153" s="87">
        <v>1</v>
      </c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8">
        <f t="shared" si="6"/>
        <v>1</v>
      </c>
    </row>
    <row r="154" spans="1:16" ht="15" x14ac:dyDescent="0.25">
      <c r="A154" s="89"/>
      <c r="B154" s="90"/>
      <c r="C154" s="103" t="s">
        <v>249</v>
      </c>
      <c r="D154" s="87">
        <v>1</v>
      </c>
      <c r="E154" s="87">
        <v>1</v>
      </c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8">
        <f t="shared" si="6"/>
        <v>2</v>
      </c>
    </row>
    <row r="155" spans="1:16" ht="15" x14ac:dyDescent="0.25">
      <c r="A155" s="89"/>
      <c r="B155" s="85" t="s">
        <v>87</v>
      </c>
      <c r="C155" s="101" t="s">
        <v>90</v>
      </c>
      <c r="D155" s="87">
        <v>1</v>
      </c>
      <c r="E155" s="87">
        <v>1</v>
      </c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8">
        <f t="shared" si="6"/>
        <v>2</v>
      </c>
    </row>
    <row r="156" spans="1:16" ht="15" x14ac:dyDescent="0.25">
      <c r="A156" s="89"/>
      <c r="B156" s="85" t="s">
        <v>66</v>
      </c>
      <c r="C156" s="101" t="s">
        <v>79</v>
      </c>
      <c r="D156" s="87">
        <v>1</v>
      </c>
      <c r="E156" s="87">
        <v>1</v>
      </c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8">
        <f t="shared" si="6"/>
        <v>2</v>
      </c>
    </row>
    <row r="157" spans="1:16" ht="15" x14ac:dyDescent="0.25">
      <c r="A157" s="89"/>
      <c r="B157" s="91" t="s">
        <v>165</v>
      </c>
      <c r="C157" s="102" t="s">
        <v>51</v>
      </c>
      <c r="D157" s="87">
        <v>0</v>
      </c>
      <c r="E157" s="87">
        <v>2</v>
      </c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8">
        <f t="shared" si="6"/>
        <v>2</v>
      </c>
    </row>
    <row r="158" spans="1:16" ht="15" x14ac:dyDescent="0.25">
      <c r="A158" s="89"/>
      <c r="B158" s="85" t="s">
        <v>130</v>
      </c>
      <c r="C158" s="101" t="s">
        <v>151</v>
      </c>
      <c r="D158" s="87">
        <v>0</v>
      </c>
      <c r="E158" s="87">
        <v>1</v>
      </c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8">
        <f t="shared" si="6"/>
        <v>1</v>
      </c>
    </row>
    <row r="159" spans="1:16" ht="15" x14ac:dyDescent="0.25">
      <c r="A159" s="89"/>
      <c r="B159" s="90"/>
      <c r="C159" s="103" t="s">
        <v>250</v>
      </c>
      <c r="D159" s="87">
        <v>0</v>
      </c>
      <c r="E159" s="87">
        <v>1</v>
      </c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8">
        <f t="shared" si="6"/>
        <v>1</v>
      </c>
    </row>
    <row r="160" spans="1:16" ht="15" x14ac:dyDescent="0.25">
      <c r="A160" s="89"/>
      <c r="B160" s="85" t="s">
        <v>123</v>
      </c>
      <c r="C160" s="101" t="s">
        <v>148</v>
      </c>
      <c r="D160" s="87">
        <v>1</v>
      </c>
      <c r="E160" s="87">
        <v>1</v>
      </c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8">
        <f t="shared" si="6"/>
        <v>2</v>
      </c>
    </row>
    <row r="161" spans="1:16" ht="15" x14ac:dyDescent="0.25">
      <c r="A161" s="89"/>
      <c r="B161" s="85" t="s">
        <v>128</v>
      </c>
      <c r="C161" s="101" t="s">
        <v>150</v>
      </c>
      <c r="D161" s="87">
        <v>1</v>
      </c>
      <c r="E161" s="87">
        <v>0</v>
      </c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8">
        <f t="shared" si="6"/>
        <v>1</v>
      </c>
    </row>
    <row r="162" spans="1:16" ht="15" x14ac:dyDescent="0.25">
      <c r="A162" s="89"/>
      <c r="B162" s="85" t="s">
        <v>132</v>
      </c>
      <c r="C162" s="101" t="s">
        <v>251</v>
      </c>
      <c r="D162" s="87">
        <v>1</v>
      </c>
      <c r="E162" s="87">
        <v>0</v>
      </c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8">
        <f t="shared" si="6"/>
        <v>1</v>
      </c>
    </row>
    <row r="163" spans="1:16" ht="15" x14ac:dyDescent="0.25">
      <c r="A163" s="89"/>
      <c r="B163" s="85" t="s">
        <v>170</v>
      </c>
      <c r="C163" s="101" t="s">
        <v>252</v>
      </c>
      <c r="D163" s="87">
        <v>0</v>
      </c>
      <c r="E163" s="87">
        <v>1</v>
      </c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8">
        <f t="shared" si="6"/>
        <v>1</v>
      </c>
    </row>
    <row r="164" spans="1:16" ht="15" x14ac:dyDescent="0.25">
      <c r="A164" s="89"/>
      <c r="B164" s="85" t="s">
        <v>112</v>
      </c>
      <c r="C164" s="101" t="s">
        <v>253</v>
      </c>
      <c r="D164" s="87">
        <v>1</v>
      </c>
      <c r="E164" s="87">
        <v>0</v>
      </c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8">
        <f t="shared" si="6"/>
        <v>1</v>
      </c>
    </row>
    <row r="165" spans="1:16" ht="15" x14ac:dyDescent="0.25">
      <c r="A165" s="89"/>
      <c r="B165" s="85" t="s">
        <v>169</v>
      </c>
      <c r="C165" s="101" t="s">
        <v>254</v>
      </c>
      <c r="D165" s="87">
        <v>1</v>
      </c>
      <c r="E165" s="87">
        <v>0</v>
      </c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8">
        <f t="shared" si="6"/>
        <v>1</v>
      </c>
    </row>
    <row r="166" spans="1:16" ht="15" x14ac:dyDescent="0.25">
      <c r="A166" s="90"/>
      <c r="B166" s="91" t="s">
        <v>171</v>
      </c>
      <c r="C166" s="102" t="s">
        <v>255</v>
      </c>
      <c r="D166" s="87">
        <v>1</v>
      </c>
      <c r="E166" s="87">
        <v>0</v>
      </c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8">
        <f t="shared" si="6"/>
        <v>1</v>
      </c>
    </row>
    <row r="167" spans="1:16" ht="15" x14ac:dyDescent="0.25">
      <c r="A167" s="85" t="s">
        <v>32</v>
      </c>
      <c r="B167" s="85" t="s">
        <v>87</v>
      </c>
      <c r="C167" s="101" t="s">
        <v>90</v>
      </c>
      <c r="D167" s="87">
        <v>4</v>
      </c>
      <c r="E167" s="87">
        <v>3</v>
      </c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8">
        <f t="shared" si="6"/>
        <v>7</v>
      </c>
    </row>
    <row r="168" spans="1:16" ht="15" x14ac:dyDescent="0.25">
      <c r="A168" s="89"/>
      <c r="B168" s="85" t="s">
        <v>60</v>
      </c>
      <c r="C168" s="101" t="s">
        <v>61</v>
      </c>
      <c r="D168" s="87">
        <v>5</v>
      </c>
      <c r="E168" s="87">
        <v>0</v>
      </c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8">
        <f t="shared" si="6"/>
        <v>5</v>
      </c>
    </row>
    <row r="169" spans="1:16" ht="15" x14ac:dyDescent="0.25">
      <c r="A169" s="89"/>
      <c r="B169" s="85" t="s">
        <v>120</v>
      </c>
      <c r="C169" s="101" t="s">
        <v>133</v>
      </c>
      <c r="D169" s="87">
        <v>2</v>
      </c>
      <c r="E169" s="87">
        <v>0</v>
      </c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8">
        <f t="shared" si="6"/>
        <v>2</v>
      </c>
    </row>
    <row r="170" spans="1:16" ht="15" x14ac:dyDescent="0.25">
      <c r="A170" s="89"/>
      <c r="B170" s="85" t="s">
        <v>36</v>
      </c>
      <c r="C170" s="101" t="s">
        <v>47</v>
      </c>
      <c r="D170" s="87">
        <v>1</v>
      </c>
      <c r="E170" s="87">
        <v>0</v>
      </c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8">
        <f t="shared" si="6"/>
        <v>1</v>
      </c>
    </row>
    <row r="171" spans="1:16" ht="15" x14ac:dyDescent="0.25">
      <c r="A171" s="89"/>
      <c r="B171" s="85" t="s">
        <v>168</v>
      </c>
      <c r="C171" s="101" t="s">
        <v>41</v>
      </c>
      <c r="D171" s="87">
        <v>1</v>
      </c>
      <c r="E171" s="87">
        <v>0</v>
      </c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8">
        <f t="shared" si="6"/>
        <v>1</v>
      </c>
    </row>
    <row r="172" spans="1:16" ht="15" x14ac:dyDescent="0.25">
      <c r="A172" s="90"/>
      <c r="B172" s="91" t="s">
        <v>166</v>
      </c>
      <c r="C172" s="102" t="s">
        <v>256</v>
      </c>
      <c r="D172" s="87">
        <v>1</v>
      </c>
      <c r="E172" s="87">
        <v>0</v>
      </c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8">
        <f t="shared" si="6"/>
        <v>1</v>
      </c>
    </row>
    <row r="173" spans="1:16" ht="15" x14ac:dyDescent="0.25">
      <c r="A173" s="85" t="s">
        <v>28</v>
      </c>
      <c r="B173" s="85" t="s">
        <v>62</v>
      </c>
      <c r="C173" s="101" t="s">
        <v>51</v>
      </c>
      <c r="D173" s="87">
        <v>34</v>
      </c>
      <c r="E173" s="87">
        <v>29</v>
      </c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8">
        <f t="shared" si="6"/>
        <v>63</v>
      </c>
    </row>
    <row r="174" spans="1:16" ht="15" x14ac:dyDescent="0.25">
      <c r="A174" s="89"/>
      <c r="B174" s="91" t="s">
        <v>37</v>
      </c>
      <c r="C174" s="102" t="s">
        <v>49</v>
      </c>
      <c r="D174" s="87">
        <v>14</v>
      </c>
      <c r="E174" s="87">
        <v>40</v>
      </c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8">
        <f t="shared" si="6"/>
        <v>54</v>
      </c>
    </row>
    <row r="175" spans="1:16" ht="15" x14ac:dyDescent="0.25">
      <c r="A175" s="89"/>
      <c r="B175" s="85" t="s">
        <v>17</v>
      </c>
      <c r="C175" s="101" t="s">
        <v>50</v>
      </c>
      <c r="D175" s="87">
        <v>16</v>
      </c>
      <c r="E175" s="87">
        <v>10</v>
      </c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8">
        <f t="shared" si="6"/>
        <v>26</v>
      </c>
    </row>
    <row r="176" spans="1:16" ht="15" x14ac:dyDescent="0.25">
      <c r="A176" s="89"/>
      <c r="B176" s="90"/>
      <c r="C176" s="103" t="s">
        <v>257</v>
      </c>
      <c r="D176" s="87">
        <v>8</v>
      </c>
      <c r="E176" s="87">
        <v>1</v>
      </c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8">
        <f t="shared" si="6"/>
        <v>9</v>
      </c>
    </row>
    <row r="177" spans="1:16" ht="15" x14ac:dyDescent="0.25">
      <c r="A177" s="89"/>
      <c r="B177" s="85" t="s">
        <v>40</v>
      </c>
      <c r="C177" s="101" t="s">
        <v>51</v>
      </c>
      <c r="D177" s="87">
        <v>0</v>
      </c>
      <c r="E177" s="87">
        <v>3</v>
      </c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8">
        <f t="shared" si="6"/>
        <v>3</v>
      </c>
    </row>
    <row r="178" spans="1:16" ht="15" x14ac:dyDescent="0.25">
      <c r="A178" s="89"/>
      <c r="B178" s="90"/>
      <c r="C178" s="103" t="s">
        <v>57</v>
      </c>
      <c r="D178" s="87">
        <v>9</v>
      </c>
      <c r="E178" s="87">
        <v>19</v>
      </c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8">
        <f t="shared" si="6"/>
        <v>28</v>
      </c>
    </row>
    <row r="179" spans="1:16" ht="15" x14ac:dyDescent="0.25">
      <c r="A179" s="89"/>
      <c r="B179" s="91" t="s">
        <v>119</v>
      </c>
      <c r="C179" s="102" t="s">
        <v>152</v>
      </c>
      <c r="D179" s="87">
        <v>3</v>
      </c>
      <c r="E179" s="87">
        <v>1</v>
      </c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8">
        <f t="shared" si="6"/>
        <v>4</v>
      </c>
    </row>
    <row r="180" spans="1:16" ht="15" x14ac:dyDescent="0.25">
      <c r="A180" s="89"/>
      <c r="B180" s="85" t="s">
        <v>88</v>
      </c>
      <c r="C180" s="101" t="s">
        <v>258</v>
      </c>
      <c r="D180" s="87">
        <v>2</v>
      </c>
      <c r="E180" s="87">
        <v>0</v>
      </c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8">
        <f t="shared" si="3"/>
        <v>2</v>
      </c>
    </row>
    <row r="181" spans="1:16" ht="15" x14ac:dyDescent="0.25">
      <c r="A181" s="89"/>
      <c r="B181" s="89"/>
      <c r="C181" s="104" t="s">
        <v>259</v>
      </c>
      <c r="D181" s="87">
        <v>1</v>
      </c>
      <c r="E181" s="87">
        <v>0</v>
      </c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8">
        <f t="shared" si="3"/>
        <v>1</v>
      </c>
    </row>
    <row r="182" spans="1:16" ht="15" x14ac:dyDescent="0.25">
      <c r="A182" s="89"/>
      <c r="B182" s="90"/>
      <c r="C182" s="103" t="s">
        <v>260</v>
      </c>
      <c r="D182" s="87">
        <v>1</v>
      </c>
      <c r="E182" s="87">
        <v>0</v>
      </c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8">
        <f t="shared" si="3"/>
        <v>1</v>
      </c>
    </row>
    <row r="183" spans="1:16" ht="15" x14ac:dyDescent="0.25">
      <c r="A183" s="89"/>
      <c r="B183" s="85" t="s">
        <v>127</v>
      </c>
      <c r="C183" s="101" t="s">
        <v>51</v>
      </c>
      <c r="D183" s="87">
        <v>0</v>
      </c>
      <c r="E183" s="87">
        <v>2</v>
      </c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8">
        <f t="shared" ref="P183" si="7">SUM(D183:O183)</f>
        <v>2</v>
      </c>
    </row>
    <row r="184" spans="1:16" ht="15" x14ac:dyDescent="0.25">
      <c r="A184" s="89"/>
      <c r="B184" s="90"/>
      <c r="C184" s="103" t="s">
        <v>127</v>
      </c>
      <c r="D184" s="87">
        <v>1</v>
      </c>
      <c r="E184" s="87">
        <v>0</v>
      </c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8">
        <f t="shared" ref="P184:P190" si="8">SUM(D184:O184)</f>
        <v>1</v>
      </c>
    </row>
    <row r="185" spans="1:16" ht="15" x14ac:dyDescent="0.25">
      <c r="A185" s="89"/>
      <c r="B185" s="85" t="s">
        <v>129</v>
      </c>
      <c r="C185" s="101" t="s">
        <v>51</v>
      </c>
      <c r="D185" s="87">
        <v>1</v>
      </c>
      <c r="E185" s="87">
        <v>1</v>
      </c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8">
        <f t="shared" si="8"/>
        <v>2</v>
      </c>
    </row>
    <row r="186" spans="1:16" ht="15" x14ac:dyDescent="0.25">
      <c r="A186" s="89"/>
      <c r="B186" s="85" t="s">
        <v>35</v>
      </c>
      <c r="C186" s="101" t="s">
        <v>153</v>
      </c>
      <c r="D186" s="87">
        <v>1</v>
      </c>
      <c r="E186" s="87">
        <v>1</v>
      </c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8">
        <f t="shared" si="8"/>
        <v>2</v>
      </c>
    </row>
    <row r="187" spans="1:16" ht="15" x14ac:dyDescent="0.25">
      <c r="A187" s="89"/>
      <c r="B187" s="85" t="s">
        <v>58</v>
      </c>
      <c r="C187" s="101" t="s">
        <v>138</v>
      </c>
      <c r="D187" s="87">
        <v>1</v>
      </c>
      <c r="E187" s="87">
        <v>1</v>
      </c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8">
        <f t="shared" si="8"/>
        <v>2</v>
      </c>
    </row>
    <row r="188" spans="1:16" ht="15" x14ac:dyDescent="0.25">
      <c r="A188" s="89"/>
      <c r="B188" s="85" t="s">
        <v>38</v>
      </c>
      <c r="C188" s="101" t="s">
        <v>91</v>
      </c>
      <c r="D188" s="87">
        <v>1</v>
      </c>
      <c r="E188" s="87">
        <v>0</v>
      </c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8">
        <f t="shared" si="8"/>
        <v>1</v>
      </c>
    </row>
    <row r="189" spans="1:16" ht="15" x14ac:dyDescent="0.25">
      <c r="A189" s="89"/>
      <c r="B189" s="91" t="s">
        <v>172</v>
      </c>
      <c r="C189" s="102" t="s">
        <v>261</v>
      </c>
      <c r="D189" s="87">
        <v>1</v>
      </c>
      <c r="E189" s="87">
        <v>0</v>
      </c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8">
        <f t="shared" si="8"/>
        <v>1</v>
      </c>
    </row>
    <row r="190" spans="1:16" ht="15" x14ac:dyDescent="0.25">
      <c r="A190" s="90"/>
      <c r="B190" s="105" t="s">
        <v>131</v>
      </c>
      <c r="C190" s="103" t="s">
        <v>51</v>
      </c>
      <c r="D190" s="87">
        <v>0</v>
      </c>
      <c r="E190" s="87">
        <v>1</v>
      </c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8">
        <f t="shared" si="8"/>
        <v>1</v>
      </c>
    </row>
    <row r="191" spans="1:16" x14ac:dyDescent="0.2">
      <c r="A191" s="92" t="s">
        <v>7</v>
      </c>
      <c r="B191" s="93"/>
      <c r="C191" s="94"/>
      <c r="D191" s="95">
        <f>SUM(D5:D190)</f>
        <v>552</v>
      </c>
      <c r="E191" s="95">
        <f>SUM(E5:E190)</f>
        <v>553</v>
      </c>
      <c r="F191" s="95">
        <f>SUM(F5:F190)</f>
        <v>0</v>
      </c>
      <c r="G191" s="95">
        <f>SUM(G5:G190)</f>
        <v>0</v>
      </c>
      <c r="H191" s="95">
        <f>SUM(H5:H190)</f>
        <v>0</v>
      </c>
      <c r="I191" s="95">
        <f>SUM(I5:I190)</f>
        <v>0</v>
      </c>
      <c r="J191" s="95">
        <f>SUM(J5:J190)</f>
        <v>0</v>
      </c>
      <c r="K191" s="95">
        <f>SUM(K5:K190)</f>
        <v>0</v>
      </c>
      <c r="L191" s="95">
        <f>SUM(L5:L190)</f>
        <v>0</v>
      </c>
      <c r="M191" s="95">
        <f>SUM(M5:M190)</f>
        <v>0</v>
      </c>
      <c r="N191" s="95">
        <f>SUM(N5:N190)</f>
        <v>0</v>
      </c>
      <c r="O191" s="95">
        <f>SUM(O5:O190)</f>
        <v>0</v>
      </c>
      <c r="P191" s="95">
        <f>SUM(P5:P190)</f>
        <v>1105</v>
      </c>
    </row>
  </sheetData>
  <pageMargins left="0.7" right="0.7" top="0.75" bottom="0.75" header="0.3" footer="0.3"/>
  <pageSetup paperSize="9" orientation="portrait" verticalDpi="598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EF0C-8359-4B2C-A3AE-7C05D0ABE293}">
  <sheetPr>
    <tabColor rgb="FFC00000"/>
  </sheetPr>
  <dimension ref="A1:H292"/>
  <sheetViews>
    <sheetView zoomScale="80" zoomScaleNormal="80" workbookViewId="0">
      <pane ySplit="1" topLeftCell="A2" activePane="bottomLeft" state="frozen"/>
      <selection activeCell="U9" sqref="U9"/>
      <selection pane="bottomLeft" activeCell="F8" sqref="F8"/>
    </sheetView>
  </sheetViews>
  <sheetFormatPr baseColWidth="10" defaultColWidth="11.5703125" defaultRowHeight="12.75" x14ac:dyDescent="0.2"/>
  <cols>
    <col min="1" max="1" width="16.42578125" style="121" customWidth="1"/>
    <col min="2" max="2" width="19.140625" style="121" customWidth="1"/>
    <col min="3" max="3" width="17.5703125" style="122" customWidth="1"/>
    <col min="4" max="4" width="16.85546875" style="121" customWidth="1"/>
    <col min="5" max="5" width="24.140625" style="121" customWidth="1"/>
    <col min="6" max="6" width="17.85546875" style="122" customWidth="1"/>
    <col min="7" max="7" width="10.85546875" style="122" customWidth="1"/>
    <col min="8" max="16384" width="11.5703125" style="121"/>
  </cols>
  <sheetData>
    <row r="1" spans="1:8" s="120" customFormat="1" ht="30" customHeight="1" x14ac:dyDescent="0.2">
      <c r="A1" s="117" t="s">
        <v>11</v>
      </c>
      <c r="B1" s="117" t="s">
        <v>262</v>
      </c>
      <c r="C1" s="118" t="s">
        <v>14</v>
      </c>
      <c r="D1" s="118" t="s">
        <v>46</v>
      </c>
      <c r="E1" s="118" t="s">
        <v>263</v>
      </c>
      <c r="F1" s="118" t="s">
        <v>264</v>
      </c>
      <c r="G1" s="119" t="s">
        <v>265</v>
      </c>
      <c r="H1" s="119" t="s">
        <v>292</v>
      </c>
    </row>
    <row r="2" spans="1:8" x14ac:dyDescent="0.2">
      <c r="A2" s="121" t="s">
        <v>29</v>
      </c>
      <c r="B2" s="121" t="s">
        <v>29</v>
      </c>
      <c r="C2" s="121" t="s">
        <v>156</v>
      </c>
      <c r="D2" s="122" t="s">
        <v>100</v>
      </c>
      <c r="E2" s="121" t="s">
        <v>266</v>
      </c>
      <c r="F2" s="121" t="s">
        <v>267</v>
      </c>
      <c r="G2" s="122">
        <v>5</v>
      </c>
      <c r="H2" s="122">
        <v>0</v>
      </c>
    </row>
    <row r="3" spans="1:8" x14ac:dyDescent="0.2">
      <c r="A3" s="121" t="s">
        <v>29</v>
      </c>
      <c r="B3" s="121" t="s">
        <v>29</v>
      </c>
      <c r="C3" s="121" t="s">
        <v>156</v>
      </c>
      <c r="D3" s="122" t="s">
        <v>74</v>
      </c>
      <c r="E3" s="121" t="s">
        <v>272</v>
      </c>
      <c r="F3" s="121" t="s">
        <v>267</v>
      </c>
      <c r="G3" s="122">
        <v>0</v>
      </c>
      <c r="H3" s="122">
        <v>28</v>
      </c>
    </row>
    <row r="4" spans="1:8" x14ac:dyDescent="0.2">
      <c r="A4" s="121" t="s">
        <v>29</v>
      </c>
      <c r="B4" s="121" t="s">
        <v>29</v>
      </c>
      <c r="C4" s="121" t="s">
        <v>71</v>
      </c>
      <c r="D4" s="122" t="s">
        <v>100</v>
      </c>
      <c r="E4" s="121" t="s">
        <v>266</v>
      </c>
      <c r="F4" s="121" t="s">
        <v>267</v>
      </c>
      <c r="G4" s="122">
        <v>8</v>
      </c>
      <c r="H4" s="122">
        <v>0</v>
      </c>
    </row>
    <row r="5" spans="1:8" x14ac:dyDescent="0.2">
      <c r="A5" s="121" t="s">
        <v>29</v>
      </c>
      <c r="B5" s="121" t="s">
        <v>29</v>
      </c>
      <c r="C5" s="121" t="s">
        <v>71</v>
      </c>
      <c r="D5" s="122" t="s">
        <v>74</v>
      </c>
      <c r="E5" s="121" t="s">
        <v>268</v>
      </c>
      <c r="F5" s="121" t="s">
        <v>267</v>
      </c>
      <c r="G5" s="122">
        <v>12</v>
      </c>
      <c r="H5" s="122">
        <v>0</v>
      </c>
    </row>
    <row r="6" spans="1:8" x14ac:dyDescent="0.2">
      <c r="A6" s="121" t="s">
        <v>29</v>
      </c>
      <c r="B6" s="121" t="s">
        <v>29</v>
      </c>
      <c r="C6" s="121" t="s">
        <v>71</v>
      </c>
      <c r="D6" s="122" t="s">
        <v>74</v>
      </c>
      <c r="E6" s="121" t="s">
        <v>269</v>
      </c>
      <c r="F6" s="121" t="s">
        <v>267</v>
      </c>
      <c r="G6" s="122">
        <v>6</v>
      </c>
      <c r="H6" s="122">
        <v>0</v>
      </c>
    </row>
    <row r="7" spans="1:8" x14ac:dyDescent="0.2">
      <c r="A7" s="121" t="s">
        <v>29</v>
      </c>
      <c r="B7" s="121" t="s">
        <v>29</v>
      </c>
      <c r="C7" s="121" t="s">
        <v>71</v>
      </c>
      <c r="D7" s="122" t="s">
        <v>74</v>
      </c>
      <c r="E7" s="121" t="s">
        <v>270</v>
      </c>
      <c r="F7" s="121" t="s">
        <v>267</v>
      </c>
      <c r="G7" s="122">
        <v>2</v>
      </c>
      <c r="H7" s="122">
        <v>0</v>
      </c>
    </row>
    <row r="8" spans="1:8" x14ac:dyDescent="0.2">
      <c r="A8" s="121" t="s">
        <v>29</v>
      </c>
      <c r="B8" s="121" t="s">
        <v>29</v>
      </c>
      <c r="C8" s="121" t="s">
        <v>71</v>
      </c>
      <c r="D8" s="122" t="s">
        <v>74</v>
      </c>
      <c r="E8" s="121" t="s">
        <v>271</v>
      </c>
      <c r="F8" s="121" t="s">
        <v>267</v>
      </c>
      <c r="G8" s="122">
        <v>1</v>
      </c>
      <c r="H8" s="122">
        <v>0</v>
      </c>
    </row>
    <row r="9" spans="1:8" x14ac:dyDescent="0.2">
      <c r="A9" s="121" t="s">
        <v>29</v>
      </c>
      <c r="B9" s="121" t="s">
        <v>29</v>
      </c>
      <c r="C9" s="121" t="s">
        <v>71</v>
      </c>
      <c r="D9" s="122" t="s">
        <v>74</v>
      </c>
      <c r="E9" s="121" t="s">
        <v>272</v>
      </c>
      <c r="F9" s="121" t="s">
        <v>267</v>
      </c>
      <c r="G9" s="122">
        <v>0</v>
      </c>
      <c r="H9" s="122">
        <v>2</v>
      </c>
    </row>
    <row r="10" spans="1:8" x14ac:dyDescent="0.2">
      <c r="A10" s="121" t="s">
        <v>29</v>
      </c>
      <c r="B10" s="121" t="s">
        <v>29</v>
      </c>
      <c r="C10" s="121" t="s">
        <v>157</v>
      </c>
      <c r="D10" s="122" t="s">
        <v>173</v>
      </c>
      <c r="E10" s="121" t="s">
        <v>268</v>
      </c>
      <c r="F10" s="121" t="s">
        <v>267</v>
      </c>
      <c r="G10" s="122">
        <v>6</v>
      </c>
      <c r="H10" s="122">
        <v>4</v>
      </c>
    </row>
    <row r="11" spans="1:8" x14ac:dyDescent="0.2">
      <c r="A11" s="121" t="s">
        <v>29</v>
      </c>
      <c r="B11" s="121" t="s">
        <v>29</v>
      </c>
      <c r="C11" s="121" t="s">
        <v>157</v>
      </c>
      <c r="D11" s="122" t="s">
        <v>173</v>
      </c>
      <c r="E11" s="121" t="s">
        <v>269</v>
      </c>
      <c r="F11" s="121" t="s">
        <v>267</v>
      </c>
      <c r="G11" s="122">
        <v>2</v>
      </c>
      <c r="H11" s="122">
        <v>0</v>
      </c>
    </row>
    <row r="12" spans="1:8" x14ac:dyDescent="0.2">
      <c r="A12" s="121" t="s">
        <v>29</v>
      </c>
      <c r="B12" s="121" t="s">
        <v>29</v>
      </c>
      <c r="C12" s="121" t="s">
        <v>157</v>
      </c>
      <c r="D12" s="122" t="s">
        <v>173</v>
      </c>
      <c r="E12" s="121" t="s">
        <v>279</v>
      </c>
      <c r="F12" s="121" t="s">
        <v>267</v>
      </c>
      <c r="G12" s="122">
        <v>0</v>
      </c>
      <c r="H12" s="122">
        <v>2</v>
      </c>
    </row>
    <row r="13" spans="1:8" x14ac:dyDescent="0.2">
      <c r="A13" s="121" t="s">
        <v>29</v>
      </c>
      <c r="B13" s="121" t="s">
        <v>29</v>
      </c>
      <c r="C13" s="121" t="s">
        <v>157</v>
      </c>
      <c r="D13" s="122" t="s">
        <v>173</v>
      </c>
      <c r="E13" s="121" t="s">
        <v>271</v>
      </c>
      <c r="F13" s="121" t="s">
        <v>267</v>
      </c>
      <c r="G13" s="122">
        <v>0</v>
      </c>
      <c r="H13" s="122">
        <v>2</v>
      </c>
    </row>
    <row r="14" spans="1:8" x14ac:dyDescent="0.2">
      <c r="A14" s="121" t="s">
        <v>29</v>
      </c>
      <c r="B14" s="121" t="s">
        <v>29</v>
      </c>
      <c r="C14" s="121" t="s">
        <v>157</v>
      </c>
      <c r="D14" s="122" t="s">
        <v>173</v>
      </c>
      <c r="E14" s="121" t="s">
        <v>272</v>
      </c>
      <c r="F14" s="121" t="s">
        <v>267</v>
      </c>
      <c r="G14" s="122">
        <v>6</v>
      </c>
      <c r="H14" s="122">
        <v>4</v>
      </c>
    </row>
    <row r="15" spans="1:8" x14ac:dyDescent="0.2">
      <c r="A15" s="121" t="s">
        <v>29</v>
      </c>
      <c r="B15" s="121" t="s">
        <v>29</v>
      </c>
      <c r="C15" s="121" t="s">
        <v>157</v>
      </c>
      <c r="D15" s="122" t="s">
        <v>173</v>
      </c>
      <c r="E15" s="121" t="s">
        <v>266</v>
      </c>
      <c r="F15" s="121" t="s">
        <v>267</v>
      </c>
      <c r="G15" s="122">
        <v>0</v>
      </c>
      <c r="H15" s="122">
        <v>2</v>
      </c>
    </row>
    <row r="16" spans="1:8" x14ac:dyDescent="0.2">
      <c r="A16" s="121" t="s">
        <v>29</v>
      </c>
      <c r="B16" s="121" t="s">
        <v>29</v>
      </c>
      <c r="C16" s="121" t="s">
        <v>120</v>
      </c>
      <c r="D16" s="122" t="s">
        <v>133</v>
      </c>
      <c r="E16" s="121" t="s">
        <v>268</v>
      </c>
      <c r="F16" s="121" t="s">
        <v>267</v>
      </c>
      <c r="G16" s="122">
        <v>6</v>
      </c>
      <c r="H16" s="122">
        <v>5</v>
      </c>
    </row>
    <row r="17" spans="1:8" x14ac:dyDescent="0.2">
      <c r="A17" s="121" t="s">
        <v>29</v>
      </c>
      <c r="B17" s="121" t="s">
        <v>29</v>
      </c>
      <c r="C17" s="121" t="s">
        <v>120</v>
      </c>
      <c r="D17" s="122" t="s">
        <v>133</v>
      </c>
      <c r="E17" s="121" t="s">
        <v>269</v>
      </c>
      <c r="F17" s="121" t="s">
        <v>267</v>
      </c>
      <c r="G17" s="122">
        <v>1</v>
      </c>
      <c r="H17" s="122">
        <v>0</v>
      </c>
    </row>
    <row r="18" spans="1:8" x14ac:dyDescent="0.2">
      <c r="A18" s="121" t="s">
        <v>29</v>
      </c>
      <c r="B18" s="121" t="s">
        <v>29</v>
      </c>
      <c r="C18" s="121" t="s">
        <v>120</v>
      </c>
      <c r="D18" s="122" t="s">
        <v>133</v>
      </c>
      <c r="E18" s="121" t="s">
        <v>279</v>
      </c>
      <c r="F18" s="121" t="s">
        <v>267</v>
      </c>
      <c r="G18" s="122">
        <v>0</v>
      </c>
      <c r="H18" s="122">
        <v>1</v>
      </c>
    </row>
    <row r="19" spans="1:8" x14ac:dyDescent="0.2">
      <c r="A19" s="121" t="s">
        <v>29</v>
      </c>
      <c r="B19" s="121" t="s">
        <v>29</v>
      </c>
      <c r="C19" s="121" t="s">
        <v>120</v>
      </c>
      <c r="D19" s="122" t="s">
        <v>133</v>
      </c>
      <c r="E19" s="121" t="s">
        <v>270</v>
      </c>
      <c r="F19" s="121" t="s">
        <v>267</v>
      </c>
      <c r="G19" s="122">
        <v>1</v>
      </c>
      <c r="H19" s="122">
        <v>0</v>
      </c>
    </row>
    <row r="20" spans="1:8" x14ac:dyDescent="0.2">
      <c r="A20" s="121" t="s">
        <v>29</v>
      </c>
      <c r="B20" s="121" t="s">
        <v>29</v>
      </c>
      <c r="C20" s="121" t="s">
        <v>120</v>
      </c>
      <c r="D20" s="122" t="s">
        <v>133</v>
      </c>
      <c r="E20" s="121" t="s">
        <v>271</v>
      </c>
      <c r="F20" s="121" t="s">
        <v>267</v>
      </c>
      <c r="G20" s="122">
        <v>1</v>
      </c>
      <c r="H20" s="122">
        <v>1</v>
      </c>
    </row>
    <row r="21" spans="1:8" x14ac:dyDescent="0.2">
      <c r="A21" s="121" t="s">
        <v>29</v>
      </c>
      <c r="B21" s="121" t="s">
        <v>29</v>
      </c>
      <c r="C21" s="121" t="s">
        <v>120</v>
      </c>
      <c r="D21" s="122" t="s">
        <v>133</v>
      </c>
      <c r="E21" s="121" t="s">
        <v>273</v>
      </c>
      <c r="F21" s="121" t="s">
        <v>267</v>
      </c>
      <c r="G21" s="122">
        <v>1</v>
      </c>
      <c r="H21" s="122">
        <v>0</v>
      </c>
    </row>
    <row r="22" spans="1:8" x14ac:dyDescent="0.2">
      <c r="A22" s="121" t="s">
        <v>29</v>
      </c>
      <c r="B22" s="121" t="s">
        <v>29</v>
      </c>
      <c r="C22" s="121" t="s">
        <v>120</v>
      </c>
      <c r="D22" s="122" t="s">
        <v>133</v>
      </c>
      <c r="E22" s="121" t="s">
        <v>272</v>
      </c>
      <c r="F22" s="121" t="s">
        <v>267</v>
      </c>
      <c r="G22" s="122">
        <v>0</v>
      </c>
      <c r="H22" s="122">
        <v>1</v>
      </c>
    </row>
    <row r="23" spans="1:8" x14ac:dyDescent="0.2">
      <c r="A23" s="121" t="s">
        <v>29</v>
      </c>
      <c r="B23" s="121" t="s">
        <v>29</v>
      </c>
      <c r="C23" s="121" t="s">
        <v>23</v>
      </c>
      <c r="D23" s="122" t="s">
        <v>174</v>
      </c>
      <c r="E23" s="121" t="s">
        <v>268</v>
      </c>
      <c r="F23" s="121" t="s">
        <v>267</v>
      </c>
      <c r="G23" s="122">
        <v>1</v>
      </c>
      <c r="H23" s="122">
        <v>1</v>
      </c>
    </row>
    <row r="24" spans="1:8" x14ac:dyDescent="0.2">
      <c r="A24" s="121" t="s">
        <v>29</v>
      </c>
      <c r="B24" s="121" t="s">
        <v>29</v>
      </c>
      <c r="C24" s="121" t="s">
        <v>23</v>
      </c>
      <c r="D24" s="122" t="s">
        <v>175</v>
      </c>
      <c r="E24" s="121" t="s">
        <v>272</v>
      </c>
      <c r="F24" s="121" t="s">
        <v>267</v>
      </c>
      <c r="G24" s="122">
        <v>2</v>
      </c>
      <c r="H24" s="122">
        <v>0</v>
      </c>
    </row>
    <row r="25" spans="1:8" x14ac:dyDescent="0.2">
      <c r="A25" s="121" t="s">
        <v>29</v>
      </c>
      <c r="B25" s="121" t="s">
        <v>29</v>
      </c>
      <c r="C25" s="121" t="s">
        <v>23</v>
      </c>
      <c r="D25" s="122" t="s">
        <v>63</v>
      </c>
      <c r="E25" s="121" t="s">
        <v>270</v>
      </c>
      <c r="F25" s="121" t="s">
        <v>267</v>
      </c>
      <c r="G25" s="122">
        <v>1</v>
      </c>
      <c r="H25" s="122">
        <v>6</v>
      </c>
    </row>
    <row r="26" spans="1:8" x14ac:dyDescent="0.2">
      <c r="A26" s="121" t="s">
        <v>29</v>
      </c>
      <c r="B26" s="121" t="s">
        <v>29</v>
      </c>
      <c r="C26" s="121" t="s">
        <v>23</v>
      </c>
      <c r="D26" s="122" t="s">
        <v>176</v>
      </c>
      <c r="E26" s="121" t="s">
        <v>269</v>
      </c>
      <c r="F26" s="121" t="s">
        <v>267</v>
      </c>
      <c r="G26" s="122">
        <v>3</v>
      </c>
      <c r="H26" s="122">
        <v>0</v>
      </c>
    </row>
    <row r="27" spans="1:8" x14ac:dyDescent="0.2">
      <c r="A27" s="121" t="s">
        <v>29</v>
      </c>
      <c r="B27" s="121" t="s">
        <v>29</v>
      </c>
      <c r="C27" s="121" t="s">
        <v>23</v>
      </c>
      <c r="D27" s="122" t="s">
        <v>177</v>
      </c>
      <c r="E27" s="121" t="s">
        <v>273</v>
      </c>
      <c r="F27" s="121" t="s">
        <v>267</v>
      </c>
      <c r="G27" s="122">
        <v>0</v>
      </c>
      <c r="H27" s="122">
        <v>2</v>
      </c>
    </row>
    <row r="28" spans="1:8" x14ac:dyDescent="0.2">
      <c r="A28" s="121" t="s">
        <v>29</v>
      </c>
      <c r="B28" s="121" t="s">
        <v>29</v>
      </c>
      <c r="C28" s="121" t="s">
        <v>103</v>
      </c>
      <c r="D28" s="122" t="s">
        <v>104</v>
      </c>
      <c r="E28" s="121" t="s">
        <v>268</v>
      </c>
      <c r="F28" s="121" t="s">
        <v>267</v>
      </c>
      <c r="G28" s="122">
        <v>0</v>
      </c>
      <c r="H28" s="122">
        <v>4</v>
      </c>
    </row>
    <row r="29" spans="1:8" x14ac:dyDescent="0.2">
      <c r="A29" s="121" t="s">
        <v>29</v>
      </c>
      <c r="B29" s="121" t="s">
        <v>29</v>
      </c>
      <c r="C29" s="121" t="s">
        <v>103</v>
      </c>
      <c r="D29" s="122" t="s">
        <v>104</v>
      </c>
      <c r="E29" s="121" t="s">
        <v>272</v>
      </c>
      <c r="F29" s="121" t="s">
        <v>267</v>
      </c>
      <c r="G29" s="122">
        <v>0</v>
      </c>
      <c r="H29" s="122">
        <v>1</v>
      </c>
    </row>
    <row r="30" spans="1:8" x14ac:dyDescent="0.2">
      <c r="A30" s="121" t="s">
        <v>29</v>
      </c>
      <c r="B30" s="121" t="s">
        <v>29</v>
      </c>
      <c r="C30" s="121" t="s">
        <v>103</v>
      </c>
      <c r="D30" s="122" t="s">
        <v>104</v>
      </c>
      <c r="E30" s="121" t="s">
        <v>266</v>
      </c>
      <c r="F30" s="121" t="s">
        <v>267</v>
      </c>
      <c r="G30" s="122">
        <v>4</v>
      </c>
      <c r="H30" s="122">
        <v>5</v>
      </c>
    </row>
    <row r="31" spans="1:8" x14ac:dyDescent="0.2">
      <c r="A31" s="121" t="s">
        <v>29</v>
      </c>
      <c r="B31" s="121" t="s">
        <v>29</v>
      </c>
      <c r="C31" s="121" t="s">
        <v>33</v>
      </c>
      <c r="D31" s="122" t="s">
        <v>95</v>
      </c>
      <c r="E31" s="121" t="s">
        <v>268</v>
      </c>
      <c r="F31" s="121" t="s">
        <v>267</v>
      </c>
      <c r="G31" s="122">
        <v>0</v>
      </c>
      <c r="H31" s="122">
        <v>1</v>
      </c>
    </row>
    <row r="32" spans="1:8" x14ac:dyDescent="0.2">
      <c r="A32" s="121" t="s">
        <v>29</v>
      </c>
      <c r="B32" s="121" t="s">
        <v>29</v>
      </c>
      <c r="C32" s="121" t="s">
        <v>33</v>
      </c>
      <c r="D32" s="122" t="s">
        <v>178</v>
      </c>
      <c r="E32" s="121" t="s">
        <v>269</v>
      </c>
      <c r="F32" s="121" t="s">
        <v>267</v>
      </c>
      <c r="G32" s="122">
        <v>0</v>
      </c>
      <c r="H32" s="122">
        <v>3</v>
      </c>
    </row>
    <row r="33" spans="1:8" x14ac:dyDescent="0.2">
      <c r="A33" s="121" t="s">
        <v>29</v>
      </c>
      <c r="B33" s="121" t="s">
        <v>29</v>
      </c>
      <c r="C33" s="121" t="s">
        <v>33</v>
      </c>
      <c r="D33" s="122" t="s">
        <v>64</v>
      </c>
      <c r="E33" s="121" t="s">
        <v>272</v>
      </c>
      <c r="F33" s="121" t="s">
        <v>267</v>
      </c>
      <c r="G33" s="122">
        <v>0</v>
      </c>
      <c r="H33" s="122">
        <v>1</v>
      </c>
    </row>
    <row r="34" spans="1:8" x14ac:dyDescent="0.2">
      <c r="A34" s="121" t="s">
        <v>29</v>
      </c>
      <c r="B34" s="121" t="s">
        <v>29</v>
      </c>
      <c r="C34" s="121" t="s">
        <v>33</v>
      </c>
      <c r="D34" s="122" t="s">
        <v>179</v>
      </c>
      <c r="E34" s="121" t="s">
        <v>271</v>
      </c>
      <c r="F34" s="121" t="s">
        <v>267</v>
      </c>
      <c r="G34" s="122">
        <v>1</v>
      </c>
      <c r="H34" s="122">
        <v>0</v>
      </c>
    </row>
    <row r="35" spans="1:8" x14ac:dyDescent="0.2">
      <c r="A35" s="121" t="s">
        <v>29</v>
      </c>
      <c r="B35" s="121" t="s">
        <v>29</v>
      </c>
      <c r="C35" s="121" t="s">
        <v>33</v>
      </c>
      <c r="D35" s="122" t="s">
        <v>180</v>
      </c>
      <c r="E35" s="121" t="s">
        <v>268</v>
      </c>
      <c r="F35" s="121" t="s">
        <v>267</v>
      </c>
      <c r="G35" s="122">
        <v>2</v>
      </c>
      <c r="H35" s="122">
        <v>0</v>
      </c>
    </row>
    <row r="36" spans="1:8" x14ac:dyDescent="0.2">
      <c r="A36" s="121" t="s">
        <v>29</v>
      </c>
      <c r="B36" s="121" t="s">
        <v>29</v>
      </c>
      <c r="C36" s="121" t="s">
        <v>33</v>
      </c>
      <c r="D36" s="122" t="s">
        <v>181</v>
      </c>
      <c r="E36" s="121" t="s">
        <v>270</v>
      </c>
      <c r="F36" s="121" t="s">
        <v>267</v>
      </c>
      <c r="G36" s="122">
        <v>1</v>
      </c>
      <c r="H36" s="122">
        <v>0</v>
      </c>
    </row>
    <row r="37" spans="1:8" x14ac:dyDescent="0.2">
      <c r="A37" s="121" t="s">
        <v>29</v>
      </c>
      <c r="B37" s="121" t="s">
        <v>29</v>
      </c>
      <c r="C37" s="121" t="s">
        <v>33</v>
      </c>
      <c r="D37" s="122" t="s">
        <v>182</v>
      </c>
      <c r="E37" s="121" t="s">
        <v>266</v>
      </c>
      <c r="F37" s="121" t="s">
        <v>267</v>
      </c>
      <c r="G37" s="122">
        <v>1</v>
      </c>
      <c r="H37" s="122">
        <v>0</v>
      </c>
    </row>
    <row r="38" spans="1:8" x14ac:dyDescent="0.2">
      <c r="A38" s="121" t="s">
        <v>29</v>
      </c>
      <c r="B38" s="121" t="s">
        <v>29</v>
      </c>
      <c r="C38" s="121" t="s">
        <v>33</v>
      </c>
      <c r="D38" s="122" t="s">
        <v>183</v>
      </c>
      <c r="E38" s="121" t="s">
        <v>272</v>
      </c>
      <c r="F38" s="121" t="s">
        <v>267</v>
      </c>
      <c r="G38" s="122">
        <v>1</v>
      </c>
      <c r="H38" s="122">
        <v>2</v>
      </c>
    </row>
    <row r="39" spans="1:8" x14ac:dyDescent="0.2">
      <c r="A39" s="121" t="s">
        <v>29</v>
      </c>
      <c r="B39" s="121" t="s">
        <v>29</v>
      </c>
      <c r="C39" s="121" t="s">
        <v>158</v>
      </c>
      <c r="D39" s="122" t="s">
        <v>184</v>
      </c>
      <c r="E39" s="121" t="s">
        <v>272</v>
      </c>
      <c r="F39" s="121" t="s">
        <v>267</v>
      </c>
      <c r="G39" s="122">
        <v>4</v>
      </c>
      <c r="H39" s="122">
        <v>0</v>
      </c>
    </row>
    <row r="40" spans="1:8" x14ac:dyDescent="0.2">
      <c r="A40" s="121" t="s">
        <v>29</v>
      </c>
      <c r="B40" s="121" t="s">
        <v>29</v>
      </c>
      <c r="C40" s="121" t="s">
        <v>158</v>
      </c>
      <c r="D40" s="122" t="s">
        <v>185</v>
      </c>
      <c r="E40" s="121" t="s">
        <v>266</v>
      </c>
      <c r="F40" s="121" t="s">
        <v>267</v>
      </c>
      <c r="G40" s="122">
        <v>5</v>
      </c>
      <c r="H40" s="122">
        <v>0</v>
      </c>
    </row>
    <row r="41" spans="1:8" x14ac:dyDescent="0.2">
      <c r="A41" s="121" t="s">
        <v>29</v>
      </c>
      <c r="B41" s="121" t="s">
        <v>29</v>
      </c>
      <c r="C41" s="121" t="s">
        <v>121</v>
      </c>
      <c r="D41" s="122" t="s">
        <v>134</v>
      </c>
      <c r="E41" s="121" t="s">
        <v>268</v>
      </c>
      <c r="F41" s="121" t="s">
        <v>267</v>
      </c>
      <c r="G41" s="122">
        <v>0</v>
      </c>
      <c r="H41" s="122">
        <v>1</v>
      </c>
    </row>
    <row r="42" spans="1:8" x14ac:dyDescent="0.2">
      <c r="A42" s="121" t="s">
        <v>29</v>
      </c>
      <c r="B42" s="121" t="s">
        <v>29</v>
      </c>
      <c r="C42" s="121" t="s">
        <v>121</v>
      </c>
      <c r="D42" s="122" t="s">
        <v>186</v>
      </c>
      <c r="E42" s="121" t="s">
        <v>272</v>
      </c>
      <c r="F42" s="121" t="s">
        <v>267</v>
      </c>
      <c r="G42" s="122">
        <v>1</v>
      </c>
      <c r="H42" s="122">
        <v>0</v>
      </c>
    </row>
    <row r="43" spans="1:8" x14ac:dyDescent="0.2">
      <c r="A43" s="121" t="s">
        <v>29</v>
      </c>
      <c r="B43" s="121" t="s">
        <v>29</v>
      </c>
      <c r="C43" s="121" t="s">
        <v>121</v>
      </c>
      <c r="D43" s="122" t="s">
        <v>135</v>
      </c>
      <c r="E43" s="121" t="s">
        <v>266</v>
      </c>
      <c r="F43" s="121" t="s">
        <v>267</v>
      </c>
      <c r="G43" s="122">
        <v>1</v>
      </c>
      <c r="H43" s="122">
        <v>3</v>
      </c>
    </row>
    <row r="44" spans="1:8" x14ac:dyDescent="0.2">
      <c r="A44" s="121" t="s">
        <v>29</v>
      </c>
      <c r="B44" s="121" t="s">
        <v>29</v>
      </c>
      <c r="C44" s="121" t="s">
        <v>36</v>
      </c>
      <c r="D44" s="122" t="s">
        <v>47</v>
      </c>
      <c r="E44" s="121" t="s">
        <v>268</v>
      </c>
      <c r="F44" s="121" t="s">
        <v>267</v>
      </c>
      <c r="G44" s="122">
        <v>3</v>
      </c>
      <c r="H44" s="122">
        <v>0</v>
      </c>
    </row>
    <row r="45" spans="1:8" x14ac:dyDescent="0.2">
      <c r="A45" s="121" t="s">
        <v>29</v>
      </c>
      <c r="B45" s="121" t="s">
        <v>29</v>
      </c>
      <c r="C45" s="121" t="s">
        <v>36</v>
      </c>
      <c r="D45" s="122" t="s">
        <v>47</v>
      </c>
      <c r="E45" s="121" t="s">
        <v>270</v>
      </c>
      <c r="F45" s="121" t="s">
        <v>267</v>
      </c>
      <c r="G45" s="122">
        <v>1</v>
      </c>
      <c r="H45" s="122">
        <v>1</v>
      </c>
    </row>
    <row r="46" spans="1:8" x14ac:dyDescent="0.2">
      <c r="A46" s="121" t="s">
        <v>29</v>
      </c>
      <c r="B46" s="121" t="s">
        <v>29</v>
      </c>
      <c r="C46" s="121" t="s">
        <v>93</v>
      </c>
      <c r="D46" s="122" t="s">
        <v>96</v>
      </c>
      <c r="E46" s="121" t="s">
        <v>268</v>
      </c>
      <c r="F46" s="121" t="s">
        <v>267</v>
      </c>
      <c r="G46" s="122">
        <v>1</v>
      </c>
      <c r="H46" s="122">
        <v>0</v>
      </c>
    </row>
    <row r="47" spans="1:8" x14ac:dyDescent="0.2">
      <c r="A47" s="121" t="s">
        <v>29</v>
      </c>
      <c r="B47" s="121" t="s">
        <v>29</v>
      </c>
      <c r="C47" s="121" t="s">
        <v>93</v>
      </c>
      <c r="D47" s="122" t="s">
        <v>96</v>
      </c>
      <c r="E47" s="121" t="s">
        <v>272</v>
      </c>
      <c r="F47" s="121" t="s">
        <v>267</v>
      </c>
      <c r="G47" s="122">
        <v>1</v>
      </c>
      <c r="H47" s="122">
        <v>2</v>
      </c>
    </row>
    <row r="48" spans="1:8" x14ac:dyDescent="0.2">
      <c r="A48" s="121" t="s">
        <v>29</v>
      </c>
      <c r="B48" s="121" t="s">
        <v>29</v>
      </c>
      <c r="C48" s="121" t="s">
        <v>164</v>
      </c>
      <c r="D48" s="122" t="s">
        <v>137</v>
      </c>
      <c r="E48" s="121" t="s">
        <v>268</v>
      </c>
      <c r="F48" s="121" t="s">
        <v>267</v>
      </c>
      <c r="G48" s="122">
        <v>0</v>
      </c>
      <c r="H48" s="122">
        <v>1</v>
      </c>
    </row>
    <row r="49" spans="1:8" x14ac:dyDescent="0.2">
      <c r="A49" s="121" t="s">
        <v>29</v>
      </c>
      <c r="B49" s="121" t="s">
        <v>29</v>
      </c>
      <c r="C49" s="121" t="s">
        <v>164</v>
      </c>
      <c r="D49" s="122" t="s">
        <v>137</v>
      </c>
      <c r="E49" s="121" t="s">
        <v>272</v>
      </c>
      <c r="F49" s="121" t="s">
        <v>267</v>
      </c>
      <c r="G49" s="122">
        <v>1</v>
      </c>
      <c r="H49" s="122">
        <v>1</v>
      </c>
    </row>
    <row r="50" spans="1:8" x14ac:dyDescent="0.2">
      <c r="A50" s="121" t="s">
        <v>29</v>
      </c>
      <c r="B50" s="121" t="s">
        <v>29</v>
      </c>
      <c r="C50" s="121" t="s">
        <v>112</v>
      </c>
      <c r="D50" s="122" t="s">
        <v>187</v>
      </c>
      <c r="E50" s="121" t="s">
        <v>271</v>
      </c>
      <c r="F50" s="121" t="s">
        <v>267</v>
      </c>
      <c r="G50" s="122">
        <v>0</v>
      </c>
      <c r="H50" s="122">
        <v>2</v>
      </c>
    </row>
    <row r="51" spans="1:8" x14ac:dyDescent="0.2">
      <c r="A51" s="121" t="s">
        <v>29</v>
      </c>
      <c r="B51" s="121" t="s">
        <v>29</v>
      </c>
      <c r="C51" s="121" t="s">
        <v>92</v>
      </c>
      <c r="D51" s="122" t="s">
        <v>94</v>
      </c>
      <c r="E51" s="121" t="s">
        <v>269</v>
      </c>
      <c r="F51" s="121" t="s">
        <v>267</v>
      </c>
      <c r="G51" s="122">
        <v>2</v>
      </c>
      <c r="H51" s="122">
        <v>0</v>
      </c>
    </row>
    <row r="52" spans="1:8" x14ac:dyDescent="0.2">
      <c r="A52" s="121" t="s">
        <v>29</v>
      </c>
      <c r="B52" s="121" t="s">
        <v>29</v>
      </c>
      <c r="C52" s="121" t="s">
        <v>25</v>
      </c>
      <c r="D52" s="122" t="s">
        <v>48</v>
      </c>
      <c r="E52" s="121" t="s">
        <v>272</v>
      </c>
      <c r="F52" s="121" t="s">
        <v>267</v>
      </c>
      <c r="G52" s="122">
        <v>0</v>
      </c>
      <c r="H52" s="122">
        <v>1</v>
      </c>
    </row>
    <row r="53" spans="1:8" x14ac:dyDescent="0.2">
      <c r="A53" s="121" t="s">
        <v>29</v>
      </c>
      <c r="B53" s="121" t="s">
        <v>29</v>
      </c>
      <c r="C53" s="121" t="s">
        <v>73</v>
      </c>
      <c r="D53" s="122" t="s">
        <v>136</v>
      </c>
      <c r="E53" s="121" t="s">
        <v>266</v>
      </c>
      <c r="F53" s="121" t="s">
        <v>267</v>
      </c>
      <c r="G53" s="122">
        <v>1</v>
      </c>
      <c r="H53" s="122">
        <v>0</v>
      </c>
    </row>
    <row r="54" spans="1:8" x14ac:dyDescent="0.2">
      <c r="A54" s="121" t="s">
        <v>29</v>
      </c>
      <c r="B54" s="121" t="s">
        <v>29</v>
      </c>
      <c r="C54" s="121" t="s">
        <v>65</v>
      </c>
      <c r="D54" s="122" t="s">
        <v>51</v>
      </c>
      <c r="E54" s="121" t="s">
        <v>272</v>
      </c>
      <c r="F54" s="121" t="s">
        <v>267</v>
      </c>
      <c r="G54" s="122">
        <v>1</v>
      </c>
      <c r="H54" s="122">
        <v>0</v>
      </c>
    </row>
    <row r="55" spans="1:8" x14ac:dyDescent="0.2">
      <c r="A55" s="121" t="s">
        <v>29</v>
      </c>
      <c r="B55" s="121" t="s">
        <v>29</v>
      </c>
      <c r="C55" s="121" t="s">
        <v>167</v>
      </c>
      <c r="D55" s="122" t="s">
        <v>188</v>
      </c>
      <c r="E55" s="121" t="s">
        <v>271</v>
      </c>
      <c r="F55" s="121" t="s">
        <v>267</v>
      </c>
      <c r="G55" s="122">
        <v>0</v>
      </c>
      <c r="H55" s="122">
        <v>1</v>
      </c>
    </row>
    <row r="56" spans="1:8" x14ac:dyDescent="0.2">
      <c r="A56" s="121" t="s">
        <v>29</v>
      </c>
      <c r="B56" s="121" t="s">
        <v>29</v>
      </c>
      <c r="C56" s="121" t="s">
        <v>109</v>
      </c>
      <c r="D56" s="122" t="s">
        <v>48</v>
      </c>
      <c r="E56" s="121" t="s">
        <v>270</v>
      </c>
      <c r="F56" s="121" t="s">
        <v>267</v>
      </c>
      <c r="G56" s="122">
        <v>0</v>
      </c>
      <c r="H56" s="122">
        <v>1</v>
      </c>
    </row>
    <row r="57" spans="1:8" x14ac:dyDescent="0.2">
      <c r="A57" s="121" t="s">
        <v>30</v>
      </c>
      <c r="B57" s="121" t="s">
        <v>274</v>
      </c>
      <c r="C57" s="121" t="s">
        <v>58</v>
      </c>
      <c r="D57" s="122" t="s">
        <v>189</v>
      </c>
      <c r="E57" s="121" t="s">
        <v>268</v>
      </c>
      <c r="F57" s="121" t="s">
        <v>267</v>
      </c>
      <c r="G57" s="122">
        <v>1</v>
      </c>
      <c r="H57" s="122">
        <v>0</v>
      </c>
    </row>
    <row r="58" spans="1:8" x14ac:dyDescent="0.2">
      <c r="A58" s="121" t="s">
        <v>30</v>
      </c>
      <c r="B58" s="121" t="s">
        <v>274</v>
      </c>
      <c r="C58" s="121" t="s">
        <v>58</v>
      </c>
      <c r="D58" s="122" t="s">
        <v>190</v>
      </c>
      <c r="E58" s="121" t="s">
        <v>278</v>
      </c>
      <c r="F58" s="121" t="s">
        <v>267</v>
      </c>
      <c r="G58" s="122">
        <v>0</v>
      </c>
      <c r="H58" s="122">
        <v>1</v>
      </c>
    </row>
    <row r="59" spans="1:8" x14ac:dyDescent="0.2">
      <c r="A59" s="121" t="s">
        <v>30</v>
      </c>
      <c r="B59" s="121" t="s">
        <v>274</v>
      </c>
      <c r="C59" s="121" t="s">
        <v>58</v>
      </c>
      <c r="D59" s="122" t="s">
        <v>76</v>
      </c>
      <c r="E59" s="121" t="s">
        <v>149</v>
      </c>
      <c r="F59" s="121" t="s">
        <v>267</v>
      </c>
      <c r="G59" s="122">
        <v>0</v>
      </c>
      <c r="H59" s="122">
        <v>1</v>
      </c>
    </row>
    <row r="60" spans="1:8" x14ac:dyDescent="0.2">
      <c r="A60" s="121" t="s">
        <v>30</v>
      </c>
      <c r="B60" s="121" t="s">
        <v>274</v>
      </c>
      <c r="C60" s="121" t="s">
        <v>58</v>
      </c>
      <c r="D60" s="122" t="s">
        <v>138</v>
      </c>
      <c r="E60" s="121" t="s">
        <v>270</v>
      </c>
      <c r="F60" s="121" t="s">
        <v>267</v>
      </c>
      <c r="G60" s="122">
        <v>1</v>
      </c>
      <c r="H60" s="122">
        <v>1</v>
      </c>
    </row>
    <row r="61" spans="1:8" x14ac:dyDescent="0.2">
      <c r="A61" s="121" t="s">
        <v>30</v>
      </c>
      <c r="B61" s="121" t="s">
        <v>274</v>
      </c>
      <c r="C61" s="121" t="s">
        <v>58</v>
      </c>
      <c r="D61" s="122" t="s">
        <v>191</v>
      </c>
      <c r="E61" s="121" t="s">
        <v>268</v>
      </c>
      <c r="F61" s="121" t="s">
        <v>267</v>
      </c>
      <c r="G61" s="122">
        <v>2</v>
      </c>
      <c r="H61" s="122">
        <v>0</v>
      </c>
    </row>
    <row r="62" spans="1:8" x14ac:dyDescent="0.2">
      <c r="A62" s="121" t="s">
        <v>30</v>
      </c>
      <c r="B62" s="121" t="s">
        <v>274</v>
      </c>
      <c r="C62" s="121" t="s">
        <v>58</v>
      </c>
      <c r="D62" s="122" t="s">
        <v>77</v>
      </c>
      <c r="E62" s="121" t="s">
        <v>272</v>
      </c>
      <c r="F62" s="121" t="s">
        <v>267</v>
      </c>
      <c r="G62" s="122">
        <v>0</v>
      </c>
      <c r="H62" s="122">
        <v>1</v>
      </c>
    </row>
    <row r="63" spans="1:8" x14ac:dyDescent="0.2">
      <c r="A63" s="121" t="s">
        <v>30</v>
      </c>
      <c r="B63" s="121" t="s">
        <v>274</v>
      </c>
      <c r="C63" s="121" t="s">
        <v>58</v>
      </c>
      <c r="D63" s="122" t="s">
        <v>192</v>
      </c>
      <c r="E63" s="121" t="s">
        <v>271</v>
      </c>
      <c r="F63" s="121" t="s">
        <v>267</v>
      </c>
      <c r="G63" s="122">
        <v>0</v>
      </c>
      <c r="H63" s="122">
        <v>1</v>
      </c>
    </row>
    <row r="64" spans="1:8" x14ac:dyDescent="0.2">
      <c r="A64" s="121" t="s">
        <v>30</v>
      </c>
      <c r="B64" s="121" t="s">
        <v>274</v>
      </c>
      <c r="C64" s="121" t="s">
        <v>58</v>
      </c>
      <c r="D64" s="122" t="s">
        <v>102</v>
      </c>
      <c r="E64" s="121" t="s">
        <v>272</v>
      </c>
      <c r="F64" s="121" t="s">
        <v>267</v>
      </c>
      <c r="G64" s="122">
        <v>1</v>
      </c>
      <c r="H64" s="122">
        <v>3</v>
      </c>
    </row>
    <row r="65" spans="1:8" x14ac:dyDescent="0.2">
      <c r="A65" s="121" t="s">
        <v>30</v>
      </c>
      <c r="B65" s="121" t="s">
        <v>274</v>
      </c>
      <c r="C65" s="121" t="s">
        <v>58</v>
      </c>
      <c r="D65" s="122" t="s">
        <v>193</v>
      </c>
      <c r="E65" s="121" t="s">
        <v>266</v>
      </c>
      <c r="F65" s="121" t="s">
        <v>267</v>
      </c>
      <c r="G65" s="122">
        <v>1</v>
      </c>
      <c r="H65" s="122">
        <v>0</v>
      </c>
    </row>
    <row r="66" spans="1:8" x14ac:dyDescent="0.2">
      <c r="A66" s="121" t="s">
        <v>30</v>
      </c>
      <c r="B66" s="121" t="s">
        <v>274</v>
      </c>
      <c r="C66" s="121" t="s">
        <v>58</v>
      </c>
      <c r="D66" s="122" t="s">
        <v>194</v>
      </c>
      <c r="E66" s="121" t="s">
        <v>272</v>
      </c>
      <c r="F66" s="121" t="s">
        <v>275</v>
      </c>
      <c r="G66" s="122">
        <v>0</v>
      </c>
      <c r="H66" s="122">
        <v>2</v>
      </c>
    </row>
    <row r="67" spans="1:8" x14ac:dyDescent="0.2">
      <c r="A67" s="121" t="s">
        <v>30</v>
      </c>
      <c r="B67" s="121" t="s">
        <v>274</v>
      </c>
      <c r="C67" s="121" t="s">
        <v>58</v>
      </c>
      <c r="D67" s="122" t="s">
        <v>195</v>
      </c>
      <c r="E67" s="121" t="s">
        <v>268</v>
      </c>
      <c r="F67" s="121" t="s">
        <v>275</v>
      </c>
      <c r="G67" s="122">
        <v>1</v>
      </c>
      <c r="H67" s="122">
        <v>0</v>
      </c>
    </row>
    <row r="68" spans="1:8" x14ac:dyDescent="0.2">
      <c r="A68" s="121" t="s">
        <v>30</v>
      </c>
      <c r="B68" s="121" t="s">
        <v>274</v>
      </c>
      <c r="C68" s="121" t="s">
        <v>58</v>
      </c>
      <c r="D68" s="122" t="s">
        <v>196</v>
      </c>
      <c r="E68" s="121" t="s">
        <v>279</v>
      </c>
      <c r="F68" s="121" t="s">
        <v>267</v>
      </c>
      <c r="G68" s="122">
        <v>0</v>
      </c>
      <c r="H68" s="122">
        <v>1</v>
      </c>
    </row>
    <row r="69" spans="1:8" x14ac:dyDescent="0.2">
      <c r="A69" s="121" t="s">
        <v>30</v>
      </c>
      <c r="B69" s="121" t="s">
        <v>274</v>
      </c>
      <c r="C69" s="121" t="s">
        <v>58</v>
      </c>
      <c r="D69" s="122" t="s">
        <v>197</v>
      </c>
      <c r="E69" s="121" t="s">
        <v>272</v>
      </c>
      <c r="F69" s="121" t="s">
        <v>275</v>
      </c>
      <c r="G69" s="122">
        <v>0</v>
      </c>
      <c r="H69" s="122">
        <v>1</v>
      </c>
    </row>
    <row r="70" spans="1:8" x14ac:dyDescent="0.2">
      <c r="A70" s="121" t="s">
        <v>30</v>
      </c>
      <c r="B70" s="121" t="s">
        <v>274</v>
      </c>
      <c r="C70" s="121" t="s">
        <v>86</v>
      </c>
      <c r="D70" s="122" t="s">
        <v>198</v>
      </c>
      <c r="E70" s="121" t="s">
        <v>271</v>
      </c>
      <c r="F70" s="121" t="s">
        <v>267</v>
      </c>
      <c r="G70" s="122">
        <v>0</v>
      </c>
      <c r="H70" s="122">
        <v>1</v>
      </c>
    </row>
    <row r="71" spans="1:8" x14ac:dyDescent="0.2">
      <c r="A71" s="121" t="s">
        <v>30</v>
      </c>
      <c r="B71" s="121" t="s">
        <v>274</v>
      </c>
      <c r="C71" s="121" t="s">
        <v>86</v>
      </c>
      <c r="D71" s="122" t="s">
        <v>110</v>
      </c>
      <c r="E71" s="121" t="s">
        <v>272</v>
      </c>
      <c r="F71" s="121" t="s">
        <v>267</v>
      </c>
      <c r="G71" s="122">
        <v>1</v>
      </c>
      <c r="H71" s="122">
        <v>0</v>
      </c>
    </row>
    <row r="72" spans="1:8" x14ac:dyDescent="0.2">
      <c r="A72" s="121" t="s">
        <v>30</v>
      </c>
      <c r="B72" s="121" t="s">
        <v>274</v>
      </c>
      <c r="C72" s="121" t="s">
        <v>86</v>
      </c>
      <c r="D72" s="122" t="s">
        <v>199</v>
      </c>
      <c r="E72" s="121" t="s">
        <v>270</v>
      </c>
      <c r="F72" s="121" t="s">
        <v>267</v>
      </c>
      <c r="G72" s="122">
        <v>0</v>
      </c>
      <c r="H72" s="122">
        <v>1</v>
      </c>
    </row>
    <row r="73" spans="1:8" x14ac:dyDescent="0.2">
      <c r="A73" s="121" t="s">
        <v>30</v>
      </c>
      <c r="B73" s="121" t="s">
        <v>274</v>
      </c>
      <c r="C73" s="121" t="s">
        <v>86</v>
      </c>
      <c r="D73" s="122" t="s">
        <v>89</v>
      </c>
      <c r="E73" s="121" t="s">
        <v>270</v>
      </c>
      <c r="F73" s="121" t="s">
        <v>267</v>
      </c>
      <c r="G73" s="122">
        <v>1</v>
      </c>
      <c r="H73" s="122">
        <v>0</v>
      </c>
    </row>
    <row r="74" spans="1:8" x14ac:dyDescent="0.2">
      <c r="A74" s="121" t="s">
        <v>30</v>
      </c>
      <c r="B74" s="121" t="s">
        <v>274</v>
      </c>
      <c r="C74" s="121" t="s">
        <v>86</v>
      </c>
      <c r="D74" s="122" t="s">
        <v>200</v>
      </c>
      <c r="E74" s="121" t="s">
        <v>271</v>
      </c>
      <c r="F74" s="121" t="s">
        <v>267</v>
      </c>
      <c r="G74" s="122">
        <v>0</v>
      </c>
      <c r="H74" s="122">
        <v>1</v>
      </c>
    </row>
    <row r="75" spans="1:8" x14ac:dyDescent="0.2">
      <c r="A75" s="121" t="s">
        <v>30</v>
      </c>
      <c r="B75" s="121" t="s">
        <v>274</v>
      </c>
      <c r="C75" s="121" t="s">
        <v>86</v>
      </c>
      <c r="D75" s="122" t="s">
        <v>201</v>
      </c>
      <c r="E75" s="121" t="s">
        <v>276</v>
      </c>
      <c r="F75" s="121" t="s">
        <v>267</v>
      </c>
      <c r="G75" s="122">
        <v>2</v>
      </c>
      <c r="H75" s="122">
        <v>0</v>
      </c>
    </row>
    <row r="76" spans="1:8" x14ac:dyDescent="0.2">
      <c r="A76" s="121" t="s">
        <v>30</v>
      </c>
      <c r="B76" s="121" t="s">
        <v>274</v>
      </c>
      <c r="C76" s="121" t="s">
        <v>86</v>
      </c>
      <c r="D76" s="122" t="s">
        <v>75</v>
      </c>
      <c r="E76" s="121" t="s">
        <v>272</v>
      </c>
      <c r="F76" s="121" t="s">
        <v>267</v>
      </c>
      <c r="G76" s="122">
        <v>2</v>
      </c>
      <c r="H76" s="122">
        <v>1</v>
      </c>
    </row>
    <row r="77" spans="1:8" x14ac:dyDescent="0.2">
      <c r="A77" s="121" t="s">
        <v>115</v>
      </c>
      <c r="B77" s="121" t="s">
        <v>115</v>
      </c>
      <c r="C77" s="121" t="s">
        <v>70</v>
      </c>
      <c r="D77" s="122" t="s">
        <v>202</v>
      </c>
      <c r="E77" s="121" t="s">
        <v>270</v>
      </c>
      <c r="F77" s="121" t="s">
        <v>267</v>
      </c>
      <c r="G77" s="122">
        <v>1</v>
      </c>
      <c r="H77" s="122">
        <v>0</v>
      </c>
    </row>
    <row r="78" spans="1:8" x14ac:dyDescent="0.2">
      <c r="A78" s="121" t="s">
        <v>115</v>
      </c>
      <c r="B78" s="121" t="s">
        <v>115</v>
      </c>
      <c r="C78" s="121" t="s">
        <v>70</v>
      </c>
      <c r="D78" s="122" t="s">
        <v>203</v>
      </c>
      <c r="E78" s="121" t="s">
        <v>272</v>
      </c>
      <c r="F78" s="121" t="s">
        <v>267</v>
      </c>
      <c r="G78" s="122">
        <v>2</v>
      </c>
      <c r="H78" s="122">
        <v>0</v>
      </c>
    </row>
    <row r="79" spans="1:8" x14ac:dyDescent="0.2">
      <c r="A79" s="121" t="s">
        <v>115</v>
      </c>
      <c r="B79" s="121" t="s">
        <v>115</v>
      </c>
      <c r="C79" s="121" t="s">
        <v>70</v>
      </c>
      <c r="D79" s="122" t="s">
        <v>99</v>
      </c>
      <c r="E79" s="121" t="s">
        <v>149</v>
      </c>
      <c r="F79" s="121" t="s">
        <v>267</v>
      </c>
      <c r="G79" s="122">
        <v>1</v>
      </c>
      <c r="H79" s="122">
        <v>0</v>
      </c>
    </row>
    <row r="80" spans="1:8" x14ac:dyDescent="0.2">
      <c r="A80" s="121" t="s">
        <v>31</v>
      </c>
      <c r="B80" s="121" t="s">
        <v>277</v>
      </c>
      <c r="C80" s="121" t="s">
        <v>72</v>
      </c>
      <c r="D80" s="122" t="s">
        <v>204</v>
      </c>
      <c r="E80" s="121" t="s">
        <v>270</v>
      </c>
      <c r="F80" s="121" t="s">
        <v>267</v>
      </c>
      <c r="G80" s="122">
        <v>0</v>
      </c>
      <c r="H80" s="122">
        <v>1</v>
      </c>
    </row>
    <row r="81" spans="1:8" x14ac:dyDescent="0.2">
      <c r="A81" s="121" t="s">
        <v>31</v>
      </c>
      <c r="B81" s="121" t="s">
        <v>277</v>
      </c>
      <c r="C81" s="121" t="s">
        <v>72</v>
      </c>
      <c r="D81" s="122" t="s">
        <v>78</v>
      </c>
      <c r="E81" s="121" t="s">
        <v>272</v>
      </c>
      <c r="F81" s="121" t="s">
        <v>267</v>
      </c>
      <c r="G81" s="122">
        <v>2</v>
      </c>
      <c r="H81" s="122">
        <v>1</v>
      </c>
    </row>
    <row r="82" spans="1:8" x14ac:dyDescent="0.2">
      <c r="A82" s="121" t="s">
        <v>31</v>
      </c>
      <c r="B82" s="121" t="s">
        <v>277</v>
      </c>
      <c r="C82" s="121" t="s">
        <v>85</v>
      </c>
      <c r="D82" s="122" t="s">
        <v>113</v>
      </c>
      <c r="E82" s="121" t="s">
        <v>268</v>
      </c>
      <c r="F82" s="121" t="s">
        <v>267</v>
      </c>
      <c r="G82" s="122">
        <v>1</v>
      </c>
      <c r="H82" s="122">
        <v>0</v>
      </c>
    </row>
    <row r="83" spans="1:8" x14ac:dyDescent="0.2">
      <c r="A83" s="121" t="s">
        <v>31</v>
      </c>
      <c r="B83" s="121" t="s">
        <v>277</v>
      </c>
      <c r="C83" s="121" t="s">
        <v>85</v>
      </c>
      <c r="D83" s="122" t="s">
        <v>141</v>
      </c>
      <c r="E83" s="121" t="s">
        <v>272</v>
      </c>
      <c r="F83" s="121" t="s">
        <v>267</v>
      </c>
      <c r="G83" s="122">
        <v>0</v>
      </c>
      <c r="H83" s="122">
        <v>1</v>
      </c>
    </row>
    <row r="84" spans="1:8" x14ac:dyDescent="0.2">
      <c r="A84" s="121" t="s">
        <v>31</v>
      </c>
      <c r="B84" s="121" t="s">
        <v>277</v>
      </c>
      <c r="C84" s="121" t="s">
        <v>85</v>
      </c>
      <c r="D84" s="122" t="s">
        <v>142</v>
      </c>
      <c r="E84" s="121" t="s">
        <v>272</v>
      </c>
      <c r="F84" s="121" t="s">
        <v>267</v>
      </c>
      <c r="G84" s="122">
        <v>1</v>
      </c>
      <c r="H84" s="122">
        <v>0</v>
      </c>
    </row>
    <row r="85" spans="1:8" x14ac:dyDescent="0.2">
      <c r="A85" s="121" t="s">
        <v>31</v>
      </c>
      <c r="B85" s="121" t="s">
        <v>277</v>
      </c>
      <c r="C85" s="121" t="s">
        <v>85</v>
      </c>
      <c r="D85" s="122" t="s">
        <v>205</v>
      </c>
      <c r="E85" s="121" t="s">
        <v>266</v>
      </c>
      <c r="F85" s="121" t="s">
        <v>267</v>
      </c>
      <c r="G85" s="122">
        <v>0</v>
      </c>
      <c r="H85" s="122">
        <v>1</v>
      </c>
    </row>
    <row r="86" spans="1:8" x14ac:dyDescent="0.2">
      <c r="A86" s="121" t="s">
        <v>31</v>
      </c>
      <c r="B86" s="121" t="s">
        <v>277</v>
      </c>
      <c r="C86" s="121" t="s">
        <v>126</v>
      </c>
      <c r="D86" s="122" t="s">
        <v>140</v>
      </c>
      <c r="E86" s="121" t="s">
        <v>272</v>
      </c>
      <c r="F86" s="121" t="s">
        <v>267</v>
      </c>
      <c r="G86" s="122">
        <v>1</v>
      </c>
      <c r="H86" s="122">
        <v>0</v>
      </c>
    </row>
    <row r="87" spans="1:8" x14ac:dyDescent="0.2">
      <c r="A87" s="121" t="s">
        <v>31</v>
      </c>
      <c r="B87" s="121" t="s">
        <v>277</v>
      </c>
      <c r="C87" s="121" t="s">
        <v>126</v>
      </c>
      <c r="D87" s="122" t="s">
        <v>206</v>
      </c>
      <c r="E87" s="121" t="s">
        <v>266</v>
      </c>
      <c r="F87" s="121" t="s">
        <v>267</v>
      </c>
      <c r="G87" s="122">
        <v>0</v>
      </c>
      <c r="H87" s="122">
        <v>1</v>
      </c>
    </row>
    <row r="88" spans="1:8" x14ac:dyDescent="0.2">
      <c r="A88" s="121" t="s">
        <v>27</v>
      </c>
      <c r="B88" s="121" t="s">
        <v>27</v>
      </c>
      <c r="C88" s="121" t="s">
        <v>65</v>
      </c>
      <c r="D88" s="122" t="s">
        <v>51</v>
      </c>
      <c r="E88" s="121" t="s">
        <v>268</v>
      </c>
      <c r="F88" s="121" t="s">
        <v>267</v>
      </c>
      <c r="G88" s="122">
        <v>4</v>
      </c>
      <c r="H88" s="122">
        <v>3</v>
      </c>
    </row>
    <row r="89" spans="1:8" x14ac:dyDescent="0.2">
      <c r="A89" s="121" t="s">
        <v>27</v>
      </c>
      <c r="B89" s="121" t="s">
        <v>27</v>
      </c>
      <c r="C89" s="121" t="s">
        <v>65</v>
      </c>
      <c r="D89" s="122" t="s">
        <v>51</v>
      </c>
      <c r="E89" s="121" t="s">
        <v>269</v>
      </c>
      <c r="F89" s="121" t="s">
        <v>267</v>
      </c>
      <c r="G89" s="122">
        <v>1</v>
      </c>
      <c r="H89" s="122">
        <v>0</v>
      </c>
    </row>
    <row r="90" spans="1:8" x14ac:dyDescent="0.2">
      <c r="A90" s="121" t="s">
        <v>27</v>
      </c>
      <c r="B90" s="121" t="s">
        <v>27</v>
      </c>
      <c r="C90" s="121" t="s">
        <v>65</v>
      </c>
      <c r="D90" s="122" t="s">
        <v>51</v>
      </c>
      <c r="E90" s="121" t="s">
        <v>149</v>
      </c>
      <c r="F90" s="121" t="s">
        <v>267</v>
      </c>
      <c r="G90" s="122">
        <v>6</v>
      </c>
      <c r="H90" s="122">
        <v>3</v>
      </c>
    </row>
    <row r="91" spans="1:8" x14ac:dyDescent="0.2">
      <c r="A91" s="121" t="s">
        <v>27</v>
      </c>
      <c r="B91" s="121" t="s">
        <v>27</v>
      </c>
      <c r="C91" s="121" t="s">
        <v>65</v>
      </c>
      <c r="D91" s="122" t="s">
        <v>51</v>
      </c>
      <c r="E91" s="121" t="s">
        <v>279</v>
      </c>
      <c r="F91" s="121" t="s">
        <v>267</v>
      </c>
      <c r="G91" s="122">
        <v>3</v>
      </c>
      <c r="H91" s="122">
        <v>6</v>
      </c>
    </row>
    <row r="92" spans="1:8" x14ac:dyDescent="0.2">
      <c r="A92" s="121" t="s">
        <v>27</v>
      </c>
      <c r="B92" s="121" t="s">
        <v>27</v>
      </c>
      <c r="C92" s="121" t="s">
        <v>65</v>
      </c>
      <c r="D92" s="122" t="s">
        <v>51</v>
      </c>
      <c r="E92" s="121" t="s">
        <v>271</v>
      </c>
      <c r="F92" s="121" t="s">
        <v>267</v>
      </c>
      <c r="G92" s="122">
        <v>10</v>
      </c>
      <c r="H92" s="122">
        <v>9</v>
      </c>
    </row>
    <row r="93" spans="1:8" x14ac:dyDescent="0.2">
      <c r="A93" s="121" t="s">
        <v>27</v>
      </c>
      <c r="B93" s="121" t="s">
        <v>27</v>
      </c>
      <c r="C93" s="121" t="s">
        <v>65</v>
      </c>
      <c r="D93" s="122" t="s">
        <v>51</v>
      </c>
      <c r="E93" s="121" t="s">
        <v>272</v>
      </c>
      <c r="F93" s="121" t="s">
        <v>267</v>
      </c>
      <c r="G93" s="122">
        <v>27</v>
      </c>
      <c r="H93" s="122">
        <v>40</v>
      </c>
    </row>
    <row r="94" spans="1:8" x14ac:dyDescent="0.2">
      <c r="A94" s="121" t="s">
        <v>27</v>
      </c>
      <c r="B94" s="121" t="s">
        <v>27</v>
      </c>
      <c r="C94" s="121" t="s">
        <v>65</v>
      </c>
      <c r="D94" s="122" t="s">
        <v>51</v>
      </c>
      <c r="E94" s="121" t="s">
        <v>280</v>
      </c>
      <c r="F94" s="121" t="s">
        <v>267</v>
      </c>
      <c r="G94" s="122">
        <v>2</v>
      </c>
      <c r="H94" s="122">
        <v>1</v>
      </c>
    </row>
    <row r="95" spans="1:8" x14ac:dyDescent="0.2">
      <c r="A95" s="121" t="s">
        <v>27</v>
      </c>
      <c r="B95" s="121" t="s">
        <v>27</v>
      </c>
      <c r="C95" s="121" t="s">
        <v>65</v>
      </c>
      <c r="D95" s="122" t="s">
        <v>51</v>
      </c>
      <c r="E95" s="121" t="s">
        <v>266</v>
      </c>
      <c r="F95" s="121" t="s">
        <v>267</v>
      </c>
      <c r="G95" s="122">
        <v>14</v>
      </c>
      <c r="H95" s="122">
        <v>19</v>
      </c>
    </row>
    <row r="96" spans="1:8" x14ac:dyDescent="0.2">
      <c r="A96" s="121" t="s">
        <v>27</v>
      </c>
      <c r="B96" s="121" t="s">
        <v>27</v>
      </c>
      <c r="C96" s="121" t="s">
        <v>58</v>
      </c>
      <c r="D96" s="122" t="s">
        <v>207</v>
      </c>
      <c r="E96" s="121" t="s">
        <v>268</v>
      </c>
      <c r="F96" s="121" t="s">
        <v>267</v>
      </c>
      <c r="G96" s="122">
        <v>0</v>
      </c>
      <c r="H96" s="122">
        <v>1</v>
      </c>
    </row>
    <row r="97" spans="1:8" x14ac:dyDescent="0.2">
      <c r="A97" s="121" t="s">
        <v>27</v>
      </c>
      <c r="B97" s="121" t="s">
        <v>27</v>
      </c>
      <c r="C97" s="121" t="s">
        <v>58</v>
      </c>
      <c r="D97" s="122" t="s">
        <v>208</v>
      </c>
      <c r="E97" s="121" t="s">
        <v>268</v>
      </c>
      <c r="F97" s="121" t="s">
        <v>267</v>
      </c>
      <c r="G97" s="122">
        <v>3</v>
      </c>
      <c r="H97" s="122">
        <v>1</v>
      </c>
    </row>
    <row r="98" spans="1:8" x14ac:dyDescent="0.2">
      <c r="A98" s="121" t="s">
        <v>27</v>
      </c>
      <c r="B98" s="121" t="s">
        <v>27</v>
      </c>
      <c r="C98" s="121" t="s">
        <v>58</v>
      </c>
      <c r="D98" s="122" t="s">
        <v>209</v>
      </c>
      <c r="E98" s="121" t="s">
        <v>271</v>
      </c>
      <c r="F98" s="121" t="s">
        <v>267</v>
      </c>
      <c r="G98" s="122">
        <v>1</v>
      </c>
      <c r="H98" s="122">
        <v>0</v>
      </c>
    </row>
    <row r="99" spans="1:8" x14ac:dyDescent="0.2">
      <c r="A99" s="121" t="s">
        <v>27</v>
      </c>
      <c r="B99" s="121" t="s">
        <v>27</v>
      </c>
      <c r="C99" s="121" t="s">
        <v>58</v>
      </c>
      <c r="D99" s="122" t="s">
        <v>210</v>
      </c>
      <c r="E99" s="121" t="s">
        <v>272</v>
      </c>
      <c r="F99" s="121" t="s">
        <v>267</v>
      </c>
      <c r="G99" s="122">
        <v>3</v>
      </c>
      <c r="H99" s="122">
        <v>1</v>
      </c>
    </row>
    <row r="100" spans="1:8" x14ac:dyDescent="0.2">
      <c r="A100" s="121" t="s">
        <v>27</v>
      </c>
      <c r="B100" s="121" t="s">
        <v>27</v>
      </c>
      <c r="C100" s="121" t="s">
        <v>58</v>
      </c>
      <c r="D100" s="122" t="s">
        <v>211</v>
      </c>
      <c r="E100" s="121" t="s">
        <v>279</v>
      </c>
      <c r="F100" s="121" t="s">
        <v>267</v>
      </c>
      <c r="G100" s="122">
        <v>0</v>
      </c>
      <c r="H100" s="122">
        <v>2</v>
      </c>
    </row>
    <row r="101" spans="1:8" x14ac:dyDescent="0.2">
      <c r="A101" s="121" t="s">
        <v>27</v>
      </c>
      <c r="B101" s="121" t="s">
        <v>27</v>
      </c>
      <c r="C101" s="121" t="s">
        <v>58</v>
      </c>
      <c r="D101" s="122" t="s">
        <v>76</v>
      </c>
      <c r="E101" s="121" t="s">
        <v>149</v>
      </c>
      <c r="F101" s="121" t="s">
        <v>267</v>
      </c>
      <c r="G101" s="122">
        <v>6</v>
      </c>
      <c r="H101" s="122">
        <v>12</v>
      </c>
    </row>
    <row r="102" spans="1:8" x14ac:dyDescent="0.2">
      <c r="A102" s="121" t="s">
        <v>27</v>
      </c>
      <c r="B102" s="121" t="s">
        <v>27</v>
      </c>
      <c r="C102" s="121" t="s">
        <v>58</v>
      </c>
      <c r="D102" s="122" t="s">
        <v>138</v>
      </c>
      <c r="E102" s="121" t="s">
        <v>270</v>
      </c>
      <c r="F102" s="121" t="s">
        <v>267</v>
      </c>
      <c r="G102" s="122">
        <v>0</v>
      </c>
      <c r="H102" s="122">
        <v>7</v>
      </c>
    </row>
    <row r="103" spans="1:8" x14ac:dyDescent="0.2">
      <c r="A103" s="121" t="s">
        <v>27</v>
      </c>
      <c r="B103" s="121" t="s">
        <v>27</v>
      </c>
      <c r="C103" s="121" t="s">
        <v>58</v>
      </c>
      <c r="D103" s="122" t="s">
        <v>212</v>
      </c>
      <c r="E103" s="121" t="s">
        <v>271</v>
      </c>
      <c r="F103" s="121" t="s">
        <v>267</v>
      </c>
      <c r="G103" s="122">
        <v>1</v>
      </c>
      <c r="H103" s="122">
        <v>0</v>
      </c>
    </row>
    <row r="104" spans="1:8" x14ac:dyDescent="0.2">
      <c r="A104" s="121" t="s">
        <v>27</v>
      </c>
      <c r="B104" s="121" t="s">
        <v>27</v>
      </c>
      <c r="C104" s="121" t="s">
        <v>58</v>
      </c>
      <c r="D104" s="122" t="s">
        <v>77</v>
      </c>
      <c r="E104" s="121" t="s">
        <v>272</v>
      </c>
      <c r="F104" s="121" t="s">
        <v>267</v>
      </c>
      <c r="G104" s="122">
        <v>16</v>
      </c>
      <c r="H104" s="122">
        <v>15</v>
      </c>
    </row>
    <row r="105" spans="1:8" x14ac:dyDescent="0.2">
      <c r="A105" s="121" t="s">
        <v>27</v>
      </c>
      <c r="B105" s="121" t="s">
        <v>27</v>
      </c>
      <c r="C105" s="121" t="s">
        <v>58</v>
      </c>
      <c r="D105" s="122" t="s">
        <v>213</v>
      </c>
      <c r="E105" s="121" t="s">
        <v>272</v>
      </c>
      <c r="F105" s="121" t="s">
        <v>267</v>
      </c>
      <c r="G105" s="122">
        <v>1</v>
      </c>
      <c r="H105" s="122">
        <v>0</v>
      </c>
    </row>
    <row r="106" spans="1:8" x14ac:dyDescent="0.2">
      <c r="A106" s="121" t="s">
        <v>27</v>
      </c>
      <c r="B106" s="121" t="s">
        <v>27</v>
      </c>
      <c r="C106" s="121" t="s">
        <v>58</v>
      </c>
      <c r="D106" s="122" t="s">
        <v>214</v>
      </c>
      <c r="E106" s="121" t="s">
        <v>270</v>
      </c>
      <c r="F106" s="121" t="s">
        <v>267</v>
      </c>
      <c r="G106" s="122">
        <v>0</v>
      </c>
      <c r="H106" s="122">
        <v>1</v>
      </c>
    </row>
    <row r="107" spans="1:8" x14ac:dyDescent="0.2">
      <c r="A107" s="121" t="s">
        <v>27</v>
      </c>
      <c r="B107" s="121" t="s">
        <v>27</v>
      </c>
      <c r="C107" s="121" t="s">
        <v>58</v>
      </c>
      <c r="D107" s="122" t="s">
        <v>192</v>
      </c>
      <c r="E107" s="121" t="s">
        <v>271</v>
      </c>
      <c r="F107" s="121" t="s">
        <v>267</v>
      </c>
      <c r="G107" s="122">
        <v>1</v>
      </c>
      <c r="H107" s="122">
        <v>1</v>
      </c>
    </row>
    <row r="108" spans="1:8" x14ac:dyDescent="0.2">
      <c r="A108" s="121" t="s">
        <v>27</v>
      </c>
      <c r="B108" s="121" t="s">
        <v>27</v>
      </c>
      <c r="C108" s="121" t="s">
        <v>58</v>
      </c>
      <c r="D108" s="122" t="s">
        <v>101</v>
      </c>
      <c r="E108" s="121" t="s">
        <v>271</v>
      </c>
      <c r="F108" s="121" t="s">
        <v>267</v>
      </c>
      <c r="G108" s="122">
        <v>0</v>
      </c>
      <c r="H108" s="122">
        <v>3</v>
      </c>
    </row>
    <row r="109" spans="1:8" x14ac:dyDescent="0.2">
      <c r="A109" s="121" t="s">
        <v>27</v>
      </c>
      <c r="B109" s="121" t="s">
        <v>27</v>
      </c>
      <c r="C109" s="121" t="s">
        <v>58</v>
      </c>
      <c r="D109" s="122" t="s">
        <v>102</v>
      </c>
      <c r="E109" s="121" t="s">
        <v>272</v>
      </c>
      <c r="F109" s="121" t="s">
        <v>267</v>
      </c>
      <c r="G109" s="122">
        <v>10</v>
      </c>
      <c r="H109" s="122">
        <v>12</v>
      </c>
    </row>
    <row r="110" spans="1:8" x14ac:dyDescent="0.2">
      <c r="A110" s="121" t="s">
        <v>27</v>
      </c>
      <c r="B110" s="121" t="s">
        <v>27</v>
      </c>
      <c r="C110" s="121" t="s">
        <v>58</v>
      </c>
      <c r="D110" s="122" t="s">
        <v>215</v>
      </c>
      <c r="E110" s="121" t="s">
        <v>266</v>
      </c>
      <c r="F110" s="121" t="s">
        <v>267</v>
      </c>
      <c r="G110" s="122">
        <v>2</v>
      </c>
      <c r="H110" s="122">
        <v>3</v>
      </c>
    </row>
    <row r="111" spans="1:8" x14ac:dyDescent="0.2">
      <c r="A111" s="121" t="s">
        <v>27</v>
      </c>
      <c r="B111" s="121" t="s">
        <v>27</v>
      </c>
      <c r="C111" s="121" t="s">
        <v>58</v>
      </c>
      <c r="D111" s="122" t="s">
        <v>139</v>
      </c>
      <c r="E111" s="121" t="s">
        <v>149</v>
      </c>
      <c r="F111" s="121" t="s">
        <v>267</v>
      </c>
      <c r="G111" s="122">
        <v>4</v>
      </c>
      <c r="H111" s="122">
        <v>1</v>
      </c>
    </row>
    <row r="112" spans="1:8" x14ac:dyDescent="0.2">
      <c r="A112" s="121" t="s">
        <v>27</v>
      </c>
      <c r="B112" s="121" t="s">
        <v>27</v>
      </c>
      <c r="C112" s="121" t="s">
        <v>58</v>
      </c>
      <c r="D112" s="122" t="s">
        <v>139</v>
      </c>
      <c r="E112" s="121" t="s">
        <v>278</v>
      </c>
      <c r="F112" s="121" t="s">
        <v>267</v>
      </c>
      <c r="G112" s="122">
        <v>1</v>
      </c>
      <c r="H112" s="122">
        <v>0</v>
      </c>
    </row>
    <row r="113" spans="1:8" x14ac:dyDescent="0.2">
      <c r="A113" s="121" t="s">
        <v>27</v>
      </c>
      <c r="B113" s="121" t="s">
        <v>27</v>
      </c>
      <c r="C113" s="121" t="s">
        <v>58</v>
      </c>
      <c r="D113" s="122" t="s">
        <v>216</v>
      </c>
      <c r="E113" s="121" t="s">
        <v>266</v>
      </c>
      <c r="F113" s="121" t="s">
        <v>267</v>
      </c>
      <c r="G113" s="122">
        <v>10</v>
      </c>
      <c r="H113" s="122">
        <v>10</v>
      </c>
    </row>
    <row r="114" spans="1:8" x14ac:dyDescent="0.2">
      <c r="A114" s="121" t="s">
        <v>27</v>
      </c>
      <c r="B114" s="121" t="s">
        <v>27</v>
      </c>
      <c r="C114" s="121" t="s">
        <v>58</v>
      </c>
      <c r="D114" s="122" t="s">
        <v>217</v>
      </c>
      <c r="E114" s="121" t="s">
        <v>266</v>
      </c>
      <c r="F114" s="121" t="s">
        <v>267</v>
      </c>
      <c r="G114" s="122">
        <v>1</v>
      </c>
      <c r="H114" s="122">
        <v>0</v>
      </c>
    </row>
    <row r="115" spans="1:8" x14ac:dyDescent="0.2">
      <c r="A115" s="121" t="s">
        <v>27</v>
      </c>
      <c r="B115" s="121" t="s">
        <v>27</v>
      </c>
      <c r="C115" s="121" t="s">
        <v>58</v>
      </c>
      <c r="D115" s="122" t="s">
        <v>218</v>
      </c>
      <c r="E115" s="121" t="s">
        <v>272</v>
      </c>
      <c r="F115" s="121" t="s">
        <v>267</v>
      </c>
      <c r="G115" s="122">
        <v>4</v>
      </c>
      <c r="H115" s="122">
        <v>4</v>
      </c>
    </row>
    <row r="116" spans="1:8" x14ac:dyDescent="0.2">
      <c r="A116" s="121" t="s">
        <v>27</v>
      </c>
      <c r="B116" s="121" t="s">
        <v>27</v>
      </c>
      <c r="C116" s="121" t="s">
        <v>58</v>
      </c>
      <c r="D116" s="122" t="s">
        <v>196</v>
      </c>
      <c r="E116" s="121" t="s">
        <v>279</v>
      </c>
      <c r="F116" s="121" t="s">
        <v>267</v>
      </c>
      <c r="G116" s="122">
        <v>4</v>
      </c>
      <c r="H116" s="122">
        <v>1</v>
      </c>
    </row>
    <row r="117" spans="1:8" x14ac:dyDescent="0.2">
      <c r="A117" s="121" t="s">
        <v>27</v>
      </c>
      <c r="B117" s="121" t="s">
        <v>27</v>
      </c>
      <c r="C117" s="121" t="s">
        <v>58</v>
      </c>
      <c r="D117" s="122" t="s">
        <v>219</v>
      </c>
      <c r="E117" s="121" t="s">
        <v>268</v>
      </c>
      <c r="F117" s="121" t="s">
        <v>275</v>
      </c>
      <c r="G117" s="122">
        <v>0</v>
      </c>
      <c r="H117" s="122">
        <v>1</v>
      </c>
    </row>
    <row r="118" spans="1:8" x14ac:dyDescent="0.2">
      <c r="A118" s="121" t="s">
        <v>27</v>
      </c>
      <c r="B118" s="121" t="s">
        <v>27</v>
      </c>
      <c r="C118" s="121" t="s">
        <v>58</v>
      </c>
      <c r="D118" s="122" t="s">
        <v>220</v>
      </c>
      <c r="E118" s="121" t="s">
        <v>272</v>
      </c>
      <c r="F118" s="121" t="s">
        <v>267</v>
      </c>
      <c r="G118" s="122">
        <v>1</v>
      </c>
      <c r="H118" s="122">
        <v>0</v>
      </c>
    </row>
    <row r="119" spans="1:8" x14ac:dyDescent="0.2">
      <c r="A119" s="121" t="s">
        <v>27</v>
      </c>
      <c r="B119" s="121" t="s">
        <v>27</v>
      </c>
      <c r="C119" s="121" t="s">
        <v>58</v>
      </c>
      <c r="D119" s="122" t="s">
        <v>221</v>
      </c>
      <c r="E119" s="121" t="s">
        <v>272</v>
      </c>
      <c r="F119" s="121" t="s">
        <v>267</v>
      </c>
      <c r="G119" s="122">
        <v>0</v>
      </c>
      <c r="H119" s="122">
        <v>1</v>
      </c>
    </row>
    <row r="120" spans="1:8" x14ac:dyDescent="0.2">
      <c r="A120" s="121" t="s">
        <v>27</v>
      </c>
      <c r="B120" s="121" t="s">
        <v>27</v>
      </c>
      <c r="C120" s="121" t="s">
        <v>16</v>
      </c>
      <c r="D120" s="122" t="s">
        <v>143</v>
      </c>
      <c r="E120" s="121" t="s">
        <v>271</v>
      </c>
      <c r="F120" s="121" t="s">
        <v>267</v>
      </c>
      <c r="G120" s="122">
        <v>0</v>
      </c>
      <c r="H120" s="122">
        <v>2</v>
      </c>
    </row>
    <row r="121" spans="1:8" x14ac:dyDescent="0.2">
      <c r="A121" s="121" t="s">
        <v>27</v>
      </c>
      <c r="B121" s="121" t="s">
        <v>27</v>
      </c>
      <c r="C121" s="121" t="s">
        <v>16</v>
      </c>
      <c r="D121" s="122" t="s">
        <v>111</v>
      </c>
      <c r="E121" s="121" t="s">
        <v>273</v>
      </c>
      <c r="F121" s="121" t="s">
        <v>267</v>
      </c>
      <c r="G121" s="122">
        <v>3</v>
      </c>
      <c r="H121" s="122">
        <v>0</v>
      </c>
    </row>
    <row r="122" spans="1:8" x14ac:dyDescent="0.2">
      <c r="A122" s="121" t="s">
        <v>27</v>
      </c>
      <c r="B122" s="121" t="s">
        <v>27</v>
      </c>
      <c r="C122" s="121" t="s">
        <v>16</v>
      </c>
      <c r="D122" s="122" t="s">
        <v>53</v>
      </c>
      <c r="E122" s="121" t="s">
        <v>272</v>
      </c>
      <c r="F122" s="121" t="s">
        <v>267</v>
      </c>
      <c r="G122" s="122">
        <v>2</v>
      </c>
      <c r="H122" s="122">
        <v>13</v>
      </c>
    </row>
    <row r="123" spans="1:8" x14ac:dyDescent="0.2">
      <c r="A123" s="121" t="s">
        <v>27</v>
      </c>
      <c r="B123" s="121" t="s">
        <v>27</v>
      </c>
      <c r="C123" s="121" t="s">
        <v>16</v>
      </c>
      <c r="D123" s="122" t="s">
        <v>222</v>
      </c>
      <c r="E123" s="121" t="s">
        <v>280</v>
      </c>
      <c r="F123" s="121" t="s">
        <v>267</v>
      </c>
      <c r="G123" s="122">
        <v>0</v>
      </c>
      <c r="H123" s="122">
        <v>15</v>
      </c>
    </row>
    <row r="124" spans="1:8" x14ac:dyDescent="0.2">
      <c r="A124" s="121" t="s">
        <v>27</v>
      </c>
      <c r="B124" s="121" t="s">
        <v>27</v>
      </c>
      <c r="C124" s="121" t="s">
        <v>16</v>
      </c>
      <c r="D124" s="122" t="s">
        <v>223</v>
      </c>
      <c r="E124" s="121" t="s">
        <v>270</v>
      </c>
      <c r="F124" s="121" t="s">
        <v>267</v>
      </c>
      <c r="G124" s="122">
        <v>4</v>
      </c>
      <c r="H124" s="122">
        <v>0</v>
      </c>
    </row>
    <row r="125" spans="1:8" x14ac:dyDescent="0.2">
      <c r="A125" s="121" t="s">
        <v>27</v>
      </c>
      <c r="B125" s="121" t="s">
        <v>27</v>
      </c>
      <c r="C125" s="121" t="s">
        <v>16</v>
      </c>
      <c r="D125" s="122" t="s">
        <v>224</v>
      </c>
      <c r="E125" s="121" t="s">
        <v>285</v>
      </c>
      <c r="F125" s="121" t="s">
        <v>267</v>
      </c>
      <c r="G125" s="122">
        <v>0</v>
      </c>
      <c r="H125" s="122">
        <v>1</v>
      </c>
    </row>
    <row r="126" spans="1:8" x14ac:dyDescent="0.2">
      <c r="A126" s="121" t="s">
        <v>27</v>
      </c>
      <c r="B126" s="121" t="s">
        <v>27</v>
      </c>
      <c r="C126" s="121" t="s">
        <v>16</v>
      </c>
      <c r="D126" s="122" t="s">
        <v>225</v>
      </c>
      <c r="E126" s="121" t="s">
        <v>293</v>
      </c>
      <c r="F126" s="121" t="s">
        <v>267</v>
      </c>
      <c r="G126" s="122">
        <v>0</v>
      </c>
      <c r="H126" s="122">
        <v>7</v>
      </c>
    </row>
    <row r="127" spans="1:8" x14ac:dyDescent="0.2">
      <c r="A127" s="121" t="s">
        <v>27</v>
      </c>
      <c r="B127" s="121" t="s">
        <v>27</v>
      </c>
      <c r="C127" s="121" t="s">
        <v>109</v>
      </c>
      <c r="D127" s="122" t="s">
        <v>48</v>
      </c>
      <c r="E127" s="121" t="s">
        <v>269</v>
      </c>
      <c r="F127" s="121" t="s">
        <v>267</v>
      </c>
      <c r="G127" s="122">
        <v>1</v>
      </c>
      <c r="H127" s="122">
        <v>0</v>
      </c>
    </row>
    <row r="128" spans="1:8" x14ac:dyDescent="0.2">
      <c r="A128" s="121" t="s">
        <v>27</v>
      </c>
      <c r="B128" s="121" t="s">
        <v>27</v>
      </c>
      <c r="C128" s="121" t="s">
        <v>109</v>
      </c>
      <c r="D128" s="122" t="s">
        <v>48</v>
      </c>
      <c r="E128" s="121" t="s">
        <v>149</v>
      </c>
      <c r="F128" s="121" t="s">
        <v>267</v>
      </c>
      <c r="G128" s="122">
        <v>0</v>
      </c>
      <c r="H128" s="122">
        <v>2</v>
      </c>
    </row>
    <row r="129" spans="1:8" x14ac:dyDescent="0.2">
      <c r="A129" s="121" t="s">
        <v>27</v>
      </c>
      <c r="B129" s="121" t="s">
        <v>27</v>
      </c>
      <c r="C129" s="121" t="s">
        <v>109</v>
      </c>
      <c r="D129" s="122" t="s">
        <v>48</v>
      </c>
      <c r="E129" s="121" t="s">
        <v>270</v>
      </c>
      <c r="F129" s="121" t="s">
        <v>267</v>
      </c>
      <c r="G129" s="122">
        <v>2</v>
      </c>
      <c r="H129" s="122">
        <v>1</v>
      </c>
    </row>
    <row r="130" spans="1:8" x14ac:dyDescent="0.2">
      <c r="A130" s="121" t="s">
        <v>27</v>
      </c>
      <c r="B130" s="121" t="s">
        <v>27</v>
      </c>
      <c r="C130" s="121" t="s">
        <v>109</v>
      </c>
      <c r="D130" s="122" t="s">
        <v>48</v>
      </c>
      <c r="E130" s="121" t="s">
        <v>271</v>
      </c>
      <c r="F130" s="121" t="s">
        <v>267</v>
      </c>
      <c r="G130" s="122">
        <v>0</v>
      </c>
      <c r="H130" s="122">
        <v>2</v>
      </c>
    </row>
    <row r="131" spans="1:8" x14ac:dyDescent="0.2">
      <c r="A131" s="121" t="s">
        <v>27</v>
      </c>
      <c r="B131" s="121" t="s">
        <v>27</v>
      </c>
      <c r="C131" s="121" t="s">
        <v>109</v>
      </c>
      <c r="D131" s="122" t="s">
        <v>48</v>
      </c>
      <c r="E131" s="121" t="s">
        <v>272</v>
      </c>
      <c r="F131" s="121" t="s">
        <v>267</v>
      </c>
      <c r="G131" s="122">
        <v>16</v>
      </c>
      <c r="H131" s="122">
        <v>10</v>
      </c>
    </row>
    <row r="132" spans="1:8" x14ac:dyDescent="0.2">
      <c r="A132" s="121" t="s">
        <v>27</v>
      </c>
      <c r="B132" s="121" t="s">
        <v>27</v>
      </c>
      <c r="C132" s="121" t="s">
        <v>109</v>
      </c>
      <c r="D132" s="122" t="s">
        <v>48</v>
      </c>
      <c r="E132" s="121" t="s">
        <v>280</v>
      </c>
      <c r="F132" s="121" t="s">
        <v>267</v>
      </c>
      <c r="G132" s="122">
        <v>0</v>
      </c>
      <c r="H132" s="122">
        <v>2</v>
      </c>
    </row>
    <row r="133" spans="1:8" x14ac:dyDescent="0.2">
      <c r="A133" s="121" t="s">
        <v>27</v>
      </c>
      <c r="B133" s="121" t="s">
        <v>27</v>
      </c>
      <c r="C133" s="121" t="s">
        <v>109</v>
      </c>
      <c r="D133" s="122" t="s">
        <v>48</v>
      </c>
      <c r="E133" s="121" t="s">
        <v>281</v>
      </c>
      <c r="F133" s="121" t="s">
        <v>267</v>
      </c>
      <c r="G133" s="122">
        <v>1</v>
      </c>
      <c r="H133" s="122">
        <v>0</v>
      </c>
    </row>
    <row r="134" spans="1:8" x14ac:dyDescent="0.2">
      <c r="A134" s="121" t="s">
        <v>27</v>
      </c>
      <c r="B134" s="121" t="s">
        <v>27</v>
      </c>
      <c r="C134" s="121" t="s">
        <v>109</v>
      </c>
      <c r="D134" s="122" t="s">
        <v>48</v>
      </c>
      <c r="E134" s="121" t="s">
        <v>266</v>
      </c>
      <c r="F134" s="121" t="s">
        <v>267</v>
      </c>
      <c r="G134" s="122">
        <v>2</v>
      </c>
      <c r="H134" s="122">
        <v>2</v>
      </c>
    </row>
    <row r="135" spans="1:8" x14ac:dyDescent="0.2">
      <c r="A135" s="121" t="s">
        <v>27</v>
      </c>
      <c r="B135" s="121" t="s">
        <v>27</v>
      </c>
      <c r="C135" s="121" t="s">
        <v>84</v>
      </c>
      <c r="D135" s="122" t="s">
        <v>48</v>
      </c>
      <c r="E135" s="121" t="s">
        <v>268</v>
      </c>
      <c r="F135" s="121" t="s">
        <v>267</v>
      </c>
      <c r="G135" s="122">
        <v>1</v>
      </c>
      <c r="H135" s="122">
        <v>0</v>
      </c>
    </row>
    <row r="136" spans="1:8" x14ac:dyDescent="0.2">
      <c r="A136" s="121" t="s">
        <v>27</v>
      </c>
      <c r="B136" s="121" t="s">
        <v>27</v>
      </c>
      <c r="C136" s="121" t="s">
        <v>84</v>
      </c>
      <c r="D136" s="122" t="s">
        <v>48</v>
      </c>
      <c r="E136" s="121" t="s">
        <v>149</v>
      </c>
      <c r="F136" s="121" t="s">
        <v>267</v>
      </c>
      <c r="G136" s="122">
        <v>3</v>
      </c>
      <c r="H136" s="122">
        <v>0</v>
      </c>
    </row>
    <row r="137" spans="1:8" x14ac:dyDescent="0.2">
      <c r="A137" s="121" t="s">
        <v>27</v>
      </c>
      <c r="B137" s="121" t="s">
        <v>27</v>
      </c>
      <c r="C137" s="121" t="s">
        <v>84</v>
      </c>
      <c r="D137" s="122" t="s">
        <v>48</v>
      </c>
      <c r="E137" s="121" t="s">
        <v>279</v>
      </c>
      <c r="F137" s="121" t="s">
        <v>267</v>
      </c>
      <c r="G137" s="122">
        <v>1</v>
      </c>
      <c r="H137" s="122">
        <v>2</v>
      </c>
    </row>
    <row r="138" spans="1:8" x14ac:dyDescent="0.2">
      <c r="A138" s="121" t="s">
        <v>27</v>
      </c>
      <c r="B138" s="121" t="s">
        <v>27</v>
      </c>
      <c r="C138" s="121" t="s">
        <v>84</v>
      </c>
      <c r="D138" s="122" t="s">
        <v>48</v>
      </c>
      <c r="E138" s="121" t="s">
        <v>270</v>
      </c>
      <c r="F138" s="121" t="s">
        <v>267</v>
      </c>
      <c r="G138" s="122">
        <v>8</v>
      </c>
      <c r="H138" s="122">
        <v>8</v>
      </c>
    </row>
    <row r="139" spans="1:8" x14ac:dyDescent="0.2">
      <c r="A139" s="121" t="s">
        <v>27</v>
      </c>
      <c r="B139" s="121" t="s">
        <v>27</v>
      </c>
      <c r="C139" s="121" t="s">
        <v>84</v>
      </c>
      <c r="D139" s="122" t="s">
        <v>48</v>
      </c>
      <c r="E139" s="121" t="s">
        <v>271</v>
      </c>
      <c r="F139" s="121" t="s">
        <v>282</v>
      </c>
      <c r="G139" s="122">
        <v>0</v>
      </c>
      <c r="H139" s="122">
        <v>1</v>
      </c>
    </row>
    <row r="140" spans="1:8" x14ac:dyDescent="0.2">
      <c r="A140" s="121" t="s">
        <v>27</v>
      </c>
      <c r="B140" s="121" t="s">
        <v>27</v>
      </c>
      <c r="C140" s="121" t="s">
        <v>84</v>
      </c>
      <c r="D140" s="122" t="s">
        <v>48</v>
      </c>
      <c r="E140" s="121" t="s">
        <v>271</v>
      </c>
      <c r="F140" s="121" t="s">
        <v>267</v>
      </c>
      <c r="G140" s="122">
        <v>0</v>
      </c>
      <c r="H140" s="122">
        <v>2</v>
      </c>
    </row>
    <row r="141" spans="1:8" x14ac:dyDescent="0.2">
      <c r="A141" s="121" t="s">
        <v>27</v>
      </c>
      <c r="B141" s="121" t="s">
        <v>27</v>
      </c>
      <c r="C141" s="121" t="s">
        <v>84</v>
      </c>
      <c r="D141" s="122" t="s">
        <v>48</v>
      </c>
      <c r="E141" s="121" t="s">
        <v>272</v>
      </c>
      <c r="F141" s="121" t="s">
        <v>267</v>
      </c>
      <c r="G141" s="122">
        <v>3</v>
      </c>
      <c r="H141" s="122">
        <v>5</v>
      </c>
    </row>
    <row r="142" spans="1:8" x14ac:dyDescent="0.2">
      <c r="A142" s="121" t="s">
        <v>27</v>
      </c>
      <c r="B142" s="121" t="s">
        <v>27</v>
      </c>
      <c r="C142" s="121" t="s">
        <v>84</v>
      </c>
      <c r="D142" s="122" t="s">
        <v>48</v>
      </c>
      <c r="E142" s="121" t="s">
        <v>284</v>
      </c>
      <c r="F142" s="121" t="s">
        <v>267</v>
      </c>
      <c r="G142" s="122">
        <v>1</v>
      </c>
      <c r="H142" s="122">
        <v>0</v>
      </c>
    </row>
    <row r="143" spans="1:8" x14ac:dyDescent="0.2">
      <c r="A143" s="121" t="s">
        <v>27</v>
      </c>
      <c r="B143" s="121" t="s">
        <v>27</v>
      </c>
      <c r="C143" s="121" t="s">
        <v>84</v>
      </c>
      <c r="D143" s="122" t="s">
        <v>48</v>
      </c>
      <c r="E143" s="121" t="s">
        <v>281</v>
      </c>
      <c r="F143" s="121" t="s">
        <v>267</v>
      </c>
      <c r="G143" s="122">
        <v>0</v>
      </c>
      <c r="H143" s="122">
        <v>1</v>
      </c>
    </row>
    <row r="144" spans="1:8" x14ac:dyDescent="0.2">
      <c r="A144" s="121" t="s">
        <v>27</v>
      </c>
      <c r="B144" s="121" t="s">
        <v>27</v>
      </c>
      <c r="C144" s="121" t="s">
        <v>84</v>
      </c>
      <c r="D144" s="122" t="s">
        <v>48</v>
      </c>
      <c r="E144" s="121" t="s">
        <v>266</v>
      </c>
      <c r="F144" s="121" t="s">
        <v>267</v>
      </c>
      <c r="G144" s="122">
        <v>1</v>
      </c>
      <c r="H144" s="122">
        <v>0</v>
      </c>
    </row>
    <row r="145" spans="1:8" x14ac:dyDescent="0.2">
      <c r="A145" s="121" t="s">
        <v>27</v>
      </c>
      <c r="B145" s="121" t="s">
        <v>27</v>
      </c>
      <c r="C145" s="121" t="s">
        <v>25</v>
      </c>
      <c r="D145" s="122" t="s">
        <v>48</v>
      </c>
      <c r="E145" s="121" t="s">
        <v>268</v>
      </c>
      <c r="F145" s="121" t="s">
        <v>267</v>
      </c>
      <c r="G145" s="122">
        <v>0</v>
      </c>
      <c r="H145" s="122">
        <v>1</v>
      </c>
    </row>
    <row r="146" spans="1:8" x14ac:dyDescent="0.2">
      <c r="A146" s="121" t="s">
        <v>27</v>
      </c>
      <c r="B146" s="121" t="s">
        <v>27</v>
      </c>
      <c r="C146" s="121" t="s">
        <v>25</v>
      </c>
      <c r="D146" s="122" t="s">
        <v>48</v>
      </c>
      <c r="E146" s="121" t="s">
        <v>149</v>
      </c>
      <c r="F146" s="121" t="s">
        <v>267</v>
      </c>
      <c r="G146" s="122">
        <v>2</v>
      </c>
      <c r="H146" s="122">
        <v>1</v>
      </c>
    </row>
    <row r="147" spans="1:8" x14ac:dyDescent="0.2">
      <c r="A147" s="121" t="s">
        <v>27</v>
      </c>
      <c r="B147" s="121" t="s">
        <v>27</v>
      </c>
      <c r="C147" s="121" t="s">
        <v>25</v>
      </c>
      <c r="D147" s="122" t="s">
        <v>48</v>
      </c>
      <c r="E147" s="121" t="s">
        <v>279</v>
      </c>
      <c r="F147" s="121" t="s">
        <v>267</v>
      </c>
      <c r="G147" s="122">
        <v>1</v>
      </c>
      <c r="H147" s="122">
        <v>0</v>
      </c>
    </row>
    <row r="148" spans="1:8" x14ac:dyDescent="0.2">
      <c r="A148" s="121" t="s">
        <v>27</v>
      </c>
      <c r="B148" s="121" t="s">
        <v>27</v>
      </c>
      <c r="C148" s="121" t="s">
        <v>25</v>
      </c>
      <c r="D148" s="122" t="s">
        <v>48</v>
      </c>
      <c r="E148" s="121" t="s">
        <v>270</v>
      </c>
      <c r="F148" s="121" t="s">
        <v>267</v>
      </c>
      <c r="G148" s="122">
        <v>3</v>
      </c>
      <c r="H148" s="122">
        <v>1</v>
      </c>
    </row>
    <row r="149" spans="1:8" x14ac:dyDescent="0.2">
      <c r="A149" s="121" t="s">
        <v>27</v>
      </c>
      <c r="B149" s="121" t="s">
        <v>27</v>
      </c>
      <c r="C149" s="121" t="s">
        <v>25</v>
      </c>
      <c r="D149" s="122" t="s">
        <v>48</v>
      </c>
      <c r="E149" s="121" t="s">
        <v>271</v>
      </c>
      <c r="F149" s="121" t="s">
        <v>282</v>
      </c>
      <c r="G149" s="122">
        <v>0</v>
      </c>
      <c r="H149" s="122">
        <v>1</v>
      </c>
    </row>
    <row r="150" spans="1:8" x14ac:dyDescent="0.2">
      <c r="A150" s="121" t="s">
        <v>27</v>
      </c>
      <c r="B150" s="121" t="s">
        <v>27</v>
      </c>
      <c r="C150" s="121" t="s">
        <v>25</v>
      </c>
      <c r="D150" s="122" t="s">
        <v>48</v>
      </c>
      <c r="E150" s="121" t="s">
        <v>271</v>
      </c>
      <c r="F150" s="121" t="s">
        <v>267</v>
      </c>
      <c r="G150" s="122">
        <v>1</v>
      </c>
      <c r="H150" s="122">
        <v>0</v>
      </c>
    </row>
    <row r="151" spans="1:8" x14ac:dyDescent="0.2">
      <c r="A151" s="121" t="s">
        <v>27</v>
      </c>
      <c r="B151" s="121" t="s">
        <v>27</v>
      </c>
      <c r="C151" s="121" t="s">
        <v>25</v>
      </c>
      <c r="D151" s="122" t="s">
        <v>48</v>
      </c>
      <c r="E151" s="121" t="s">
        <v>272</v>
      </c>
      <c r="F151" s="121" t="s">
        <v>282</v>
      </c>
      <c r="G151" s="122">
        <v>1</v>
      </c>
      <c r="H151" s="122">
        <v>1</v>
      </c>
    </row>
    <row r="152" spans="1:8" x14ac:dyDescent="0.2">
      <c r="A152" s="121" t="s">
        <v>27</v>
      </c>
      <c r="B152" s="121" t="s">
        <v>27</v>
      </c>
      <c r="C152" s="121" t="s">
        <v>25</v>
      </c>
      <c r="D152" s="122" t="s">
        <v>48</v>
      </c>
      <c r="E152" s="121" t="s">
        <v>272</v>
      </c>
      <c r="F152" s="121" t="s">
        <v>275</v>
      </c>
      <c r="G152" s="122">
        <v>1</v>
      </c>
      <c r="H152" s="122">
        <v>1</v>
      </c>
    </row>
    <row r="153" spans="1:8" x14ac:dyDescent="0.2">
      <c r="A153" s="121" t="s">
        <v>27</v>
      </c>
      <c r="B153" s="121" t="s">
        <v>27</v>
      </c>
      <c r="C153" s="121" t="s">
        <v>25</v>
      </c>
      <c r="D153" s="122" t="s">
        <v>48</v>
      </c>
      <c r="E153" s="121" t="s">
        <v>272</v>
      </c>
      <c r="F153" s="121" t="s">
        <v>267</v>
      </c>
      <c r="G153" s="122">
        <v>7</v>
      </c>
      <c r="H153" s="122">
        <v>6</v>
      </c>
    </row>
    <row r="154" spans="1:8" x14ac:dyDescent="0.2">
      <c r="A154" s="121" t="s">
        <v>27</v>
      </c>
      <c r="B154" s="121" t="s">
        <v>27</v>
      </c>
      <c r="C154" s="121" t="s">
        <v>25</v>
      </c>
      <c r="D154" s="122" t="s">
        <v>48</v>
      </c>
      <c r="E154" s="121" t="s">
        <v>283</v>
      </c>
      <c r="F154" s="121" t="s">
        <v>267</v>
      </c>
      <c r="G154" s="122">
        <v>2</v>
      </c>
      <c r="H154" s="122">
        <v>0</v>
      </c>
    </row>
    <row r="155" spans="1:8" x14ac:dyDescent="0.2">
      <c r="A155" s="121" t="s">
        <v>27</v>
      </c>
      <c r="B155" s="121" t="s">
        <v>27</v>
      </c>
      <c r="C155" s="121" t="s">
        <v>25</v>
      </c>
      <c r="D155" s="122" t="s">
        <v>48</v>
      </c>
      <c r="E155" s="121" t="s">
        <v>266</v>
      </c>
      <c r="F155" s="121" t="s">
        <v>267</v>
      </c>
      <c r="G155" s="122">
        <v>3</v>
      </c>
      <c r="H155" s="122">
        <v>0</v>
      </c>
    </row>
    <row r="156" spans="1:8" x14ac:dyDescent="0.2">
      <c r="A156" s="121" t="s">
        <v>27</v>
      </c>
      <c r="B156" s="121" t="s">
        <v>27</v>
      </c>
      <c r="C156" s="121" t="s">
        <v>68</v>
      </c>
      <c r="D156" s="122" t="s">
        <v>226</v>
      </c>
      <c r="E156" s="121" t="s">
        <v>268</v>
      </c>
      <c r="F156" s="121" t="s">
        <v>267</v>
      </c>
      <c r="G156" s="122">
        <v>2</v>
      </c>
      <c r="H156" s="122">
        <v>0</v>
      </c>
    </row>
    <row r="157" spans="1:8" x14ac:dyDescent="0.2">
      <c r="A157" s="121" t="s">
        <v>27</v>
      </c>
      <c r="B157" s="121" t="s">
        <v>27</v>
      </c>
      <c r="C157" s="121" t="s">
        <v>68</v>
      </c>
      <c r="D157" s="122" t="s">
        <v>226</v>
      </c>
      <c r="E157" s="121" t="s">
        <v>266</v>
      </c>
      <c r="F157" s="121" t="s">
        <v>267</v>
      </c>
      <c r="G157" s="122">
        <v>0</v>
      </c>
      <c r="H157" s="122">
        <v>3</v>
      </c>
    </row>
    <row r="158" spans="1:8" x14ac:dyDescent="0.2">
      <c r="A158" s="121" t="s">
        <v>27</v>
      </c>
      <c r="B158" s="121" t="s">
        <v>27</v>
      </c>
      <c r="C158" s="121" t="s">
        <v>68</v>
      </c>
      <c r="D158" s="122" t="s">
        <v>114</v>
      </c>
      <c r="E158" s="121" t="s">
        <v>272</v>
      </c>
      <c r="F158" s="121" t="s">
        <v>267</v>
      </c>
      <c r="G158" s="122">
        <v>0</v>
      </c>
      <c r="H158" s="122">
        <v>1</v>
      </c>
    </row>
    <row r="159" spans="1:8" x14ac:dyDescent="0.2">
      <c r="A159" s="121" t="s">
        <v>27</v>
      </c>
      <c r="B159" s="121" t="s">
        <v>27</v>
      </c>
      <c r="C159" s="121" t="s">
        <v>68</v>
      </c>
      <c r="D159" s="122" t="s">
        <v>98</v>
      </c>
      <c r="E159" s="121" t="s">
        <v>266</v>
      </c>
      <c r="F159" s="121" t="s">
        <v>267</v>
      </c>
      <c r="G159" s="122">
        <v>3</v>
      </c>
      <c r="H159" s="122">
        <v>9</v>
      </c>
    </row>
    <row r="160" spans="1:8" x14ac:dyDescent="0.2">
      <c r="A160" s="121" t="s">
        <v>27</v>
      </c>
      <c r="B160" s="121" t="s">
        <v>27</v>
      </c>
      <c r="C160" s="121" t="s">
        <v>68</v>
      </c>
      <c r="D160" s="122" t="s">
        <v>227</v>
      </c>
      <c r="E160" s="121" t="s">
        <v>268</v>
      </c>
      <c r="F160" s="121" t="s">
        <v>267</v>
      </c>
      <c r="G160" s="122">
        <v>1</v>
      </c>
      <c r="H160" s="122">
        <v>1</v>
      </c>
    </row>
    <row r="161" spans="1:8" x14ac:dyDescent="0.2">
      <c r="A161" s="121" t="s">
        <v>27</v>
      </c>
      <c r="B161" s="121" t="s">
        <v>27</v>
      </c>
      <c r="C161" s="121" t="s">
        <v>26</v>
      </c>
      <c r="D161" s="122" t="s">
        <v>55</v>
      </c>
      <c r="E161" s="121" t="s">
        <v>272</v>
      </c>
      <c r="F161" s="121" t="s">
        <v>267</v>
      </c>
      <c r="G161" s="122">
        <v>1</v>
      </c>
      <c r="H161" s="122">
        <v>0</v>
      </c>
    </row>
    <row r="162" spans="1:8" x14ac:dyDescent="0.2">
      <c r="A162" s="121" t="s">
        <v>27</v>
      </c>
      <c r="B162" s="121" t="s">
        <v>27</v>
      </c>
      <c r="C162" s="121" t="s">
        <v>26</v>
      </c>
      <c r="D162" s="122" t="s">
        <v>228</v>
      </c>
      <c r="E162" s="121" t="s">
        <v>271</v>
      </c>
      <c r="F162" s="121" t="s">
        <v>267</v>
      </c>
      <c r="G162" s="122">
        <v>4</v>
      </c>
      <c r="H162" s="122">
        <v>1</v>
      </c>
    </row>
    <row r="163" spans="1:8" x14ac:dyDescent="0.2">
      <c r="A163" s="121" t="s">
        <v>27</v>
      </c>
      <c r="B163" s="121" t="s">
        <v>27</v>
      </c>
      <c r="C163" s="121" t="s">
        <v>26</v>
      </c>
      <c r="D163" s="122" t="s">
        <v>145</v>
      </c>
      <c r="E163" s="121" t="s">
        <v>149</v>
      </c>
      <c r="F163" s="121" t="s">
        <v>267</v>
      </c>
      <c r="G163" s="122">
        <v>0</v>
      </c>
      <c r="H163" s="122">
        <v>1</v>
      </c>
    </row>
    <row r="164" spans="1:8" x14ac:dyDescent="0.2">
      <c r="A164" s="121" t="s">
        <v>27</v>
      </c>
      <c r="B164" s="121" t="s">
        <v>27</v>
      </c>
      <c r="C164" s="121" t="s">
        <v>26</v>
      </c>
      <c r="D164" s="122" t="s">
        <v>229</v>
      </c>
      <c r="E164" s="121" t="s">
        <v>270</v>
      </c>
      <c r="F164" s="121" t="s">
        <v>267</v>
      </c>
      <c r="G164" s="122">
        <v>6</v>
      </c>
      <c r="H164" s="122">
        <v>0</v>
      </c>
    </row>
    <row r="165" spans="1:8" x14ac:dyDescent="0.2">
      <c r="A165" s="121" t="s">
        <v>27</v>
      </c>
      <c r="B165" s="121" t="s">
        <v>27</v>
      </c>
      <c r="C165" s="121" t="s">
        <v>60</v>
      </c>
      <c r="D165" s="122" t="s">
        <v>61</v>
      </c>
      <c r="E165" s="121" t="s">
        <v>268</v>
      </c>
      <c r="F165" s="121" t="s">
        <v>267</v>
      </c>
      <c r="G165" s="122">
        <v>0</v>
      </c>
      <c r="H165" s="122">
        <v>1</v>
      </c>
    </row>
    <row r="166" spans="1:8" x14ac:dyDescent="0.2">
      <c r="A166" s="121" t="s">
        <v>27</v>
      </c>
      <c r="B166" s="121" t="s">
        <v>27</v>
      </c>
      <c r="C166" s="121" t="s">
        <v>60</v>
      </c>
      <c r="D166" s="122" t="s">
        <v>61</v>
      </c>
      <c r="E166" s="121" t="s">
        <v>279</v>
      </c>
      <c r="F166" s="121" t="s">
        <v>267</v>
      </c>
      <c r="G166" s="122">
        <v>1</v>
      </c>
      <c r="H166" s="122">
        <v>0</v>
      </c>
    </row>
    <row r="167" spans="1:8" x14ac:dyDescent="0.2">
      <c r="A167" s="121" t="s">
        <v>27</v>
      </c>
      <c r="B167" s="121" t="s">
        <v>27</v>
      </c>
      <c r="C167" s="121" t="s">
        <v>60</v>
      </c>
      <c r="D167" s="122" t="s">
        <v>61</v>
      </c>
      <c r="E167" s="121" t="s">
        <v>270</v>
      </c>
      <c r="F167" s="121" t="s">
        <v>267</v>
      </c>
      <c r="G167" s="122">
        <v>2</v>
      </c>
      <c r="H167" s="122">
        <v>0</v>
      </c>
    </row>
    <row r="168" spans="1:8" x14ac:dyDescent="0.2">
      <c r="A168" s="121" t="s">
        <v>27</v>
      </c>
      <c r="B168" s="121" t="s">
        <v>27</v>
      </c>
      <c r="C168" s="121" t="s">
        <v>60</v>
      </c>
      <c r="D168" s="122" t="s">
        <v>61</v>
      </c>
      <c r="E168" s="121" t="s">
        <v>272</v>
      </c>
      <c r="F168" s="121" t="s">
        <v>267</v>
      </c>
      <c r="G168" s="122">
        <v>4</v>
      </c>
      <c r="H168" s="122">
        <v>1</v>
      </c>
    </row>
    <row r="169" spans="1:8" x14ac:dyDescent="0.2">
      <c r="A169" s="121" t="s">
        <v>27</v>
      </c>
      <c r="B169" s="121" t="s">
        <v>27</v>
      </c>
      <c r="C169" s="121" t="s">
        <v>60</v>
      </c>
      <c r="D169" s="122" t="s">
        <v>61</v>
      </c>
      <c r="E169" s="121" t="s">
        <v>284</v>
      </c>
      <c r="F169" s="121" t="s">
        <v>267</v>
      </c>
      <c r="G169" s="122">
        <v>1</v>
      </c>
      <c r="H169" s="122">
        <v>0</v>
      </c>
    </row>
    <row r="170" spans="1:8" x14ac:dyDescent="0.2">
      <c r="A170" s="121" t="s">
        <v>27</v>
      </c>
      <c r="B170" s="121" t="s">
        <v>27</v>
      </c>
      <c r="C170" s="121" t="s">
        <v>60</v>
      </c>
      <c r="D170" s="122" t="s">
        <v>61</v>
      </c>
      <c r="E170" s="121" t="s">
        <v>266</v>
      </c>
      <c r="F170" s="121" t="s">
        <v>267</v>
      </c>
      <c r="G170" s="122">
        <v>2</v>
      </c>
      <c r="H170" s="122">
        <v>0</v>
      </c>
    </row>
    <row r="171" spans="1:8" x14ac:dyDescent="0.2">
      <c r="A171" s="121" t="s">
        <v>27</v>
      </c>
      <c r="B171" s="121" t="s">
        <v>27</v>
      </c>
      <c r="C171" s="121" t="s">
        <v>24</v>
      </c>
      <c r="D171" s="122" t="s">
        <v>54</v>
      </c>
      <c r="E171" s="121" t="s">
        <v>266</v>
      </c>
      <c r="F171" s="121" t="s">
        <v>267</v>
      </c>
      <c r="G171" s="122">
        <v>6</v>
      </c>
      <c r="H171" s="122">
        <v>4</v>
      </c>
    </row>
    <row r="172" spans="1:8" x14ac:dyDescent="0.2">
      <c r="A172" s="121" t="s">
        <v>27</v>
      </c>
      <c r="B172" s="121" t="s">
        <v>27</v>
      </c>
      <c r="C172" s="121" t="s">
        <v>24</v>
      </c>
      <c r="D172" s="122" t="s">
        <v>97</v>
      </c>
      <c r="E172" s="121" t="s">
        <v>272</v>
      </c>
      <c r="F172" s="121" t="s">
        <v>267</v>
      </c>
      <c r="G172" s="122">
        <v>1</v>
      </c>
      <c r="H172" s="122">
        <v>0</v>
      </c>
    </row>
    <row r="173" spans="1:8" x14ac:dyDescent="0.2">
      <c r="A173" s="121" t="s">
        <v>27</v>
      </c>
      <c r="B173" s="121" t="s">
        <v>27</v>
      </c>
      <c r="C173" s="121" t="s">
        <v>24</v>
      </c>
      <c r="D173" s="122" t="s">
        <v>230</v>
      </c>
      <c r="E173" s="121" t="s">
        <v>268</v>
      </c>
      <c r="F173" s="121" t="s">
        <v>267</v>
      </c>
      <c r="G173" s="122">
        <v>0</v>
      </c>
      <c r="H173" s="122">
        <v>1</v>
      </c>
    </row>
    <row r="174" spans="1:8" x14ac:dyDescent="0.2">
      <c r="A174" s="121" t="s">
        <v>27</v>
      </c>
      <c r="B174" s="121" t="s">
        <v>27</v>
      </c>
      <c r="C174" s="121" t="s">
        <v>107</v>
      </c>
      <c r="D174" s="122" t="s">
        <v>108</v>
      </c>
      <c r="E174" s="121" t="s">
        <v>271</v>
      </c>
      <c r="F174" s="121" t="s">
        <v>267</v>
      </c>
      <c r="G174" s="122">
        <v>7</v>
      </c>
      <c r="H174" s="122">
        <v>2</v>
      </c>
    </row>
    <row r="175" spans="1:8" x14ac:dyDescent="0.2">
      <c r="A175" s="121" t="s">
        <v>27</v>
      </c>
      <c r="B175" s="121" t="s">
        <v>27</v>
      </c>
      <c r="C175" s="121" t="s">
        <v>107</v>
      </c>
      <c r="D175" s="122" t="s">
        <v>108</v>
      </c>
      <c r="E175" s="121" t="s">
        <v>285</v>
      </c>
      <c r="F175" s="121" t="s">
        <v>267</v>
      </c>
      <c r="G175" s="122">
        <v>2</v>
      </c>
      <c r="H175" s="122">
        <v>0</v>
      </c>
    </row>
    <row r="176" spans="1:8" x14ac:dyDescent="0.2">
      <c r="A176" s="121" t="s">
        <v>27</v>
      </c>
      <c r="B176" s="121" t="s">
        <v>27</v>
      </c>
      <c r="C176" s="121" t="s">
        <v>20</v>
      </c>
      <c r="D176" s="122" t="s">
        <v>231</v>
      </c>
      <c r="E176" s="121" t="s">
        <v>268</v>
      </c>
      <c r="F176" s="121" t="s">
        <v>267</v>
      </c>
      <c r="G176" s="122">
        <v>2</v>
      </c>
      <c r="H176" s="122">
        <v>0</v>
      </c>
    </row>
    <row r="177" spans="1:8" x14ac:dyDescent="0.2">
      <c r="A177" s="121" t="s">
        <v>27</v>
      </c>
      <c r="B177" s="121" t="s">
        <v>27</v>
      </c>
      <c r="C177" s="121" t="s">
        <v>20</v>
      </c>
      <c r="D177" s="122" t="s">
        <v>52</v>
      </c>
      <c r="E177" s="121" t="s">
        <v>268</v>
      </c>
      <c r="F177" s="121" t="s">
        <v>267</v>
      </c>
      <c r="G177" s="122">
        <v>1</v>
      </c>
      <c r="H177" s="122">
        <v>4</v>
      </c>
    </row>
    <row r="178" spans="1:8" x14ac:dyDescent="0.2">
      <c r="A178" s="121" t="s">
        <v>27</v>
      </c>
      <c r="B178" s="121" t="s">
        <v>27</v>
      </c>
      <c r="C178" s="121" t="s">
        <v>20</v>
      </c>
      <c r="D178" s="122" t="s">
        <v>52</v>
      </c>
      <c r="E178" s="121" t="s">
        <v>271</v>
      </c>
      <c r="F178" s="121" t="s">
        <v>267</v>
      </c>
      <c r="G178" s="122">
        <v>1</v>
      </c>
      <c r="H178" s="122">
        <v>0</v>
      </c>
    </row>
    <row r="179" spans="1:8" x14ac:dyDescent="0.2">
      <c r="A179" s="121" t="s">
        <v>27</v>
      </c>
      <c r="B179" s="121" t="s">
        <v>27</v>
      </c>
      <c r="C179" s="121" t="s">
        <v>20</v>
      </c>
      <c r="D179" s="122" t="s">
        <v>232</v>
      </c>
      <c r="E179" s="121" t="s">
        <v>276</v>
      </c>
      <c r="F179" s="121" t="s">
        <v>267</v>
      </c>
      <c r="G179" s="122">
        <v>1</v>
      </c>
      <c r="H179" s="122">
        <v>0</v>
      </c>
    </row>
    <row r="180" spans="1:8" x14ac:dyDescent="0.2">
      <c r="A180" s="121" t="s">
        <v>27</v>
      </c>
      <c r="B180" s="121" t="s">
        <v>27</v>
      </c>
      <c r="C180" s="121" t="s">
        <v>20</v>
      </c>
      <c r="D180" s="122" t="s">
        <v>233</v>
      </c>
      <c r="E180" s="121" t="s">
        <v>149</v>
      </c>
      <c r="F180" s="121" t="s">
        <v>267</v>
      </c>
      <c r="G180" s="122">
        <v>0</v>
      </c>
      <c r="H180" s="122">
        <v>1</v>
      </c>
    </row>
    <row r="181" spans="1:8" x14ac:dyDescent="0.2">
      <c r="A181" s="121" t="s">
        <v>27</v>
      </c>
      <c r="B181" s="121" t="s">
        <v>27</v>
      </c>
      <c r="C181" s="121" t="s">
        <v>159</v>
      </c>
      <c r="D181" s="122" t="s">
        <v>234</v>
      </c>
      <c r="E181" s="121" t="s">
        <v>272</v>
      </c>
      <c r="F181" s="121" t="s">
        <v>267</v>
      </c>
      <c r="G181" s="122">
        <v>0</v>
      </c>
      <c r="H181" s="122">
        <v>9</v>
      </c>
    </row>
    <row r="182" spans="1:8" x14ac:dyDescent="0.2">
      <c r="A182" s="121" t="s">
        <v>27</v>
      </c>
      <c r="B182" s="121" t="s">
        <v>27</v>
      </c>
      <c r="C182" s="121" t="s">
        <v>22</v>
      </c>
      <c r="D182" s="122" t="s">
        <v>235</v>
      </c>
      <c r="E182" s="121" t="s">
        <v>285</v>
      </c>
      <c r="F182" s="121" t="s">
        <v>267</v>
      </c>
      <c r="G182" s="122">
        <v>0</v>
      </c>
      <c r="H182" s="122">
        <v>3</v>
      </c>
    </row>
    <row r="183" spans="1:8" x14ac:dyDescent="0.2">
      <c r="A183" s="121" t="s">
        <v>27</v>
      </c>
      <c r="B183" s="121" t="s">
        <v>27</v>
      </c>
      <c r="C183" s="121" t="s">
        <v>22</v>
      </c>
      <c r="D183" s="122" t="s">
        <v>236</v>
      </c>
      <c r="E183" s="121" t="s">
        <v>285</v>
      </c>
      <c r="F183" s="121" t="s">
        <v>267</v>
      </c>
      <c r="G183" s="122">
        <v>1</v>
      </c>
      <c r="H183" s="122">
        <v>2</v>
      </c>
    </row>
    <row r="184" spans="1:8" x14ac:dyDescent="0.2">
      <c r="A184" s="121" t="s">
        <v>27</v>
      </c>
      <c r="B184" s="121" t="s">
        <v>27</v>
      </c>
      <c r="C184" s="121" t="s">
        <v>22</v>
      </c>
      <c r="D184" s="122" t="s">
        <v>237</v>
      </c>
      <c r="E184" s="121" t="s">
        <v>285</v>
      </c>
      <c r="F184" s="121" t="s">
        <v>267</v>
      </c>
      <c r="G184" s="122">
        <v>1</v>
      </c>
      <c r="H184" s="122">
        <v>0</v>
      </c>
    </row>
    <row r="185" spans="1:8" x14ac:dyDescent="0.2">
      <c r="A185" s="121" t="s">
        <v>27</v>
      </c>
      <c r="B185" s="121" t="s">
        <v>27</v>
      </c>
      <c r="C185" s="121" t="s">
        <v>22</v>
      </c>
      <c r="D185" s="122" t="s">
        <v>238</v>
      </c>
      <c r="E185" s="121" t="s">
        <v>285</v>
      </c>
      <c r="F185" s="121" t="s">
        <v>267</v>
      </c>
      <c r="G185" s="122">
        <v>1</v>
      </c>
      <c r="H185" s="122">
        <v>0</v>
      </c>
    </row>
    <row r="186" spans="1:8" x14ac:dyDescent="0.2">
      <c r="A186" s="121" t="s">
        <v>27</v>
      </c>
      <c r="B186" s="121" t="s">
        <v>27</v>
      </c>
      <c r="C186" s="121" t="s">
        <v>18</v>
      </c>
      <c r="D186" s="122" t="s">
        <v>83</v>
      </c>
      <c r="E186" s="121" t="s">
        <v>268</v>
      </c>
      <c r="F186" s="121" t="s">
        <v>267</v>
      </c>
      <c r="G186" s="122">
        <v>1</v>
      </c>
      <c r="H186" s="122">
        <v>1</v>
      </c>
    </row>
    <row r="187" spans="1:8" x14ac:dyDescent="0.2">
      <c r="A187" s="121" t="s">
        <v>27</v>
      </c>
      <c r="B187" s="121" t="s">
        <v>27</v>
      </c>
      <c r="C187" s="121" t="s">
        <v>18</v>
      </c>
      <c r="D187" s="122" t="s">
        <v>106</v>
      </c>
      <c r="E187" s="121" t="s">
        <v>266</v>
      </c>
      <c r="F187" s="121" t="s">
        <v>267</v>
      </c>
      <c r="G187" s="122">
        <v>6</v>
      </c>
      <c r="H187" s="122">
        <v>0</v>
      </c>
    </row>
    <row r="188" spans="1:8" x14ac:dyDescent="0.2">
      <c r="A188" s="121" t="s">
        <v>27</v>
      </c>
      <c r="B188" s="121" t="s">
        <v>27</v>
      </c>
      <c r="C188" s="121" t="s">
        <v>36</v>
      </c>
      <c r="D188" s="122" t="s">
        <v>47</v>
      </c>
      <c r="E188" s="121" t="s">
        <v>149</v>
      </c>
      <c r="F188" s="121" t="s">
        <v>267</v>
      </c>
      <c r="G188" s="122">
        <v>2</v>
      </c>
      <c r="H188" s="122">
        <v>0</v>
      </c>
    </row>
    <row r="189" spans="1:8" x14ac:dyDescent="0.2">
      <c r="A189" s="121" t="s">
        <v>27</v>
      </c>
      <c r="B189" s="121" t="s">
        <v>27</v>
      </c>
      <c r="C189" s="121" t="s">
        <v>36</v>
      </c>
      <c r="D189" s="122" t="s">
        <v>47</v>
      </c>
      <c r="E189" s="121" t="s">
        <v>272</v>
      </c>
      <c r="F189" s="121" t="s">
        <v>275</v>
      </c>
      <c r="G189" s="122">
        <v>5</v>
      </c>
      <c r="H189" s="122">
        <v>0</v>
      </c>
    </row>
    <row r="190" spans="1:8" x14ac:dyDescent="0.2">
      <c r="A190" s="121" t="s">
        <v>27</v>
      </c>
      <c r="B190" s="121" t="s">
        <v>27</v>
      </c>
      <c r="C190" s="121" t="s">
        <v>36</v>
      </c>
      <c r="D190" s="122" t="s">
        <v>47</v>
      </c>
      <c r="E190" s="121" t="s">
        <v>280</v>
      </c>
      <c r="F190" s="121" t="s">
        <v>267</v>
      </c>
      <c r="G190" s="122">
        <v>0</v>
      </c>
      <c r="H190" s="122">
        <v>1</v>
      </c>
    </row>
    <row r="191" spans="1:8" x14ac:dyDescent="0.2">
      <c r="A191" s="121" t="s">
        <v>27</v>
      </c>
      <c r="B191" s="121" t="s">
        <v>27</v>
      </c>
      <c r="C191" s="121" t="s">
        <v>122</v>
      </c>
      <c r="D191" s="122" t="s">
        <v>239</v>
      </c>
      <c r="E191" s="121" t="s">
        <v>269</v>
      </c>
      <c r="F191" s="121" t="s">
        <v>267</v>
      </c>
      <c r="G191" s="122">
        <v>1</v>
      </c>
      <c r="H191" s="122">
        <v>1</v>
      </c>
    </row>
    <row r="192" spans="1:8" x14ac:dyDescent="0.2">
      <c r="A192" s="121" t="s">
        <v>27</v>
      </c>
      <c r="B192" s="121" t="s">
        <v>27</v>
      </c>
      <c r="C192" s="121" t="s">
        <v>122</v>
      </c>
      <c r="D192" s="122" t="s">
        <v>146</v>
      </c>
      <c r="E192" s="121" t="s">
        <v>272</v>
      </c>
      <c r="F192" s="121" t="s">
        <v>267</v>
      </c>
      <c r="G192" s="122">
        <v>2</v>
      </c>
      <c r="H192" s="122">
        <v>0</v>
      </c>
    </row>
    <row r="193" spans="1:8" x14ac:dyDescent="0.2">
      <c r="A193" s="121" t="s">
        <v>27</v>
      </c>
      <c r="B193" s="121" t="s">
        <v>27</v>
      </c>
      <c r="C193" s="121" t="s">
        <v>122</v>
      </c>
      <c r="D193" s="122" t="s">
        <v>147</v>
      </c>
      <c r="E193" s="121" t="s">
        <v>266</v>
      </c>
      <c r="F193" s="121" t="s">
        <v>267</v>
      </c>
      <c r="G193" s="122">
        <v>2</v>
      </c>
      <c r="H193" s="122">
        <v>0</v>
      </c>
    </row>
    <row r="194" spans="1:8" x14ac:dyDescent="0.2">
      <c r="A194" s="121" t="s">
        <v>27</v>
      </c>
      <c r="B194" s="121" t="s">
        <v>27</v>
      </c>
      <c r="C194" s="121" t="s">
        <v>122</v>
      </c>
      <c r="D194" s="122" t="s">
        <v>240</v>
      </c>
      <c r="E194" s="121" t="s">
        <v>269</v>
      </c>
      <c r="F194" s="121" t="s">
        <v>267</v>
      </c>
      <c r="G194" s="122">
        <v>1</v>
      </c>
      <c r="H194" s="122">
        <v>0</v>
      </c>
    </row>
    <row r="195" spans="1:8" x14ac:dyDescent="0.2">
      <c r="A195" s="121" t="s">
        <v>27</v>
      </c>
      <c r="B195" s="121" t="s">
        <v>27</v>
      </c>
      <c r="C195" s="121" t="s">
        <v>67</v>
      </c>
      <c r="D195" s="122" t="s">
        <v>41</v>
      </c>
      <c r="E195" s="121" t="s">
        <v>278</v>
      </c>
      <c r="F195" s="121" t="s">
        <v>267</v>
      </c>
      <c r="G195" s="122">
        <v>0</v>
      </c>
      <c r="H195" s="122">
        <v>1</v>
      </c>
    </row>
    <row r="196" spans="1:8" x14ac:dyDescent="0.2">
      <c r="A196" s="121" t="s">
        <v>27</v>
      </c>
      <c r="B196" s="121" t="s">
        <v>27</v>
      </c>
      <c r="C196" s="121" t="s">
        <v>67</v>
      </c>
      <c r="D196" s="122" t="s">
        <v>41</v>
      </c>
      <c r="E196" s="121" t="s">
        <v>272</v>
      </c>
      <c r="F196" s="121" t="s">
        <v>267</v>
      </c>
      <c r="G196" s="122">
        <v>0</v>
      </c>
      <c r="H196" s="122">
        <v>6</v>
      </c>
    </row>
    <row r="197" spans="1:8" x14ac:dyDescent="0.2">
      <c r="A197" s="121" t="s">
        <v>27</v>
      </c>
      <c r="B197" s="121" t="s">
        <v>27</v>
      </c>
      <c r="C197" s="121" t="s">
        <v>15</v>
      </c>
      <c r="D197" s="122" t="s">
        <v>59</v>
      </c>
      <c r="E197" s="121" t="s">
        <v>149</v>
      </c>
      <c r="F197" s="121" t="s">
        <v>267</v>
      </c>
      <c r="G197" s="122">
        <v>1</v>
      </c>
      <c r="H197" s="122">
        <v>1</v>
      </c>
    </row>
    <row r="198" spans="1:8" x14ac:dyDescent="0.2">
      <c r="A198" s="121" t="s">
        <v>27</v>
      </c>
      <c r="B198" s="121" t="s">
        <v>27</v>
      </c>
      <c r="C198" s="121" t="s">
        <v>15</v>
      </c>
      <c r="D198" s="122" t="s">
        <v>59</v>
      </c>
      <c r="E198" s="121" t="s">
        <v>271</v>
      </c>
      <c r="F198" s="121" t="s">
        <v>267</v>
      </c>
      <c r="G198" s="122">
        <v>1</v>
      </c>
      <c r="H198" s="122">
        <v>0</v>
      </c>
    </row>
    <row r="199" spans="1:8" x14ac:dyDescent="0.2">
      <c r="A199" s="121" t="s">
        <v>27</v>
      </c>
      <c r="B199" s="121" t="s">
        <v>27</v>
      </c>
      <c r="C199" s="121" t="s">
        <v>15</v>
      </c>
      <c r="D199" s="122" t="s">
        <v>59</v>
      </c>
      <c r="E199" s="121" t="s">
        <v>272</v>
      </c>
      <c r="F199" s="121" t="s">
        <v>267</v>
      </c>
      <c r="G199" s="122">
        <v>3</v>
      </c>
      <c r="H199" s="122">
        <v>0</v>
      </c>
    </row>
    <row r="200" spans="1:8" x14ac:dyDescent="0.2">
      <c r="A200" s="121" t="s">
        <v>27</v>
      </c>
      <c r="B200" s="121" t="s">
        <v>27</v>
      </c>
      <c r="C200" s="121" t="s">
        <v>69</v>
      </c>
      <c r="D200" s="122" t="s">
        <v>81</v>
      </c>
      <c r="E200" s="121" t="s">
        <v>284</v>
      </c>
      <c r="F200" s="121" t="s">
        <v>267</v>
      </c>
      <c r="G200" s="122">
        <v>2</v>
      </c>
      <c r="H200" s="122">
        <v>2</v>
      </c>
    </row>
    <row r="201" spans="1:8" x14ac:dyDescent="0.2">
      <c r="A201" s="121" t="s">
        <v>27</v>
      </c>
      <c r="B201" s="121" t="s">
        <v>27</v>
      </c>
      <c r="C201" s="121" t="s">
        <v>69</v>
      </c>
      <c r="D201" s="122" t="s">
        <v>82</v>
      </c>
      <c r="E201" s="121" t="s">
        <v>284</v>
      </c>
      <c r="F201" s="121" t="s">
        <v>267</v>
      </c>
      <c r="G201" s="122">
        <v>1</v>
      </c>
      <c r="H201" s="122">
        <v>1</v>
      </c>
    </row>
    <row r="202" spans="1:8" x14ac:dyDescent="0.2">
      <c r="A202" s="121" t="s">
        <v>27</v>
      </c>
      <c r="B202" s="121" t="s">
        <v>27</v>
      </c>
      <c r="C202" s="121" t="s">
        <v>160</v>
      </c>
      <c r="D202" s="122" t="s">
        <v>241</v>
      </c>
      <c r="E202" s="121" t="s">
        <v>286</v>
      </c>
      <c r="F202" s="121" t="s">
        <v>267</v>
      </c>
      <c r="G202" s="122">
        <v>6</v>
      </c>
      <c r="H202" s="122">
        <v>0</v>
      </c>
    </row>
    <row r="203" spans="1:8" x14ac:dyDescent="0.2">
      <c r="A203" s="121" t="s">
        <v>27</v>
      </c>
      <c r="B203" s="121" t="s">
        <v>27</v>
      </c>
      <c r="C203" s="121" t="s">
        <v>158</v>
      </c>
      <c r="D203" s="122" t="s">
        <v>242</v>
      </c>
      <c r="E203" s="121" t="s">
        <v>272</v>
      </c>
      <c r="F203" s="121" t="s">
        <v>267</v>
      </c>
      <c r="G203" s="122">
        <v>4</v>
      </c>
      <c r="H203" s="122">
        <v>2</v>
      </c>
    </row>
    <row r="204" spans="1:8" x14ac:dyDescent="0.2">
      <c r="A204" s="121" t="s">
        <v>27</v>
      </c>
      <c r="B204" s="121" t="s">
        <v>27</v>
      </c>
      <c r="C204" s="121" t="s">
        <v>124</v>
      </c>
      <c r="D204" s="122" t="s">
        <v>243</v>
      </c>
      <c r="E204" s="121" t="s">
        <v>271</v>
      </c>
      <c r="F204" s="121" t="s">
        <v>267</v>
      </c>
      <c r="G204" s="122">
        <v>1</v>
      </c>
      <c r="H204" s="122">
        <v>0</v>
      </c>
    </row>
    <row r="205" spans="1:8" x14ac:dyDescent="0.2">
      <c r="A205" s="121" t="s">
        <v>27</v>
      </c>
      <c r="B205" s="121" t="s">
        <v>27</v>
      </c>
      <c r="C205" s="121" t="s">
        <v>124</v>
      </c>
      <c r="D205" s="122" t="s">
        <v>83</v>
      </c>
      <c r="E205" s="121" t="s">
        <v>268</v>
      </c>
      <c r="F205" s="121" t="s">
        <v>267</v>
      </c>
      <c r="G205" s="122">
        <v>0</v>
      </c>
      <c r="H205" s="122">
        <v>4</v>
      </c>
    </row>
    <row r="206" spans="1:8" x14ac:dyDescent="0.2">
      <c r="A206" s="121" t="s">
        <v>27</v>
      </c>
      <c r="B206" s="121" t="s">
        <v>27</v>
      </c>
      <c r="C206" s="121" t="s">
        <v>161</v>
      </c>
      <c r="D206" s="122" t="s">
        <v>244</v>
      </c>
      <c r="E206" s="121" t="s">
        <v>149</v>
      </c>
      <c r="F206" s="121" t="s">
        <v>267</v>
      </c>
      <c r="G206" s="122">
        <v>1</v>
      </c>
      <c r="H206" s="122">
        <v>0</v>
      </c>
    </row>
    <row r="207" spans="1:8" x14ac:dyDescent="0.2">
      <c r="A207" s="121" t="s">
        <v>27</v>
      </c>
      <c r="B207" s="121" t="s">
        <v>27</v>
      </c>
      <c r="C207" s="121" t="s">
        <v>161</v>
      </c>
      <c r="D207" s="122" t="s">
        <v>244</v>
      </c>
      <c r="E207" s="121" t="s">
        <v>287</v>
      </c>
      <c r="F207" s="121" t="s">
        <v>282</v>
      </c>
      <c r="G207" s="122">
        <v>2</v>
      </c>
      <c r="H207" s="122">
        <v>0</v>
      </c>
    </row>
    <row r="208" spans="1:8" x14ac:dyDescent="0.2">
      <c r="A208" s="121" t="s">
        <v>27</v>
      </c>
      <c r="B208" s="121" t="s">
        <v>27</v>
      </c>
      <c r="C208" s="121" t="s">
        <v>161</v>
      </c>
      <c r="D208" s="122" t="s">
        <v>244</v>
      </c>
      <c r="E208" s="121" t="s">
        <v>272</v>
      </c>
      <c r="F208" s="121" t="s">
        <v>267</v>
      </c>
      <c r="G208" s="122">
        <v>1</v>
      </c>
      <c r="H208" s="122">
        <v>1</v>
      </c>
    </row>
    <row r="209" spans="1:8" x14ac:dyDescent="0.2">
      <c r="A209" s="121" t="s">
        <v>27</v>
      </c>
      <c r="B209" s="121" t="s">
        <v>27</v>
      </c>
      <c r="C209" s="121" t="s">
        <v>162</v>
      </c>
      <c r="D209" s="122" t="s">
        <v>41</v>
      </c>
      <c r="E209" s="121" t="s">
        <v>149</v>
      </c>
      <c r="F209" s="121" t="s">
        <v>267</v>
      </c>
      <c r="G209" s="122">
        <v>0</v>
      </c>
      <c r="H209" s="122">
        <v>1</v>
      </c>
    </row>
    <row r="210" spans="1:8" x14ac:dyDescent="0.2">
      <c r="A210" s="121" t="s">
        <v>27</v>
      </c>
      <c r="B210" s="121" t="s">
        <v>27</v>
      </c>
      <c r="C210" s="121" t="s">
        <v>162</v>
      </c>
      <c r="D210" s="122" t="s">
        <v>41</v>
      </c>
      <c r="E210" s="121" t="s">
        <v>279</v>
      </c>
      <c r="F210" s="121" t="s">
        <v>267</v>
      </c>
      <c r="G210" s="122">
        <v>0</v>
      </c>
      <c r="H210" s="122">
        <v>1</v>
      </c>
    </row>
    <row r="211" spans="1:8" x14ac:dyDescent="0.2">
      <c r="A211" s="121" t="s">
        <v>27</v>
      </c>
      <c r="B211" s="121" t="s">
        <v>27</v>
      </c>
      <c r="C211" s="121" t="s">
        <v>162</v>
      </c>
      <c r="D211" s="122" t="s">
        <v>41</v>
      </c>
      <c r="E211" s="121" t="s">
        <v>276</v>
      </c>
      <c r="F211" s="121" t="s">
        <v>267</v>
      </c>
      <c r="G211" s="122">
        <v>0</v>
      </c>
      <c r="H211" s="122">
        <v>1</v>
      </c>
    </row>
    <row r="212" spans="1:8" x14ac:dyDescent="0.2">
      <c r="A212" s="121" t="s">
        <v>27</v>
      </c>
      <c r="B212" s="121" t="s">
        <v>27</v>
      </c>
      <c r="C212" s="121" t="s">
        <v>162</v>
      </c>
      <c r="D212" s="122" t="s">
        <v>41</v>
      </c>
      <c r="E212" s="121" t="s">
        <v>272</v>
      </c>
      <c r="F212" s="121" t="s">
        <v>267</v>
      </c>
      <c r="G212" s="122">
        <v>2</v>
      </c>
      <c r="H212" s="122">
        <v>0</v>
      </c>
    </row>
    <row r="213" spans="1:8" x14ac:dyDescent="0.2">
      <c r="A213" s="121" t="s">
        <v>27</v>
      </c>
      <c r="B213" s="121" t="s">
        <v>27</v>
      </c>
      <c r="C213" s="121" t="s">
        <v>39</v>
      </c>
      <c r="D213" s="122" t="s">
        <v>56</v>
      </c>
      <c r="E213" s="121" t="s">
        <v>270</v>
      </c>
      <c r="F213" s="121" t="s">
        <v>267</v>
      </c>
      <c r="G213" s="122">
        <v>3</v>
      </c>
      <c r="H213" s="122">
        <v>0</v>
      </c>
    </row>
    <row r="214" spans="1:8" x14ac:dyDescent="0.2">
      <c r="A214" s="121" t="s">
        <v>27</v>
      </c>
      <c r="B214" s="121" t="s">
        <v>27</v>
      </c>
      <c r="C214" s="121" t="s">
        <v>39</v>
      </c>
      <c r="D214" s="122" t="s">
        <v>245</v>
      </c>
      <c r="E214" s="121" t="s">
        <v>272</v>
      </c>
      <c r="F214" s="121" t="s">
        <v>267</v>
      </c>
      <c r="G214" s="122">
        <v>0</v>
      </c>
      <c r="H214" s="122">
        <v>1</v>
      </c>
    </row>
    <row r="215" spans="1:8" x14ac:dyDescent="0.2">
      <c r="A215" s="121" t="s">
        <v>27</v>
      </c>
      <c r="B215" s="121" t="s">
        <v>27</v>
      </c>
      <c r="C215" s="121" t="s">
        <v>39</v>
      </c>
      <c r="D215" s="122" t="s">
        <v>246</v>
      </c>
      <c r="E215" s="121" t="s">
        <v>279</v>
      </c>
      <c r="F215" s="121" t="s">
        <v>267</v>
      </c>
      <c r="G215" s="122">
        <v>1</v>
      </c>
      <c r="H215" s="122">
        <v>0</v>
      </c>
    </row>
    <row r="216" spans="1:8" x14ac:dyDescent="0.2">
      <c r="A216" s="121" t="s">
        <v>27</v>
      </c>
      <c r="B216" s="121" t="s">
        <v>27</v>
      </c>
      <c r="C216" s="121" t="s">
        <v>21</v>
      </c>
      <c r="D216" s="122" t="s">
        <v>247</v>
      </c>
      <c r="E216" s="121" t="s">
        <v>269</v>
      </c>
      <c r="F216" s="121" t="s">
        <v>267</v>
      </c>
      <c r="G216" s="122">
        <v>1</v>
      </c>
      <c r="H216" s="122">
        <v>0</v>
      </c>
    </row>
    <row r="217" spans="1:8" x14ac:dyDescent="0.2">
      <c r="A217" s="121" t="s">
        <v>27</v>
      </c>
      <c r="B217" s="121" t="s">
        <v>27</v>
      </c>
      <c r="C217" s="121" t="s">
        <v>21</v>
      </c>
      <c r="D217" s="122" t="s">
        <v>105</v>
      </c>
      <c r="E217" s="121" t="s">
        <v>271</v>
      </c>
      <c r="F217" s="121" t="s">
        <v>267</v>
      </c>
      <c r="G217" s="122">
        <v>3</v>
      </c>
      <c r="H217" s="122">
        <v>0</v>
      </c>
    </row>
    <row r="218" spans="1:8" x14ac:dyDescent="0.2">
      <c r="A218" s="121" t="s">
        <v>27</v>
      </c>
      <c r="B218" s="121" t="s">
        <v>27</v>
      </c>
      <c r="C218" s="121" t="s">
        <v>125</v>
      </c>
      <c r="D218" s="122" t="s">
        <v>149</v>
      </c>
      <c r="E218" s="121" t="s">
        <v>149</v>
      </c>
      <c r="F218" s="121" t="s">
        <v>267</v>
      </c>
      <c r="G218" s="122">
        <v>2</v>
      </c>
      <c r="H218" s="122">
        <v>0</v>
      </c>
    </row>
    <row r="219" spans="1:8" x14ac:dyDescent="0.2">
      <c r="A219" s="121" t="s">
        <v>27</v>
      </c>
      <c r="B219" s="121" t="s">
        <v>27</v>
      </c>
      <c r="C219" s="121" t="s">
        <v>125</v>
      </c>
      <c r="D219" s="122" t="s">
        <v>248</v>
      </c>
      <c r="E219" s="121" t="s">
        <v>266</v>
      </c>
      <c r="F219" s="121" t="s">
        <v>267</v>
      </c>
      <c r="G219" s="122">
        <v>0</v>
      </c>
      <c r="H219" s="122">
        <v>1</v>
      </c>
    </row>
    <row r="220" spans="1:8" x14ac:dyDescent="0.2">
      <c r="A220" s="121" t="s">
        <v>27</v>
      </c>
      <c r="B220" s="121" t="s">
        <v>27</v>
      </c>
      <c r="C220" s="121" t="s">
        <v>34</v>
      </c>
      <c r="D220" s="122" t="s">
        <v>144</v>
      </c>
      <c r="E220" s="121" t="s">
        <v>149</v>
      </c>
      <c r="F220" s="121" t="s">
        <v>267</v>
      </c>
      <c r="G220" s="122">
        <v>1</v>
      </c>
      <c r="H220" s="122">
        <v>2</v>
      </c>
    </row>
    <row r="221" spans="1:8" x14ac:dyDescent="0.2">
      <c r="A221" s="121" t="s">
        <v>27</v>
      </c>
      <c r="B221" s="121" t="s">
        <v>27</v>
      </c>
      <c r="C221" s="121" t="s">
        <v>163</v>
      </c>
      <c r="D221" s="122" t="s">
        <v>51</v>
      </c>
      <c r="E221" s="121" t="s">
        <v>149</v>
      </c>
      <c r="F221" s="121" t="s">
        <v>267</v>
      </c>
      <c r="G221" s="122">
        <v>3</v>
      </c>
      <c r="H221" s="122">
        <v>0</v>
      </c>
    </row>
    <row r="222" spans="1:8" x14ac:dyDescent="0.2">
      <c r="A222" s="121" t="s">
        <v>27</v>
      </c>
      <c r="B222" s="121" t="s">
        <v>27</v>
      </c>
      <c r="C222" s="121" t="s">
        <v>19</v>
      </c>
      <c r="D222" s="122" t="s">
        <v>80</v>
      </c>
      <c r="E222" s="121" t="s">
        <v>284</v>
      </c>
      <c r="F222" s="121" t="s">
        <v>267</v>
      </c>
      <c r="G222" s="122">
        <v>0</v>
      </c>
      <c r="H222" s="122">
        <v>1</v>
      </c>
    </row>
    <row r="223" spans="1:8" x14ac:dyDescent="0.2">
      <c r="A223" s="121" t="s">
        <v>27</v>
      </c>
      <c r="B223" s="121" t="s">
        <v>27</v>
      </c>
      <c r="C223" s="121" t="s">
        <v>19</v>
      </c>
      <c r="D223" s="122" t="s">
        <v>249</v>
      </c>
      <c r="E223" s="121" t="s">
        <v>279</v>
      </c>
      <c r="F223" s="121" t="s">
        <v>267</v>
      </c>
      <c r="G223" s="122">
        <v>1</v>
      </c>
      <c r="H223" s="122">
        <v>1</v>
      </c>
    </row>
    <row r="224" spans="1:8" x14ac:dyDescent="0.2">
      <c r="A224" s="121" t="s">
        <v>27</v>
      </c>
      <c r="B224" s="121" t="s">
        <v>27</v>
      </c>
      <c r="C224" s="121" t="s">
        <v>87</v>
      </c>
      <c r="D224" s="122" t="s">
        <v>90</v>
      </c>
      <c r="E224" s="121" t="s">
        <v>285</v>
      </c>
      <c r="F224" s="121" t="s">
        <v>267</v>
      </c>
      <c r="G224" s="122">
        <v>1</v>
      </c>
      <c r="H224" s="122">
        <v>1</v>
      </c>
    </row>
    <row r="225" spans="1:8" x14ac:dyDescent="0.2">
      <c r="A225" s="121" t="s">
        <v>27</v>
      </c>
      <c r="B225" s="121" t="s">
        <v>27</v>
      </c>
      <c r="C225" s="121" t="s">
        <v>66</v>
      </c>
      <c r="D225" s="122" t="s">
        <v>79</v>
      </c>
      <c r="E225" s="121" t="s">
        <v>149</v>
      </c>
      <c r="F225" s="121" t="s">
        <v>267</v>
      </c>
      <c r="G225" s="122">
        <v>1</v>
      </c>
      <c r="H225" s="122">
        <v>1</v>
      </c>
    </row>
    <row r="226" spans="1:8" x14ac:dyDescent="0.2">
      <c r="A226" s="121" t="s">
        <v>27</v>
      </c>
      <c r="B226" s="121" t="s">
        <v>27</v>
      </c>
      <c r="C226" s="121" t="s">
        <v>165</v>
      </c>
      <c r="D226" s="122" t="s">
        <v>51</v>
      </c>
      <c r="E226" s="121" t="s">
        <v>272</v>
      </c>
      <c r="F226" s="121" t="s">
        <v>267</v>
      </c>
      <c r="G226" s="122">
        <v>0</v>
      </c>
      <c r="H226" s="122">
        <v>1</v>
      </c>
    </row>
    <row r="227" spans="1:8" x14ac:dyDescent="0.2">
      <c r="A227" s="121" t="s">
        <v>27</v>
      </c>
      <c r="B227" s="121" t="s">
        <v>27</v>
      </c>
      <c r="C227" s="121" t="s">
        <v>165</v>
      </c>
      <c r="D227" s="122" t="s">
        <v>51</v>
      </c>
      <c r="E227" s="121" t="s">
        <v>266</v>
      </c>
      <c r="F227" s="121" t="s">
        <v>267</v>
      </c>
      <c r="G227" s="122">
        <v>0</v>
      </c>
      <c r="H227" s="122">
        <v>1</v>
      </c>
    </row>
    <row r="228" spans="1:8" x14ac:dyDescent="0.2">
      <c r="A228" s="121" t="s">
        <v>27</v>
      </c>
      <c r="B228" s="121" t="s">
        <v>27</v>
      </c>
      <c r="C228" s="121" t="s">
        <v>130</v>
      </c>
      <c r="D228" s="122" t="s">
        <v>151</v>
      </c>
      <c r="E228" s="121" t="s">
        <v>270</v>
      </c>
      <c r="F228" s="121" t="s">
        <v>267</v>
      </c>
      <c r="G228" s="122">
        <v>0</v>
      </c>
      <c r="H228" s="122">
        <v>1</v>
      </c>
    </row>
    <row r="229" spans="1:8" x14ac:dyDescent="0.2">
      <c r="A229" s="121" t="s">
        <v>27</v>
      </c>
      <c r="B229" s="121" t="s">
        <v>27</v>
      </c>
      <c r="C229" s="121" t="s">
        <v>130</v>
      </c>
      <c r="D229" s="122" t="s">
        <v>250</v>
      </c>
      <c r="E229" s="121" t="s">
        <v>283</v>
      </c>
      <c r="F229" s="121" t="s">
        <v>267</v>
      </c>
      <c r="G229" s="122">
        <v>0</v>
      </c>
      <c r="H229" s="122">
        <v>1</v>
      </c>
    </row>
    <row r="230" spans="1:8" x14ac:dyDescent="0.2">
      <c r="A230" s="121" t="s">
        <v>27</v>
      </c>
      <c r="B230" s="121" t="s">
        <v>27</v>
      </c>
      <c r="C230" s="121" t="s">
        <v>123</v>
      </c>
      <c r="D230" s="122" t="s">
        <v>148</v>
      </c>
      <c r="E230" s="121" t="s">
        <v>271</v>
      </c>
      <c r="F230" s="121" t="s">
        <v>267</v>
      </c>
      <c r="G230" s="122">
        <v>1</v>
      </c>
      <c r="H230" s="122">
        <v>0</v>
      </c>
    </row>
    <row r="231" spans="1:8" x14ac:dyDescent="0.2">
      <c r="A231" s="121" t="s">
        <v>27</v>
      </c>
      <c r="B231" s="121" t="s">
        <v>27</v>
      </c>
      <c r="C231" s="121" t="s">
        <v>123</v>
      </c>
      <c r="D231" s="122" t="s">
        <v>148</v>
      </c>
      <c r="E231" s="121" t="s">
        <v>272</v>
      </c>
      <c r="F231" s="121" t="s">
        <v>267</v>
      </c>
      <c r="G231" s="122">
        <v>0</v>
      </c>
      <c r="H231" s="122">
        <v>1</v>
      </c>
    </row>
    <row r="232" spans="1:8" x14ac:dyDescent="0.2">
      <c r="A232" s="121" t="s">
        <v>27</v>
      </c>
      <c r="B232" s="121" t="s">
        <v>27</v>
      </c>
      <c r="C232" s="121" t="s">
        <v>128</v>
      </c>
      <c r="D232" s="122" t="s">
        <v>150</v>
      </c>
      <c r="E232" s="121" t="s">
        <v>272</v>
      </c>
      <c r="F232" s="121" t="s">
        <v>267</v>
      </c>
      <c r="G232" s="122">
        <v>1</v>
      </c>
      <c r="H232" s="122">
        <v>0</v>
      </c>
    </row>
    <row r="233" spans="1:8" x14ac:dyDescent="0.2">
      <c r="A233" s="121" t="s">
        <v>27</v>
      </c>
      <c r="B233" s="121" t="s">
        <v>27</v>
      </c>
      <c r="C233" s="121" t="s">
        <v>132</v>
      </c>
      <c r="D233" s="122" t="s">
        <v>251</v>
      </c>
      <c r="E233" s="121" t="s">
        <v>288</v>
      </c>
      <c r="F233" s="121" t="s">
        <v>267</v>
      </c>
      <c r="G233" s="122">
        <v>1</v>
      </c>
      <c r="H233" s="122">
        <v>0</v>
      </c>
    </row>
    <row r="234" spans="1:8" x14ac:dyDescent="0.2">
      <c r="A234" s="121" t="s">
        <v>27</v>
      </c>
      <c r="B234" s="121" t="s">
        <v>27</v>
      </c>
      <c r="C234" s="121" t="s">
        <v>170</v>
      </c>
      <c r="D234" s="122" t="s">
        <v>252</v>
      </c>
      <c r="E234" s="121" t="s">
        <v>294</v>
      </c>
      <c r="F234" s="121" t="s">
        <v>267</v>
      </c>
      <c r="G234" s="122">
        <v>0</v>
      </c>
      <c r="H234" s="122">
        <v>1</v>
      </c>
    </row>
    <row r="235" spans="1:8" x14ac:dyDescent="0.2">
      <c r="A235" s="121" t="s">
        <v>27</v>
      </c>
      <c r="B235" s="121" t="s">
        <v>27</v>
      </c>
      <c r="C235" s="121" t="s">
        <v>112</v>
      </c>
      <c r="D235" s="122" t="s">
        <v>253</v>
      </c>
      <c r="E235" s="121" t="s">
        <v>268</v>
      </c>
      <c r="F235" s="121" t="s">
        <v>267</v>
      </c>
      <c r="G235" s="122">
        <v>1</v>
      </c>
      <c r="H235" s="122">
        <v>0</v>
      </c>
    </row>
    <row r="236" spans="1:8" x14ac:dyDescent="0.2">
      <c r="A236" s="121" t="s">
        <v>27</v>
      </c>
      <c r="B236" s="121" t="s">
        <v>27</v>
      </c>
      <c r="C236" s="121" t="s">
        <v>169</v>
      </c>
      <c r="D236" s="122" t="s">
        <v>254</v>
      </c>
      <c r="E236" s="121" t="s">
        <v>285</v>
      </c>
      <c r="F236" s="121" t="s">
        <v>267</v>
      </c>
      <c r="G236" s="122">
        <v>1</v>
      </c>
      <c r="H236" s="122">
        <v>0</v>
      </c>
    </row>
    <row r="237" spans="1:8" x14ac:dyDescent="0.2">
      <c r="A237" s="121" t="s">
        <v>27</v>
      </c>
      <c r="B237" s="121" t="s">
        <v>27</v>
      </c>
      <c r="C237" s="121" t="s">
        <v>171</v>
      </c>
      <c r="D237" s="122" t="s">
        <v>255</v>
      </c>
      <c r="E237" s="121" t="s">
        <v>284</v>
      </c>
      <c r="F237" s="121" t="s">
        <v>267</v>
      </c>
      <c r="G237" s="122">
        <v>1</v>
      </c>
      <c r="H237" s="122">
        <v>0</v>
      </c>
    </row>
    <row r="238" spans="1:8" x14ac:dyDescent="0.2">
      <c r="A238" s="121" t="s">
        <v>32</v>
      </c>
      <c r="B238" s="121" t="s">
        <v>32</v>
      </c>
      <c r="C238" s="121" t="s">
        <v>87</v>
      </c>
      <c r="D238" s="122" t="s">
        <v>90</v>
      </c>
      <c r="E238" s="121" t="s">
        <v>285</v>
      </c>
      <c r="F238" s="121" t="s">
        <v>267</v>
      </c>
      <c r="G238" s="122">
        <v>4</v>
      </c>
      <c r="H238" s="122">
        <v>3</v>
      </c>
    </row>
    <row r="239" spans="1:8" x14ac:dyDescent="0.2">
      <c r="A239" s="121" t="s">
        <v>32</v>
      </c>
      <c r="B239" s="121" t="s">
        <v>32</v>
      </c>
      <c r="C239" s="121" t="s">
        <v>60</v>
      </c>
      <c r="D239" s="122" t="s">
        <v>61</v>
      </c>
      <c r="E239" s="121" t="s">
        <v>271</v>
      </c>
      <c r="F239" s="121" t="s">
        <v>267</v>
      </c>
      <c r="G239" s="122">
        <v>5</v>
      </c>
      <c r="H239" s="122">
        <v>0</v>
      </c>
    </row>
    <row r="240" spans="1:8" x14ac:dyDescent="0.2">
      <c r="A240" s="121" t="s">
        <v>32</v>
      </c>
      <c r="B240" s="121" t="s">
        <v>32</v>
      </c>
      <c r="C240" s="121" t="s">
        <v>120</v>
      </c>
      <c r="D240" s="122" t="s">
        <v>133</v>
      </c>
      <c r="E240" s="121" t="s">
        <v>149</v>
      </c>
      <c r="F240" s="121" t="s">
        <v>267</v>
      </c>
      <c r="G240" s="122">
        <v>2</v>
      </c>
      <c r="H240" s="122">
        <v>0</v>
      </c>
    </row>
    <row r="241" spans="1:8" x14ac:dyDescent="0.2">
      <c r="A241" s="121" t="s">
        <v>32</v>
      </c>
      <c r="B241" s="121" t="s">
        <v>32</v>
      </c>
      <c r="C241" s="121" t="s">
        <v>36</v>
      </c>
      <c r="D241" s="122" t="s">
        <v>47</v>
      </c>
      <c r="E241" s="121" t="s">
        <v>272</v>
      </c>
      <c r="F241" s="121" t="s">
        <v>267</v>
      </c>
      <c r="G241" s="122">
        <v>1</v>
      </c>
      <c r="H241" s="122">
        <v>0</v>
      </c>
    </row>
    <row r="242" spans="1:8" x14ac:dyDescent="0.2">
      <c r="A242" s="121" t="s">
        <v>32</v>
      </c>
      <c r="B242" s="121" t="s">
        <v>32</v>
      </c>
      <c r="C242" s="121" t="s">
        <v>168</v>
      </c>
      <c r="D242" s="122" t="s">
        <v>41</v>
      </c>
      <c r="E242" s="121" t="s">
        <v>279</v>
      </c>
      <c r="F242" s="121" t="s">
        <v>267</v>
      </c>
      <c r="G242" s="122">
        <v>1</v>
      </c>
      <c r="H242" s="122">
        <v>0</v>
      </c>
    </row>
    <row r="243" spans="1:8" x14ac:dyDescent="0.2">
      <c r="A243" s="121" t="s">
        <v>32</v>
      </c>
      <c r="B243" s="121" t="s">
        <v>32</v>
      </c>
      <c r="C243" s="121" t="s">
        <v>166</v>
      </c>
      <c r="D243" s="122" t="s">
        <v>256</v>
      </c>
      <c r="E243" s="121" t="s">
        <v>289</v>
      </c>
      <c r="F243" s="121" t="s">
        <v>282</v>
      </c>
      <c r="G243" s="122">
        <v>1</v>
      </c>
      <c r="H243" s="122">
        <v>0</v>
      </c>
    </row>
    <row r="244" spans="1:8" x14ac:dyDescent="0.2">
      <c r="A244" s="121" t="s">
        <v>28</v>
      </c>
      <c r="B244" s="121" t="s">
        <v>290</v>
      </c>
      <c r="C244" s="121" t="s">
        <v>62</v>
      </c>
      <c r="D244" s="122" t="s">
        <v>51</v>
      </c>
      <c r="E244" s="121" t="s">
        <v>269</v>
      </c>
      <c r="F244" s="121" t="s">
        <v>267</v>
      </c>
      <c r="G244" s="122">
        <v>0</v>
      </c>
      <c r="H244" s="122">
        <v>2</v>
      </c>
    </row>
    <row r="245" spans="1:8" x14ac:dyDescent="0.2">
      <c r="A245" s="121" t="s">
        <v>28</v>
      </c>
      <c r="B245" s="121" t="s">
        <v>290</v>
      </c>
      <c r="C245" s="121" t="s">
        <v>62</v>
      </c>
      <c r="D245" s="122" t="s">
        <v>51</v>
      </c>
      <c r="E245" s="121" t="s">
        <v>149</v>
      </c>
      <c r="F245" s="121" t="s">
        <v>267</v>
      </c>
      <c r="G245" s="122">
        <v>3</v>
      </c>
      <c r="H245" s="122">
        <v>1</v>
      </c>
    </row>
    <row r="246" spans="1:8" x14ac:dyDescent="0.2">
      <c r="A246" s="121" t="s">
        <v>28</v>
      </c>
      <c r="B246" s="121" t="s">
        <v>290</v>
      </c>
      <c r="C246" s="121" t="s">
        <v>62</v>
      </c>
      <c r="D246" s="122" t="s">
        <v>51</v>
      </c>
      <c r="E246" s="121" t="s">
        <v>278</v>
      </c>
      <c r="F246" s="121" t="s">
        <v>267</v>
      </c>
      <c r="G246" s="122">
        <v>6</v>
      </c>
      <c r="H246" s="122">
        <v>1</v>
      </c>
    </row>
    <row r="247" spans="1:8" x14ac:dyDescent="0.2">
      <c r="A247" s="121" t="s">
        <v>28</v>
      </c>
      <c r="B247" s="121" t="s">
        <v>290</v>
      </c>
      <c r="C247" s="121" t="s">
        <v>62</v>
      </c>
      <c r="D247" s="122" t="s">
        <v>51</v>
      </c>
      <c r="E247" s="121" t="s">
        <v>279</v>
      </c>
      <c r="F247" s="121" t="s">
        <v>267</v>
      </c>
      <c r="G247" s="122">
        <v>2</v>
      </c>
      <c r="H247" s="122">
        <v>0</v>
      </c>
    </row>
    <row r="248" spans="1:8" x14ac:dyDescent="0.2">
      <c r="A248" s="121" t="s">
        <v>28</v>
      </c>
      <c r="B248" s="121" t="s">
        <v>290</v>
      </c>
      <c r="C248" s="121" t="s">
        <v>62</v>
      </c>
      <c r="D248" s="122" t="s">
        <v>51</v>
      </c>
      <c r="E248" s="121" t="s">
        <v>270</v>
      </c>
      <c r="F248" s="121" t="s">
        <v>267</v>
      </c>
      <c r="G248" s="122">
        <v>0</v>
      </c>
      <c r="H248" s="122">
        <v>1</v>
      </c>
    </row>
    <row r="249" spans="1:8" x14ac:dyDescent="0.2">
      <c r="A249" s="121" t="s">
        <v>28</v>
      </c>
      <c r="B249" s="121" t="s">
        <v>290</v>
      </c>
      <c r="C249" s="121" t="s">
        <v>62</v>
      </c>
      <c r="D249" s="122" t="s">
        <v>51</v>
      </c>
      <c r="E249" s="121" t="s">
        <v>271</v>
      </c>
      <c r="F249" s="121" t="s">
        <v>267</v>
      </c>
      <c r="G249" s="122">
        <v>0</v>
      </c>
      <c r="H249" s="122">
        <v>3</v>
      </c>
    </row>
    <row r="250" spans="1:8" x14ac:dyDescent="0.2">
      <c r="A250" s="121" t="s">
        <v>28</v>
      </c>
      <c r="B250" s="121" t="s">
        <v>290</v>
      </c>
      <c r="C250" s="121" t="s">
        <v>62</v>
      </c>
      <c r="D250" s="122" t="s">
        <v>51</v>
      </c>
      <c r="E250" s="121" t="s">
        <v>276</v>
      </c>
      <c r="F250" s="121" t="s">
        <v>267</v>
      </c>
      <c r="G250" s="122">
        <v>0</v>
      </c>
      <c r="H250" s="122">
        <v>5</v>
      </c>
    </row>
    <row r="251" spans="1:8" x14ac:dyDescent="0.2">
      <c r="A251" s="121" t="s">
        <v>28</v>
      </c>
      <c r="B251" s="121" t="s">
        <v>290</v>
      </c>
      <c r="C251" s="121" t="s">
        <v>62</v>
      </c>
      <c r="D251" s="122" t="s">
        <v>51</v>
      </c>
      <c r="E251" s="121" t="s">
        <v>272</v>
      </c>
      <c r="F251" s="121" t="s">
        <v>275</v>
      </c>
      <c r="G251" s="122">
        <v>0</v>
      </c>
      <c r="H251" s="122">
        <v>1</v>
      </c>
    </row>
    <row r="252" spans="1:8" x14ac:dyDescent="0.2">
      <c r="A252" s="121" t="s">
        <v>28</v>
      </c>
      <c r="B252" s="121" t="s">
        <v>290</v>
      </c>
      <c r="C252" s="121" t="s">
        <v>62</v>
      </c>
      <c r="D252" s="122" t="s">
        <v>51</v>
      </c>
      <c r="E252" s="121" t="s">
        <v>272</v>
      </c>
      <c r="F252" s="121" t="s">
        <v>267</v>
      </c>
      <c r="G252" s="122">
        <v>16</v>
      </c>
      <c r="H252" s="122">
        <v>11</v>
      </c>
    </row>
    <row r="253" spans="1:8" x14ac:dyDescent="0.2">
      <c r="A253" s="121" t="s">
        <v>28</v>
      </c>
      <c r="B253" s="121" t="s">
        <v>290</v>
      </c>
      <c r="C253" s="121" t="s">
        <v>62</v>
      </c>
      <c r="D253" s="122" t="s">
        <v>51</v>
      </c>
      <c r="E253" s="121" t="s">
        <v>266</v>
      </c>
      <c r="F253" s="121" t="s">
        <v>267</v>
      </c>
      <c r="G253" s="122">
        <v>7</v>
      </c>
      <c r="H253" s="122">
        <v>4</v>
      </c>
    </row>
    <row r="254" spans="1:8" x14ac:dyDescent="0.2">
      <c r="A254" s="121" t="s">
        <v>28</v>
      </c>
      <c r="B254" s="121" t="s">
        <v>290</v>
      </c>
      <c r="C254" s="121" t="s">
        <v>37</v>
      </c>
      <c r="D254" s="122" t="s">
        <v>49</v>
      </c>
      <c r="E254" s="121" t="s">
        <v>268</v>
      </c>
      <c r="F254" s="121" t="s">
        <v>267</v>
      </c>
      <c r="G254" s="122">
        <v>0</v>
      </c>
      <c r="H254" s="122">
        <v>2</v>
      </c>
    </row>
    <row r="255" spans="1:8" x14ac:dyDescent="0.2">
      <c r="A255" s="121" t="s">
        <v>28</v>
      </c>
      <c r="B255" s="121" t="s">
        <v>290</v>
      </c>
      <c r="C255" s="121" t="s">
        <v>37</v>
      </c>
      <c r="D255" s="122" t="s">
        <v>49</v>
      </c>
      <c r="E255" s="121" t="s">
        <v>269</v>
      </c>
      <c r="F255" s="121" t="s">
        <v>267</v>
      </c>
      <c r="G255" s="122">
        <v>0</v>
      </c>
      <c r="H255" s="122">
        <v>8</v>
      </c>
    </row>
    <row r="256" spans="1:8" x14ac:dyDescent="0.2">
      <c r="A256" s="121" t="s">
        <v>28</v>
      </c>
      <c r="B256" s="121" t="s">
        <v>290</v>
      </c>
      <c r="C256" s="121" t="s">
        <v>37</v>
      </c>
      <c r="D256" s="122" t="s">
        <v>49</v>
      </c>
      <c r="E256" s="121" t="s">
        <v>149</v>
      </c>
      <c r="F256" s="121" t="s">
        <v>267</v>
      </c>
      <c r="G256" s="122">
        <v>1</v>
      </c>
      <c r="H256" s="122">
        <v>0</v>
      </c>
    </row>
    <row r="257" spans="1:8" x14ac:dyDescent="0.2">
      <c r="A257" s="121" t="s">
        <v>28</v>
      </c>
      <c r="B257" s="121" t="s">
        <v>290</v>
      </c>
      <c r="C257" s="121" t="s">
        <v>37</v>
      </c>
      <c r="D257" s="122" t="s">
        <v>49</v>
      </c>
      <c r="E257" s="121" t="s">
        <v>271</v>
      </c>
      <c r="F257" s="121" t="s">
        <v>267</v>
      </c>
      <c r="G257" s="122">
        <v>1</v>
      </c>
      <c r="H257" s="122">
        <v>0</v>
      </c>
    </row>
    <row r="258" spans="1:8" x14ac:dyDescent="0.2">
      <c r="A258" s="121" t="s">
        <v>28</v>
      </c>
      <c r="B258" s="121" t="s">
        <v>290</v>
      </c>
      <c r="C258" s="121" t="s">
        <v>37</v>
      </c>
      <c r="D258" s="122" t="s">
        <v>49</v>
      </c>
      <c r="E258" s="121" t="s">
        <v>276</v>
      </c>
      <c r="F258" s="121" t="s">
        <v>267</v>
      </c>
      <c r="G258" s="122">
        <v>0</v>
      </c>
      <c r="H258" s="122">
        <v>1</v>
      </c>
    </row>
    <row r="259" spans="1:8" x14ac:dyDescent="0.2">
      <c r="A259" s="121" t="s">
        <v>28</v>
      </c>
      <c r="B259" s="121" t="s">
        <v>290</v>
      </c>
      <c r="C259" s="121" t="s">
        <v>37</v>
      </c>
      <c r="D259" s="122" t="s">
        <v>49</v>
      </c>
      <c r="E259" s="121" t="s">
        <v>272</v>
      </c>
      <c r="F259" s="121" t="s">
        <v>267</v>
      </c>
      <c r="G259" s="122">
        <v>10</v>
      </c>
      <c r="H259" s="122">
        <v>28</v>
      </c>
    </row>
    <row r="260" spans="1:8" x14ac:dyDescent="0.2">
      <c r="A260" s="121" t="s">
        <v>28</v>
      </c>
      <c r="B260" s="121" t="s">
        <v>290</v>
      </c>
      <c r="C260" s="121" t="s">
        <v>37</v>
      </c>
      <c r="D260" s="122" t="s">
        <v>49</v>
      </c>
      <c r="E260" s="121" t="s">
        <v>266</v>
      </c>
      <c r="F260" s="121" t="s">
        <v>267</v>
      </c>
      <c r="G260" s="122">
        <v>2</v>
      </c>
      <c r="H260" s="122">
        <v>1</v>
      </c>
    </row>
    <row r="261" spans="1:8" x14ac:dyDescent="0.2">
      <c r="A261" s="121" t="s">
        <v>28</v>
      </c>
      <c r="B261" s="121" t="s">
        <v>290</v>
      </c>
      <c r="C261" s="121" t="s">
        <v>17</v>
      </c>
      <c r="D261" s="122" t="s">
        <v>50</v>
      </c>
      <c r="E261" s="121" t="s">
        <v>268</v>
      </c>
      <c r="F261" s="121" t="s">
        <v>267</v>
      </c>
      <c r="G261" s="122">
        <v>1</v>
      </c>
      <c r="H261" s="122">
        <v>1</v>
      </c>
    </row>
    <row r="262" spans="1:8" x14ac:dyDescent="0.2">
      <c r="A262" s="121" t="s">
        <v>28</v>
      </c>
      <c r="B262" s="121" t="s">
        <v>290</v>
      </c>
      <c r="C262" s="121" t="s">
        <v>17</v>
      </c>
      <c r="D262" s="122" t="s">
        <v>50</v>
      </c>
      <c r="E262" s="121" t="s">
        <v>269</v>
      </c>
      <c r="F262" s="121" t="s">
        <v>267</v>
      </c>
      <c r="G262" s="122">
        <v>0</v>
      </c>
      <c r="H262" s="122">
        <v>1</v>
      </c>
    </row>
    <row r="263" spans="1:8" x14ac:dyDescent="0.2">
      <c r="A263" s="121" t="s">
        <v>28</v>
      </c>
      <c r="B263" s="121" t="s">
        <v>290</v>
      </c>
      <c r="C263" s="121" t="s">
        <v>17</v>
      </c>
      <c r="D263" s="122" t="s">
        <v>50</v>
      </c>
      <c r="E263" s="121" t="s">
        <v>149</v>
      </c>
      <c r="F263" s="121" t="s">
        <v>267</v>
      </c>
      <c r="G263" s="122">
        <v>2</v>
      </c>
      <c r="H263" s="122">
        <v>0</v>
      </c>
    </row>
    <row r="264" spans="1:8" x14ac:dyDescent="0.2">
      <c r="A264" s="121" t="s">
        <v>28</v>
      </c>
      <c r="B264" s="121" t="s">
        <v>290</v>
      </c>
      <c r="C264" s="121" t="s">
        <v>17</v>
      </c>
      <c r="D264" s="122" t="s">
        <v>50</v>
      </c>
      <c r="E264" s="121" t="s">
        <v>279</v>
      </c>
      <c r="F264" s="121" t="s">
        <v>267</v>
      </c>
      <c r="G264" s="122">
        <v>1</v>
      </c>
      <c r="H264" s="122">
        <v>0</v>
      </c>
    </row>
    <row r="265" spans="1:8" x14ac:dyDescent="0.2">
      <c r="A265" s="121" t="s">
        <v>28</v>
      </c>
      <c r="B265" s="121" t="s">
        <v>290</v>
      </c>
      <c r="C265" s="121" t="s">
        <v>17</v>
      </c>
      <c r="D265" s="122" t="s">
        <v>50</v>
      </c>
      <c r="E265" s="121" t="s">
        <v>270</v>
      </c>
      <c r="F265" s="121" t="s">
        <v>267</v>
      </c>
      <c r="G265" s="122">
        <v>2</v>
      </c>
      <c r="H265" s="122">
        <v>0</v>
      </c>
    </row>
    <row r="266" spans="1:8" x14ac:dyDescent="0.2">
      <c r="A266" s="121" t="s">
        <v>28</v>
      </c>
      <c r="B266" s="121" t="s">
        <v>290</v>
      </c>
      <c r="C266" s="121" t="s">
        <v>17</v>
      </c>
      <c r="D266" s="122" t="s">
        <v>50</v>
      </c>
      <c r="E266" s="121" t="s">
        <v>271</v>
      </c>
      <c r="F266" s="121" t="s">
        <v>267</v>
      </c>
      <c r="G266" s="122">
        <v>1</v>
      </c>
      <c r="H266" s="122">
        <v>0</v>
      </c>
    </row>
    <row r="267" spans="1:8" x14ac:dyDescent="0.2">
      <c r="A267" s="121" t="s">
        <v>28</v>
      </c>
      <c r="B267" s="121" t="s">
        <v>290</v>
      </c>
      <c r="C267" s="121" t="s">
        <v>17</v>
      </c>
      <c r="D267" s="122" t="s">
        <v>50</v>
      </c>
      <c r="E267" s="121" t="s">
        <v>272</v>
      </c>
      <c r="F267" s="121" t="s">
        <v>267</v>
      </c>
      <c r="G267" s="122">
        <v>6</v>
      </c>
      <c r="H267" s="122">
        <v>6</v>
      </c>
    </row>
    <row r="268" spans="1:8" x14ac:dyDescent="0.2">
      <c r="A268" s="121" t="s">
        <v>28</v>
      </c>
      <c r="B268" s="121" t="s">
        <v>290</v>
      </c>
      <c r="C268" s="121" t="s">
        <v>17</v>
      </c>
      <c r="D268" s="122" t="s">
        <v>50</v>
      </c>
      <c r="E268" s="121" t="s">
        <v>266</v>
      </c>
      <c r="F268" s="121" t="s">
        <v>267</v>
      </c>
      <c r="G268" s="122">
        <v>3</v>
      </c>
      <c r="H268" s="122">
        <v>2</v>
      </c>
    </row>
    <row r="269" spans="1:8" x14ac:dyDescent="0.2">
      <c r="A269" s="121" t="s">
        <v>28</v>
      </c>
      <c r="B269" s="121" t="s">
        <v>290</v>
      </c>
      <c r="C269" s="121" t="s">
        <v>17</v>
      </c>
      <c r="D269" s="122" t="s">
        <v>257</v>
      </c>
      <c r="E269" s="121" t="s">
        <v>269</v>
      </c>
      <c r="F269" s="121" t="s">
        <v>267</v>
      </c>
      <c r="G269" s="122">
        <v>8</v>
      </c>
      <c r="H269" s="122">
        <v>1</v>
      </c>
    </row>
    <row r="270" spans="1:8" x14ac:dyDescent="0.2">
      <c r="A270" s="121" t="s">
        <v>28</v>
      </c>
      <c r="B270" s="121" t="s">
        <v>290</v>
      </c>
      <c r="C270" s="121" t="s">
        <v>40</v>
      </c>
      <c r="D270" s="122" t="s">
        <v>51</v>
      </c>
      <c r="E270" s="121" t="s">
        <v>271</v>
      </c>
      <c r="F270" s="121" t="s">
        <v>267</v>
      </c>
      <c r="G270" s="122">
        <v>0</v>
      </c>
      <c r="H270" s="122">
        <v>1</v>
      </c>
    </row>
    <row r="271" spans="1:8" x14ac:dyDescent="0.2">
      <c r="A271" s="121" t="s">
        <v>28</v>
      </c>
      <c r="B271" s="121" t="s">
        <v>290</v>
      </c>
      <c r="C271" s="121" t="s">
        <v>40</v>
      </c>
      <c r="D271" s="122" t="s">
        <v>51</v>
      </c>
      <c r="E271" s="121" t="s">
        <v>272</v>
      </c>
      <c r="F271" s="121" t="s">
        <v>267</v>
      </c>
      <c r="G271" s="122">
        <v>0</v>
      </c>
      <c r="H271" s="122">
        <v>1</v>
      </c>
    </row>
    <row r="272" spans="1:8" x14ac:dyDescent="0.2">
      <c r="A272" s="121" t="s">
        <v>28</v>
      </c>
      <c r="B272" s="121" t="s">
        <v>290</v>
      </c>
      <c r="C272" s="121" t="s">
        <v>40</v>
      </c>
      <c r="D272" s="122" t="s">
        <v>51</v>
      </c>
      <c r="E272" s="121" t="s">
        <v>266</v>
      </c>
      <c r="F272" s="121" t="s">
        <v>267</v>
      </c>
      <c r="G272" s="122">
        <v>0</v>
      </c>
      <c r="H272" s="122">
        <v>1</v>
      </c>
    </row>
    <row r="273" spans="1:8" x14ac:dyDescent="0.2">
      <c r="A273" s="121" t="s">
        <v>28</v>
      </c>
      <c r="B273" s="121" t="s">
        <v>290</v>
      </c>
      <c r="C273" s="121" t="s">
        <v>40</v>
      </c>
      <c r="D273" s="122" t="s">
        <v>57</v>
      </c>
      <c r="E273" s="121" t="s">
        <v>268</v>
      </c>
      <c r="F273" s="121" t="s">
        <v>267</v>
      </c>
      <c r="G273" s="122">
        <v>0</v>
      </c>
      <c r="H273" s="122">
        <v>1</v>
      </c>
    </row>
    <row r="274" spans="1:8" x14ac:dyDescent="0.2">
      <c r="A274" s="121" t="s">
        <v>28</v>
      </c>
      <c r="B274" s="121" t="s">
        <v>290</v>
      </c>
      <c r="C274" s="121" t="s">
        <v>40</v>
      </c>
      <c r="D274" s="122" t="s">
        <v>57</v>
      </c>
      <c r="E274" s="121" t="s">
        <v>149</v>
      </c>
      <c r="F274" s="121" t="s">
        <v>267</v>
      </c>
      <c r="G274" s="122">
        <v>1</v>
      </c>
      <c r="H274" s="122">
        <v>0</v>
      </c>
    </row>
    <row r="275" spans="1:8" x14ac:dyDescent="0.2">
      <c r="A275" s="121" t="s">
        <v>28</v>
      </c>
      <c r="B275" s="121" t="s">
        <v>290</v>
      </c>
      <c r="C275" s="121" t="s">
        <v>40</v>
      </c>
      <c r="D275" s="122" t="s">
        <v>57</v>
      </c>
      <c r="E275" s="121" t="s">
        <v>278</v>
      </c>
      <c r="F275" s="121" t="s">
        <v>267</v>
      </c>
      <c r="G275" s="122">
        <v>2</v>
      </c>
      <c r="H275" s="122">
        <v>0</v>
      </c>
    </row>
    <row r="276" spans="1:8" x14ac:dyDescent="0.2">
      <c r="A276" s="121" t="s">
        <v>28</v>
      </c>
      <c r="B276" s="121" t="s">
        <v>290</v>
      </c>
      <c r="C276" s="121" t="s">
        <v>40</v>
      </c>
      <c r="D276" s="122" t="s">
        <v>57</v>
      </c>
      <c r="E276" s="121" t="s">
        <v>291</v>
      </c>
      <c r="F276" s="121" t="s">
        <v>267</v>
      </c>
      <c r="G276" s="122">
        <v>1</v>
      </c>
      <c r="H276" s="122">
        <v>0</v>
      </c>
    </row>
    <row r="277" spans="1:8" x14ac:dyDescent="0.2">
      <c r="A277" s="121" t="s">
        <v>28</v>
      </c>
      <c r="B277" s="121" t="s">
        <v>290</v>
      </c>
      <c r="C277" s="121" t="s">
        <v>40</v>
      </c>
      <c r="D277" s="122" t="s">
        <v>57</v>
      </c>
      <c r="E277" s="121" t="s">
        <v>272</v>
      </c>
      <c r="F277" s="121" t="s">
        <v>267</v>
      </c>
      <c r="G277" s="122">
        <v>4</v>
      </c>
      <c r="H277" s="122">
        <v>9</v>
      </c>
    </row>
    <row r="278" spans="1:8" x14ac:dyDescent="0.2">
      <c r="A278" s="121" t="s">
        <v>28</v>
      </c>
      <c r="B278" s="121" t="s">
        <v>290</v>
      </c>
      <c r="C278" s="121" t="s">
        <v>40</v>
      </c>
      <c r="D278" s="122" t="s">
        <v>57</v>
      </c>
      <c r="E278" s="121" t="s">
        <v>266</v>
      </c>
      <c r="F278" s="121" t="s">
        <v>267</v>
      </c>
      <c r="G278" s="122">
        <v>1</v>
      </c>
      <c r="H278" s="122">
        <v>9</v>
      </c>
    </row>
    <row r="279" spans="1:8" x14ac:dyDescent="0.2">
      <c r="A279" s="121" t="s">
        <v>28</v>
      </c>
      <c r="B279" s="121" t="s">
        <v>290</v>
      </c>
      <c r="C279" s="121" t="s">
        <v>119</v>
      </c>
      <c r="D279" s="122" t="s">
        <v>152</v>
      </c>
      <c r="E279" s="121" t="s">
        <v>272</v>
      </c>
      <c r="F279" s="121" t="s">
        <v>267</v>
      </c>
      <c r="G279" s="122">
        <v>3</v>
      </c>
      <c r="H279" s="122">
        <v>1</v>
      </c>
    </row>
    <row r="280" spans="1:8" x14ac:dyDescent="0.2">
      <c r="A280" s="121" t="s">
        <v>28</v>
      </c>
      <c r="B280" s="121" t="s">
        <v>290</v>
      </c>
      <c r="C280" s="121" t="s">
        <v>88</v>
      </c>
      <c r="D280" s="122" t="s">
        <v>258</v>
      </c>
      <c r="E280" s="121" t="s">
        <v>272</v>
      </c>
      <c r="F280" s="121" t="s">
        <v>267</v>
      </c>
      <c r="G280" s="122">
        <v>2</v>
      </c>
      <c r="H280" s="122">
        <v>0</v>
      </c>
    </row>
    <row r="281" spans="1:8" x14ac:dyDescent="0.2">
      <c r="A281" s="121" t="s">
        <v>28</v>
      </c>
      <c r="B281" s="121" t="s">
        <v>290</v>
      </c>
      <c r="C281" s="121" t="s">
        <v>88</v>
      </c>
      <c r="D281" s="122" t="s">
        <v>259</v>
      </c>
      <c r="E281" s="121" t="s">
        <v>272</v>
      </c>
      <c r="F281" s="121" t="s">
        <v>267</v>
      </c>
      <c r="G281" s="122">
        <v>1</v>
      </c>
      <c r="H281" s="122">
        <v>0</v>
      </c>
    </row>
    <row r="282" spans="1:8" x14ac:dyDescent="0.2">
      <c r="A282" s="121" t="s">
        <v>28</v>
      </c>
      <c r="B282" s="121" t="s">
        <v>290</v>
      </c>
      <c r="C282" s="121" t="s">
        <v>88</v>
      </c>
      <c r="D282" s="122" t="s">
        <v>260</v>
      </c>
      <c r="E282" s="121" t="s">
        <v>270</v>
      </c>
      <c r="F282" s="121" t="s">
        <v>267</v>
      </c>
      <c r="G282" s="122">
        <v>1</v>
      </c>
      <c r="H282" s="122">
        <v>0</v>
      </c>
    </row>
    <row r="283" spans="1:8" x14ac:dyDescent="0.2">
      <c r="A283" s="121" t="s">
        <v>28</v>
      </c>
      <c r="B283" s="121" t="s">
        <v>290</v>
      </c>
      <c r="C283" s="121" t="s">
        <v>127</v>
      </c>
      <c r="D283" s="122" t="s">
        <v>51</v>
      </c>
      <c r="E283" s="121" t="s">
        <v>268</v>
      </c>
      <c r="F283" s="121" t="s">
        <v>267</v>
      </c>
      <c r="G283" s="122">
        <v>0</v>
      </c>
      <c r="H283" s="122">
        <v>1</v>
      </c>
    </row>
    <row r="284" spans="1:8" x14ac:dyDescent="0.2">
      <c r="A284" s="121" t="s">
        <v>28</v>
      </c>
      <c r="B284" s="121" t="s">
        <v>290</v>
      </c>
      <c r="C284" s="121" t="s">
        <v>127</v>
      </c>
      <c r="D284" s="122" t="s">
        <v>51</v>
      </c>
      <c r="E284" s="121" t="s">
        <v>272</v>
      </c>
      <c r="F284" s="121" t="s">
        <v>267</v>
      </c>
      <c r="G284" s="122">
        <v>0</v>
      </c>
      <c r="H284" s="122">
        <v>1</v>
      </c>
    </row>
    <row r="285" spans="1:8" x14ac:dyDescent="0.2">
      <c r="A285" s="121" t="s">
        <v>28</v>
      </c>
      <c r="B285" s="121" t="s">
        <v>290</v>
      </c>
      <c r="C285" s="121" t="s">
        <v>127</v>
      </c>
      <c r="D285" s="122" t="s">
        <v>127</v>
      </c>
      <c r="E285" s="121" t="s">
        <v>268</v>
      </c>
      <c r="F285" s="121" t="s">
        <v>267</v>
      </c>
      <c r="G285" s="122">
        <v>1</v>
      </c>
      <c r="H285" s="122">
        <v>0</v>
      </c>
    </row>
    <row r="286" spans="1:8" x14ac:dyDescent="0.2">
      <c r="A286" s="121" t="s">
        <v>28</v>
      </c>
      <c r="B286" s="121" t="s">
        <v>290</v>
      </c>
      <c r="C286" s="121" t="s">
        <v>129</v>
      </c>
      <c r="D286" s="122" t="s">
        <v>51</v>
      </c>
      <c r="E286" s="121" t="s">
        <v>270</v>
      </c>
      <c r="F286" s="121" t="s">
        <v>267</v>
      </c>
      <c r="G286" s="122">
        <v>1</v>
      </c>
      <c r="H286" s="122">
        <v>0</v>
      </c>
    </row>
    <row r="287" spans="1:8" x14ac:dyDescent="0.2">
      <c r="A287" s="121" t="s">
        <v>28</v>
      </c>
      <c r="B287" s="121" t="s">
        <v>290</v>
      </c>
      <c r="C287" s="121" t="s">
        <v>129</v>
      </c>
      <c r="D287" s="122" t="s">
        <v>51</v>
      </c>
      <c r="E287" s="121" t="s">
        <v>280</v>
      </c>
      <c r="F287" s="121" t="s">
        <v>267</v>
      </c>
      <c r="G287" s="122">
        <v>0</v>
      </c>
      <c r="H287" s="122">
        <v>1</v>
      </c>
    </row>
    <row r="288" spans="1:8" x14ac:dyDescent="0.2">
      <c r="A288" s="121" t="s">
        <v>28</v>
      </c>
      <c r="B288" s="121" t="s">
        <v>290</v>
      </c>
      <c r="C288" s="121" t="s">
        <v>35</v>
      </c>
      <c r="D288" s="122" t="s">
        <v>153</v>
      </c>
      <c r="E288" s="121" t="s">
        <v>272</v>
      </c>
      <c r="F288" s="121" t="s">
        <v>267</v>
      </c>
      <c r="G288" s="122">
        <v>1</v>
      </c>
      <c r="H288" s="122">
        <v>1</v>
      </c>
    </row>
    <row r="289" spans="1:8" x14ac:dyDescent="0.2">
      <c r="A289" s="121" t="s">
        <v>28</v>
      </c>
      <c r="B289" s="121" t="s">
        <v>290</v>
      </c>
      <c r="C289" s="121" t="s">
        <v>58</v>
      </c>
      <c r="D289" s="122" t="s">
        <v>138</v>
      </c>
      <c r="E289" s="121" t="s">
        <v>270</v>
      </c>
      <c r="F289" s="121" t="s">
        <v>267</v>
      </c>
      <c r="G289" s="122">
        <v>1</v>
      </c>
      <c r="H289" s="122">
        <v>1</v>
      </c>
    </row>
    <row r="290" spans="1:8" x14ac:dyDescent="0.2">
      <c r="A290" s="121" t="s">
        <v>28</v>
      </c>
      <c r="B290" s="121" t="s">
        <v>290</v>
      </c>
      <c r="C290" s="121" t="s">
        <v>38</v>
      </c>
      <c r="D290" s="122" t="s">
        <v>91</v>
      </c>
      <c r="E290" s="121" t="s">
        <v>272</v>
      </c>
      <c r="F290" s="121" t="s">
        <v>267</v>
      </c>
      <c r="G290" s="122">
        <v>1</v>
      </c>
      <c r="H290" s="122">
        <v>0</v>
      </c>
    </row>
    <row r="291" spans="1:8" x14ac:dyDescent="0.2">
      <c r="A291" s="121" t="s">
        <v>28</v>
      </c>
      <c r="B291" s="121" t="s">
        <v>290</v>
      </c>
      <c r="C291" s="121" t="s">
        <v>172</v>
      </c>
      <c r="D291" s="122" t="s">
        <v>261</v>
      </c>
      <c r="E291" s="121" t="s">
        <v>268</v>
      </c>
      <c r="F291" s="121" t="s">
        <v>267</v>
      </c>
      <c r="G291" s="122">
        <v>1</v>
      </c>
      <c r="H291" s="122">
        <v>0</v>
      </c>
    </row>
    <row r="292" spans="1:8" x14ac:dyDescent="0.2">
      <c r="A292" s="121" t="s">
        <v>28</v>
      </c>
      <c r="B292" s="121" t="s">
        <v>290</v>
      </c>
      <c r="C292" s="121" t="s">
        <v>131</v>
      </c>
      <c r="D292" s="122" t="s">
        <v>51</v>
      </c>
      <c r="E292" s="121" t="s">
        <v>272</v>
      </c>
      <c r="F292" s="121" t="s">
        <v>267</v>
      </c>
      <c r="G292" s="122">
        <v>0</v>
      </c>
      <c r="H292" s="12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RESUMEN</vt:lpstr>
      <vt:lpstr>Marca y mes</vt:lpstr>
      <vt:lpstr>Oficina Registral</vt:lpstr>
      <vt:lpstr>BASE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Cristian Aliaga</cp:lastModifiedBy>
  <cp:lastPrinted>2014-02-10T15:42:35Z</cp:lastPrinted>
  <dcterms:created xsi:type="dcterms:W3CDTF">2011-01-14T03:27:20Z</dcterms:created>
  <dcterms:modified xsi:type="dcterms:W3CDTF">2025-03-12T17:35:42Z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WorkbookGuid">
    <vt:lpwstr>b6eecc36-f6f1-4101-b43e-2b7e2ccf259b</vt:lpwstr>
  </property>
</Properties>
</file>