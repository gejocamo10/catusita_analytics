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Enero\Detallado\"/>
    </mc:Choice>
  </mc:AlternateContent>
  <xr:revisionPtr revIDLastSave="0" documentId="13_ncr:1_{8B140E55-BE73-4255-A140-7DA26706D1A0}" xr6:coauthVersionLast="47" xr6:coauthVersionMax="47" xr10:uidLastSave="{00000000-0000-0000-0000-000000000000}"/>
  <bookViews>
    <workbookView xWindow="-120" yWindow="-120" windowWidth="20730" windowHeight="11160" tabRatio="770" activeTab="1" xr2:uid="{00000000-000D-0000-FFFF-FFFF00000000}"/>
  </bookViews>
  <sheets>
    <sheet name="Portada" sheetId="89" r:id="rId1"/>
    <sheet name="RESUMEN " sheetId="79" r:id="rId2"/>
    <sheet name="Marca y mes" sheetId="80" r:id="rId3"/>
    <sheet name="Camion y Tracto" sheetId="81" r:id="rId4"/>
    <sheet name="Minibus,Omnibus" sheetId="82" r:id="rId5"/>
    <sheet name="Camion Marca y Modelo" sheetId="83" r:id="rId6"/>
    <sheet name="Tracto Marca y Modelo" sheetId="84" r:id="rId7"/>
    <sheet name="Minibus,Omnibus Marca y Mod" sheetId="85" r:id="rId8"/>
    <sheet name="Zon.Reg I al XIII" sheetId="86" r:id="rId9"/>
    <sheet name="Oficina y Clase" sheetId="87" r:id="rId10"/>
    <sheet name="BASE ESPECIFICACIONES TÉCNICAS" sheetId="88" r:id="rId11"/>
  </sheets>
  <definedNames>
    <definedName name="_xlnm._FilterDatabase" localSheetId="10" hidden="1">'BASE ESPECIFICACIONES TÉCNICAS'!#REF!</definedName>
    <definedName name="_xlnm._FilterDatabase" localSheetId="3" hidden="1">'Camion y Tracto'!$A$4:$WWD$42</definedName>
    <definedName name="_xlnm._FilterDatabase" localSheetId="2" hidden="1">'Marca y mes'!$A$4:$WWD$58</definedName>
    <definedName name="_xlnm._FilterDatabase" localSheetId="4" hidden="1">'Minibus,Omnibus'!$A$4:$WWD$31</definedName>
    <definedName name="_xlnm._FilterDatabase" localSheetId="9" hidden="1">'Oficina y Clase'!$A$4:$Q$541</definedName>
    <definedName name="_xlnm._FilterDatabase" localSheetId="8" hidden="1">'Zon.Reg I al XIII'!$A$4:$P$4</definedName>
    <definedName name="_xlnm.Print_Area" localSheetId="1">'RESUMEN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1" i="86" l="1"/>
  <c r="P100" i="86"/>
  <c r="P99" i="86"/>
  <c r="P98" i="86"/>
  <c r="P97" i="86"/>
  <c r="P96" i="86"/>
  <c r="P95" i="86"/>
  <c r="P94" i="86"/>
  <c r="P93" i="86"/>
  <c r="P92" i="86"/>
  <c r="P91" i="86"/>
  <c r="P90" i="86"/>
  <c r="P89" i="86"/>
  <c r="P88" i="86"/>
  <c r="P87" i="86"/>
  <c r="P86" i="86"/>
  <c r="P85" i="86"/>
  <c r="P84" i="86"/>
  <c r="P83" i="86"/>
  <c r="P82" i="86"/>
  <c r="P81" i="86"/>
  <c r="P80" i="86"/>
  <c r="P79" i="86"/>
  <c r="P78" i="86"/>
  <c r="P77" i="86"/>
  <c r="P76" i="86"/>
  <c r="P75" i="86"/>
  <c r="P74" i="86"/>
  <c r="P73" i="86"/>
  <c r="P72" i="86"/>
  <c r="P71" i="86"/>
  <c r="P70" i="86"/>
  <c r="P69" i="86"/>
  <c r="P68" i="86"/>
  <c r="P67" i="86"/>
  <c r="P66" i="86"/>
  <c r="P65" i="86"/>
  <c r="P64" i="86"/>
  <c r="P63" i="86"/>
  <c r="P62" i="86"/>
  <c r="P61" i="86"/>
  <c r="P60" i="86"/>
  <c r="P59" i="86"/>
  <c r="P58" i="86"/>
  <c r="P57" i="86"/>
  <c r="P56" i="86"/>
  <c r="P55" i="86"/>
  <c r="P54" i="86"/>
  <c r="P53" i="86"/>
  <c r="P52" i="86"/>
  <c r="P51" i="86"/>
  <c r="P50" i="86"/>
  <c r="P49" i="86"/>
  <c r="P48" i="86"/>
  <c r="P47" i="86"/>
  <c r="P46" i="86"/>
  <c r="P45" i="86"/>
  <c r="P44" i="86"/>
  <c r="P43" i="86"/>
  <c r="P42" i="86"/>
  <c r="P41" i="86"/>
  <c r="P40" i="86"/>
  <c r="P39" i="86"/>
  <c r="P38" i="86"/>
  <c r="P37" i="86"/>
  <c r="P36" i="86"/>
  <c r="P35" i="86"/>
  <c r="P34" i="86"/>
  <c r="P33" i="86"/>
  <c r="P32" i="86"/>
  <c r="P31" i="86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1" i="86"/>
  <c r="P10" i="86"/>
  <c r="P9" i="86"/>
  <c r="D531" i="86"/>
  <c r="P127" i="86"/>
  <c r="P126" i="86"/>
  <c r="P125" i="86"/>
  <c r="P124" i="86"/>
  <c r="P123" i="86"/>
  <c r="P122" i="86"/>
  <c r="P121" i="86"/>
  <c r="P120" i="86"/>
  <c r="P119" i="86"/>
  <c r="P118" i="86"/>
  <c r="P117" i="86"/>
  <c r="P116" i="86"/>
  <c r="P115" i="86"/>
  <c r="P114" i="86"/>
  <c r="P113" i="86"/>
  <c r="P112" i="86"/>
  <c r="P111" i="86"/>
  <c r="P110" i="86"/>
  <c r="P109" i="86"/>
  <c r="P108" i="86"/>
  <c r="P107" i="86"/>
  <c r="P106" i="86"/>
  <c r="P105" i="86"/>
  <c r="P104" i="86"/>
  <c r="P150" i="86"/>
  <c r="P149" i="86"/>
  <c r="P148" i="86"/>
  <c r="P147" i="86"/>
  <c r="P146" i="86"/>
  <c r="P145" i="86"/>
  <c r="P144" i="86"/>
  <c r="P143" i="86"/>
  <c r="P142" i="86"/>
  <c r="P141" i="86"/>
  <c r="P140" i="86"/>
  <c r="P139" i="86"/>
  <c r="P138" i="86"/>
  <c r="P137" i="86"/>
  <c r="P136" i="86"/>
  <c r="P135" i="86"/>
  <c r="P134" i="86"/>
  <c r="P133" i="86"/>
  <c r="P132" i="86"/>
  <c r="P131" i="86"/>
  <c r="P130" i="86"/>
  <c r="P129" i="86"/>
  <c r="P128" i="86"/>
  <c r="Q242" i="87"/>
  <c r="Q241" i="87"/>
  <c r="Q240" i="87"/>
  <c r="Q239" i="87"/>
  <c r="Q238" i="87"/>
  <c r="Q237" i="87"/>
  <c r="Q236" i="87"/>
  <c r="Q235" i="87"/>
  <c r="Q234" i="87"/>
  <c r="Q233" i="87"/>
  <c r="Q232" i="87"/>
  <c r="Q231" i="87"/>
  <c r="Q230" i="87"/>
  <c r="Q229" i="87"/>
  <c r="Q228" i="87"/>
  <c r="Q227" i="87"/>
  <c r="Q226" i="87"/>
  <c r="Q225" i="87"/>
  <c r="Q224" i="87"/>
  <c r="Q223" i="87"/>
  <c r="Q222" i="87"/>
  <c r="Q221" i="87"/>
  <c r="Q220" i="87"/>
  <c r="Q219" i="87"/>
  <c r="Q218" i="87"/>
  <c r="Q217" i="87"/>
  <c r="Q216" i="87"/>
  <c r="Q215" i="87"/>
  <c r="Q214" i="87"/>
  <c r="Q213" i="87"/>
  <c r="Q212" i="87"/>
  <c r="Q211" i="87"/>
  <c r="Q210" i="87"/>
  <c r="Q209" i="87"/>
  <c r="Q208" i="87"/>
  <c r="Q207" i="87"/>
  <c r="Q206" i="87"/>
  <c r="Q205" i="87"/>
  <c r="Q204" i="87"/>
  <c r="Q203" i="87"/>
  <c r="Q202" i="87"/>
  <c r="Q201" i="87"/>
  <c r="Q200" i="87"/>
  <c r="Q199" i="87"/>
  <c r="Q198" i="87"/>
  <c r="Q197" i="87"/>
  <c r="Q196" i="87"/>
  <c r="Q195" i="87"/>
  <c r="Q194" i="87"/>
  <c r="Q193" i="87"/>
  <c r="Q192" i="87"/>
  <c r="Q191" i="87"/>
  <c r="Q190" i="87"/>
  <c r="Q189" i="87"/>
  <c r="Q188" i="87"/>
  <c r="Q187" i="87"/>
  <c r="Q186" i="87"/>
  <c r="Q185" i="87"/>
  <c r="Q184" i="87"/>
  <c r="Q183" i="87"/>
  <c r="Q182" i="87"/>
  <c r="Q181" i="87"/>
  <c r="Q180" i="87"/>
  <c r="Q179" i="87"/>
  <c r="Q178" i="87"/>
  <c r="Q177" i="87"/>
  <c r="Q176" i="87"/>
  <c r="Q175" i="87"/>
  <c r="Q174" i="87"/>
  <c r="Q173" i="87"/>
  <c r="Q172" i="87"/>
  <c r="Q171" i="87"/>
  <c r="Q170" i="87"/>
  <c r="Q169" i="87"/>
  <c r="Q168" i="87"/>
  <c r="Q167" i="87"/>
  <c r="Q166" i="87"/>
  <c r="Q165" i="87"/>
  <c r="Q164" i="87"/>
  <c r="Q163" i="87"/>
  <c r="Q162" i="87"/>
  <c r="Q161" i="87"/>
  <c r="Q160" i="87"/>
  <c r="Q159" i="87"/>
  <c r="Q158" i="87"/>
  <c r="Q157" i="87"/>
  <c r="Q156" i="87"/>
  <c r="Q155" i="87"/>
  <c r="Q154" i="87"/>
  <c r="Q153" i="87"/>
  <c r="Q152" i="87"/>
  <c r="Q151" i="87"/>
  <c r="Q150" i="87"/>
  <c r="Q149" i="87"/>
  <c r="Q148" i="87"/>
  <c r="Q147" i="87"/>
  <c r="Q146" i="87"/>
  <c r="Q145" i="87"/>
  <c r="Q144" i="87"/>
  <c r="Q143" i="87"/>
  <c r="Q142" i="87"/>
  <c r="Q141" i="87"/>
  <c r="Q140" i="87"/>
  <c r="Q139" i="87"/>
  <c r="Q138" i="87"/>
  <c r="Q137" i="87"/>
  <c r="Q136" i="87"/>
  <c r="Q135" i="87"/>
  <c r="Q134" i="87"/>
  <c r="Q133" i="87"/>
  <c r="Q132" i="87"/>
  <c r="Q131" i="87"/>
  <c r="Q130" i="87"/>
  <c r="Q129" i="87"/>
  <c r="Q128" i="87"/>
  <c r="Q127" i="87"/>
  <c r="Q126" i="87"/>
  <c r="Q125" i="87"/>
  <c r="Q124" i="87"/>
  <c r="Q123" i="87"/>
  <c r="Q122" i="87"/>
  <c r="Q121" i="87"/>
  <c r="Q120" i="87"/>
  <c r="Q119" i="87"/>
  <c r="Q118" i="87"/>
  <c r="Q117" i="87"/>
  <c r="Q116" i="87"/>
  <c r="Q115" i="87"/>
  <c r="Q114" i="87"/>
  <c r="Q113" i="87"/>
  <c r="Q112" i="87"/>
  <c r="Q111" i="87"/>
  <c r="Q110" i="87"/>
  <c r="Q109" i="87"/>
  <c r="Q108" i="87"/>
  <c r="Q107" i="87"/>
  <c r="Q106" i="87"/>
  <c r="Q105" i="87"/>
  <c r="Q104" i="87"/>
  <c r="Q103" i="87"/>
  <c r="Q102" i="87"/>
  <c r="Q101" i="87"/>
  <c r="Q100" i="87"/>
  <c r="Q99" i="87"/>
  <c r="Q98" i="87"/>
  <c r="Q97" i="87"/>
  <c r="Q96" i="87"/>
  <c r="Q95" i="87"/>
  <c r="Q94" i="87"/>
  <c r="Q93" i="87"/>
  <c r="Q92" i="87"/>
  <c r="Q91" i="87"/>
  <c r="Q90" i="87"/>
  <c r="Q89" i="87"/>
  <c r="Q88" i="87"/>
  <c r="Q87" i="87"/>
  <c r="Q86" i="87"/>
  <c r="Q85" i="87"/>
  <c r="Q84" i="87"/>
  <c r="Q83" i="87"/>
  <c r="Q82" i="87"/>
  <c r="Q81" i="87"/>
  <c r="Q80" i="87"/>
  <c r="Q79" i="87"/>
  <c r="Q78" i="87"/>
  <c r="Q77" i="87"/>
  <c r="Q76" i="87"/>
  <c r="Q75" i="87"/>
  <c r="Q74" i="87"/>
  <c r="Q73" i="87"/>
  <c r="Q72" i="87"/>
  <c r="Q71" i="87"/>
  <c r="Q70" i="87"/>
  <c r="Q69" i="87"/>
  <c r="Q68" i="87"/>
  <c r="Q67" i="87"/>
  <c r="Q66" i="87"/>
  <c r="Q65" i="87"/>
  <c r="Q64" i="87"/>
  <c r="Q63" i="87"/>
  <c r="Q62" i="87"/>
  <c r="Q61" i="87"/>
  <c r="Q60" i="87"/>
  <c r="Q59" i="87"/>
  <c r="Q58" i="87"/>
  <c r="Q57" i="87"/>
  <c r="Q56" i="87"/>
  <c r="Q55" i="87"/>
  <c r="Q54" i="87"/>
  <c r="Q53" i="87"/>
  <c r="Q52" i="87"/>
  <c r="Q51" i="87"/>
  <c r="Q50" i="87"/>
  <c r="Q49" i="87"/>
  <c r="Q48" i="87"/>
  <c r="Q47" i="87"/>
  <c r="Q46" i="87"/>
  <c r="Q45" i="87"/>
  <c r="Q44" i="87"/>
  <c r="Q43" i="87"/>
  <c r="Q42" i="87"/>
  <c r="Q41" i="87"/>
  <c r="Q40" i="87"/>
  <c r="Q39" i="87"/>
  <c r="Q38" i="87"/>
  <c r="Q37" i="87"/>
  <c r="Q36" i="87"/>
  <c r="Q35" i="87"/>
  <c r="Q34" i="87"/>
  <c r="Q33" i="87"/>
  <c r="Q32" i="87"/>
  <c r="Q31" i="87"/>
  <c r="Q30" i="87"/>
  <c r="Q29" i="87"/>
  <c r="Q28" i="87"/>
  <c r="Q27" i="87"/>
  <c r="Q26" i="87"/>
  <c r="Q25" i="87"/>
  <c r="Q24" i="87"/>
  <c r="Q23" i="87"/>
  <c r="Q22" i="87"/>
  <c r="Q21" i="87"/>
  <c r="Q20" i="87"/>
  <c r="Q19" i="87"/>
  <c r="Q18" i="87"/>
  <c r="Q17" i="87"/>
  <c r="Q16" i="87"/>
  <c r="Q15" i="87"/>
  <c r="Q14" i="87"/>
  <c r="Q13" i="87"/>
  <c r="Q12" i="87"/>
  <c r="Q11" i="87"/>
  <c r="Q10" i="87"/>
  <c r="Q9" i="87"/>
  <c r="O17" i="85"/>
  <c r="O16" i="85"/>
  <c r="O15" i="85"/>
  <c r="O14" i="85"/>
  <c r="O13" i="85"/>
  <c r="O12" i="85"/>
  <c r="O11" i="85"/>
  <c r="O10" i="85"/>
  <c r="O9" i="85"/>
  <c r="C72" i="85"/>
  <c r="O35" i="85"/>
  <c r="O34" i="85"/>
  <c r="O33" i="85"/>
  <c r="O32" i="85"/>
  <c r="O31" i="85"/>
  <c r="O30" i="85"/>
  <c r="O29" i="85"/>
  <c r="O28" i="85"/>
  <c r="O27" i="85"/>
  <c r="O26" i="85"/>
  <c r="O25" i="85"/>
  <c r="O24" i="85"/>
  <c r="O23" i="85"/>
  <c r="O22" i="85"/>
  <c r="O21" i="85"/>
  <c r="O20" i="85"/>
  <c r="O19" i="85"/>
  <c r="O18" i="85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9" i="83"/>
  <c r="O8" i="83"/>
  <c r="O7" i="83"/>
  <c r="C19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V25" i="82"/>
  <c r="S25" i="82"/>
  <c r="O25" i="82"/>
  <c r="S24" i="82"/>
  <c r="O24" i="82"/>
  <c r="V24" i="82" s="1"/>
  <c r="S23" i="82"/>
  <c r="O23" i="82"/>
  <c r="V23" i="82" s="1"/>
  <c r="S8" i="80"/>
  <c r="O8" i="80"/>
  <c r="V8" i="80" s="1"/>
  <c r="B58" i="80"/>
  <c r="N8" i="80" s="1"/>
  <c r="S19" i="80"/>
  <c r="O19" i="80"/>
  <c r="V19" i="80" s="1"/>
  <c r="S18" i="80"/>
  <c r="O18" i="80"/>
  <c r="V18" i="80" s="1"/>
  <c r="S17" i="80"/>
  <c r="O17" i="80"/>
  <c r="V17" i="80" s="1"/>
  <c r="S16" i="80"/>
  <c r="O16" i="80"/>
  <c r="V16" i="80" s="1"/>
  <c r="S15" i="80"/>
  <c r="O15" i="80"/>
  <c r="V15" i="80" s="1"/>
  <c r="S14" i="80"/>
  <c r="O14" i="80"/>
  <c r="V14" i="80" s="1"/>
  <c r="S13" i="80"/>
  <c r="O13" i="80"/>
  <c r="V13" i="80" s="1"/>
  <c r="C14" i="79"/>
  <c r="D14" i="79"/>
  <c r="E14" i="79"/>
  <c r="F14" i="79"/>
  <c r="G14" i="79"/>
  <c r="H14" i="79"/>
  <c r="I14" i="79"/>
  <c r="J14" i="79"/>
  <c r="K14" i="79"/>
  <c r="L14" i="79"/>
  <c r="M14" i="79"/>
  <c r="B14" i="79"/>
  <c r="C49" i="84"/>
  <c r="N30" i="79"/>
  <c r="N26" i="79"/>
  <c r="N23" i="79"/>
  <c r="S4" i="82"/>
  <c r="S48" i="81"/>
  <c r="S4" i="81"/>
  <c r="S4" i="80"/>
  <c r="R4" i="80"/>
  <c r="U18" i="79"/>
  <c r="T18" i="79"/>
  <c r="O18" i="79"/>
  <c r="X18" i="79" s="1"/>
  <c r="B36" i="79"/>
  <c r="N33" i="79" s="1"/>
  <c r="S30" i="82"/>
  <c r="S29" i="82"/>
  <c r="S28" i="82"/>
  <c r="S27" i="82"/>
  <c r="S26" i="82"/>
  <c r="S22" i="82"/>
  <c r="S21" i="82"/>
  <c r="S20" i="82"/>
  <c r="S19" i="82"/>
  <c r="S18" i="82"/>
  <c r="S17" i="82"/>
  <c r="S16" i="82"/>
  <c r="S15" i="82"/>
  <c r="S14" i="82"/>
  <c r="S13" i="82"/>
  <c r="S12" i="82"/>
  <c r="S11" i="82"/>
  <c r="S10" i="82"/>
  <c r="S9" i="82"/>
  <c r="S8" i="82"/>
  <c r="S7" i="82"/>
  <c r="S6" i="82"/>
  <c r="S5" i="82"/>
  <c r="S63" i="81"/>
  <c r="S62" i="81"/>
  <c r="S61" i="81"/>
  <c r="S60" i="81"/>
  <c r="S59" i="81"/>
  <c r="S58" i="81"/>
  <c r="S57" i="81"/>
  <c r="S56" i="81"/>
  <c r="S55" i="81"/>
  <c r="S54" i="81"/>
  <c r="S53" i="81"/>
  <c r="S52" i="81"/>
  <c r="S51" i="81"/>
  <c r="S50" i="81"/>
  <c r="S49" i="81"/>
  <c r="S41" i="81"/>
  <c r="S40" i="81"/>
  <c r="S39" i="81"/>
  <c r="S38" i="81"/>
  <c r="S37" i="81"/>
  <c r="S36" i="81"/>
  <c r="S35" i="81"/>
  <c r="S34" i="81"/>
  <c r="S33" i="81"/>
  <c r="S32" i="81"/>
  <c r="S31" i="81"/>
  <c r="S30" i="81"/>
  <c r="S29" i="81"/>
  <c r="S28" i="81"/>
  <c r="S27" i="81"/>
  <c r="S26" i="81"/>
  <c r="S25" i="81"/>
  <c r="S24" i="81"/>
  <c r="S23" i="81"/>
  <c r="S22" i="81"/>
  <c r="S21" i="81"/>
  <c r="S20" i="81"/>
  <c r="S19" i="81"/>
  <c r="S18" i="81"/>
  <c r="S17" i="81"/>
  <c r="S16" i="81"/>
  <c r="S15" i="81"/>
  <c r="S14" i="81"/>
  <c r="S13" i="81"/>
  <c r="S12" i="81"/>
  <c r="S11" i="81"/>
  <c r="S10" i="81"/>
  <c r="S9" i="81"/>
  <c r="S8" i="81"/>
  <c r="S7" i="81"/>
  <c r="S6" i="81"/>
  <c r="S5" i="81"/>
  <c r="N34" i="79" l="1"/>
  <c r="N35" i="79"/>
  <c r="N19" i="79"/>
  <c r="N18" i="79"/>
  <c r="N20" i="79"/>
  <c r="N21" i="79"/>
  <c r="N22" i="79"/>
  <c r="N24" i="79"/>
  <c r="N25" i="79"/>
  <c r="N27" i="79"/>
  <c r="N28" i="79"/>
  <c r="N29" i="79"/>
  <c r="N15" i="79"/>
  <c r="N31" i="79"/>
  <c r="N16" i="79"/>
  <c r="N32" i="79"/>
  <c r="N17" i="79"/>
  <c r="S57" i="80"/>
  <c r="S56" i="80"/>
  <c r="S55" i="80"/>
  <c r="S54" i="80"/>
  <c r="S53" i="80"/>
  <c r="S52" i="80"/>
  <c r="S51" i="80"/>
  <c r="S50" i="80"/>
  <c r="S49" i="80"/>
  <c r="S48" i="80"/>
  <c r="S47" i="80"/>
  <c r="S46" i="80"/>
  <c r="S45" i="80"/>
  <c r="S44" i="80"/>
  <c r="S43" i="80"/>
  <c r="S42" i="80"/>
  <c r="S41" i="80"/>
  <c r="S40" i="80"/>
  <c r="S39" i="80"/>
  <c r="S38" i="80"/>
  <c r="S37" i="80"/>
  <c r="S36" i="80"/>
  <c r="S35" i="80"/>
  <c r="S34" i="80"/>
  <c r="S33" i="80"/>
  <c r="S32" i="80"/>
  <c r="S31" i="80"/>
  <c r="S30" i="80"/>
  <c r="S29" i="80"/>
  <c r="S28" i="80"/>
  <c r="S27" i="80"/>
  <c r="S26" i="80"/>
  <c r="S25" i="80"/>
  <c r="S24" i="80"/>
  <c r="S23" i="80"/>
  <c r="S22" i="80"/>
  <c r="S21" i="80"/>
  <c r="S20" i="80"/>
  <c r="S12" i="80"/>
  <c r="S11" i="80"/>
  <c r="S10" i="80"/>
  <c r="S9" i="80"/>
  <c r="S7" i="80"/>
  <c r="S6" i="80"/>
  <c r="S5" i="80"/>
  <c r="U35" i="79"/>
  <c r="U34" i="79"/>
  <c r="U33" i="79"/>
  <c r="U32" i="79"/>
  <c r="U31" i="79"/>
  <c r="U30" i="79"/>
  <c r="U29" i="79"/>
  <c r="U28" i="79"/>
  <c r="U27" i="79"/>
  <c r="U26" i="79"/>
  <c r="U25" i="79"/>
  <c r="U24" i="79"/>
  <c r="U23" i="79"/>
  <c r="U22" i="79"/>
  <c r="U21" i="79"/>
  <c r="U20" i="79"/>
  <c r="U19" i="79"/>
  <c r="U17" i="79"/>
  <c r="U16" i="79"/>
  <c r="U15" i="79"/>
  <c r="T35" i="79"/>
  <c r="T34" i="79"/>
  <c r="T33" i="79"/>
  <c r="T32" i="79"/>
  <c r="T31" i="79"/>
  <c r="T30" i="79"/>
  <c r="T29" i="79"/>
  <c r="T28" i="79"/>
  <c r="T27" i="79"/>
  <c r="T26" i="79"/>
  <c r="T25" i="79"/>
  <c r="T24" i="79"/>
  <c r="T23" i="79"/>
  <c r="T22" i="79"/>
  <c r="T21" i="79"/>
  <c r="T20" i="79"/>
  <c r="T19" i="79"/>
  <c r="T17" i="79"/>
  <c r="T16" i="79"/>
  <c r="T15" i="79"/>
  <c r="U7" i="79"/>
  <c r="U6" i="79"/>
  <c r="U5" i="79"/>
  <c r="T7" i="79"/>
  <c r="T6" i="79"/>
  <c r="T5" i="79"/>
  <c r="Q361" i="87"/>
  <c r="Q360" i="87"/>
  <c r="Q359" i="87"/>
  <c r="Q358" i="87"/>
  <c r="Q357" i="87"/>
  <c r="Q356" i="87"/>
  <c r="Q355" i="87"/>
  <c r="Q354" i="87"/>
  <c r="Q353" i="87"/>
  <c r="Q352" i="87"/>
  <c r="Q351" i="87"/>
  <c r="Q350" i="87"/>
  <c r="Q349" i="87"/>
  <c r="Q348" i="87"/>
  <c r="Q347" i="87"/>
  <c r="Q346" i="87"/>
  <c r="Q345" i="87"/>
  <c r="Q344" i="87"/>
  <c r="Q343" i="87"/>
  <c r="Q342" i="87"/>
  <c r="Q341" i="87"/>
  <c r="Q340" i="87"/>
  <c r="Q339" i="87"/>
  <c r="Q338" i="87"/>
  <c r="Q337" i="87"/>
  <c r="Q336" i="87"/>
  <c r="Q335" i="87"/>
  <c r="Q334" i="87"/>
  <c r="Q333" i="87"/>
  <c r="Q332" i="87"/>
  <c r="Q331" i="87"/>
  <c r="Q330" i="87"/>
  <c r="Q329" i="87"/>
  <c r="Q328" i="87"/>
  <c r="Q327" i="87"/>
  <c r="Q326" i="87"/>
  <c r="Q325" i="87"/>
  <c r="Q324" i="87"/>
  <c r="Q323" i="87"/>
  <c r="Q322" i="87"/>
  <c r="Q321" i="87"/>
  <c r="Q320" i="87"/>
  <c r="Q319" i="87"/>
  <c r="Q318" i="87"/>
  <c r="Q317" i="87"/>
  <c r="Q316" i="87"/>
  <c r="Q315" i="87"/>
  <c r="Q314" i="87"/>
  <c r="Q313" i="87"/>
  <c r="Q312" i="87"/>
  <c r="Q311" i="87"/>
  <c r="Q310" i="87"/>
  <c r="Q309" i="87"/>
  <c r="Q308" i="87"/>
  <c r="Q307" i="87"/>
  <c r="Q306" i="87"/>
  <c r="Q305" i="87"/>
  <c r="Q304" i="87"/>
  <c r="Q303" i="87"/>
  <c r="Q302" i="87"/>
  <c r="Q301" i="87"/>
  <c r="Q300" i="87"/>
  <c r="Q299" i="87"/>
  <c r="Q298" i="87"/>
  <c r="Q297" i="87"/>
  <c r="Q296" i="87"/>
  <c r="Q295" i="87"/>
  <c r="Q294" i="87"/>
  <c r="Q293" i="87"/>
  <c r="Q292" i="87"/>
  <c r="Q291" i="87"/>
  <c r="Q290" i="87"/>
  <c r="Q289" i="87"/>
  <c r="Q288" i="87"/>
  <c r="Q287" i="87"/>
  <c r="Q286" i="87"/>
  <c r="Q285" i="87"/>
  <c r="Q284" i="87"/>
  <c r="Q283" i="87"/>
  <c r="Q282" i="87"/>
  <c r="Q281" i="87"/>
  <c r="Q280" i="87"/>
  <c r="Q279" i="87"/>
  <c r="Q278" i="87"/>
  <c r="Q277" i="87"/>
  <c r="Q276" i="87"/>
  <c r="Q275" i="87"/>
  <c r="Q274" i="87"/>
  <c r="Q273" i="87"/>
  <c r="Q272" i="87"/>
  <c r="Q271" i="87"/>
  <c r="Q270" i="87"/>
  <c r="Q269" i="87"/>
  <c r="Q268" i="87"/>
  <c r="Q267" i="87"/>
  <c r="Q266" i="87"/>
  <c r="Q265" i="87"/>
  <c r="Q264" i="87"/>
  <c r="Q263" i="87"/>
  <c r="Q262" i="87"/>
  <c r="Q261" i="87"/>
  <c r="Q260" i="87"/>
  <c r="Q259" i="87"/>
  <c r="Q258" i="87"/>
  <c r="Q257" i="87"/>
  <c r="Q256" i="87"/>
  <c r="Q255" i="87"/>
  <c r="Q254" i="87"/>
  <c r="Q253" i="87"/>
  <c r="Q252" i="87"/>
  <c r="Q251" i="87"/>
  <c r="Q250" i="87"/>
  <c r="Q249" i="87"/>
  <c r="Q248" i="87"/>
  <c r="Q247" i="87"/>
  <c r="Q246" i="87"/>
  <c r="Q245" i="87"/>
  <c r="Q244" i="87"/>
  <c r="P300" i="86"/>
  <c r="P299" i="86"/>
  <c r="P298" i="86"/>
  <c r="P297" i="86"/>
  <c r="P296" i="86"/>
  <c r="P295" i="86"/>
  <c r="P294" i="86"/>
  <c r="P293" i="86"/>
  <c r="P292" i="86"/>
  <c r="P291" i="86"/>
  <c r="P290" i="86"/>
  <c r="P289" i="86"/>
  <c r="P288" i="86"/>
  <c r="P287" i="86"/>
  <c r="P286" i="86"/>
  <c r="P285" i="86"/>
  <c r="P284" i="86"/>
  <c r="P283" i="86"/>
  <c r="P282" i="86"/>
  <c r="P281" i="86"/>
  <c r="P280" i="86"/>
  <c r="P279" i="86"/>
  <c r="P278" i="86"/>
  <c r="P277" i="86"/>
  <c r="P276" i="86"/>
  <c r="P275" i="86"/>
  <c r="P274" i="86"/>
  <c r="P273" i="86"/>
  <c r="P272" i="86"/>
  <c r="P271" i="86"/>
  <c r="P270" i="86"/>
  <c r="P269" i="86"/>
  <c r="P268" i="86"/>
  <c r="P267" i="86"/>
  <c r="P266" i="86"/>
  <c r="P265" i="86"/>
  <c r="P264" i="86"/>
  <c r="P263" i="86"/>
  <c r="P262" i="86"/>
  <c r="P261" i="86"/>
  <c r="P260" i="86"/>
  <c r="P259" i="86"/>
  <c r="P258" i="86"/>
  <c r="P257" i="86"/>
  <c r="P256" i="86"/>
  <c r="P255" i="86"/>
  <c r="P254" i="86"/>
  <c r="P253" i="86"/>
  <c r="P252" i="86"/>
  <c r="P251" i="86"/>
  <c r="P250" i="86"/>
  <c r="P249" i="86"/>
  <c r="P248" i="86"/>
  <c r="P247" i="86"/>
  <c r="P246" i="86"/>
  <c r="P245" i="86"/>
  <c r="P244" i="86"/>
  <c r="P243" i="86"/>
  <c r="P242" i="86"/>
  <c r="P241" i="86"/>
  <c r="P240" i="86"/>
  <c r="P239" i="86"/>
  <c r="P238" i="86"/>
  <c r="P237" i="86"/>
  <c r="P236" i="86"/>
  <c r="P235" i="86"/>
  <c r="P234" i="86"/>
  <c r="P233" i="86"/>
  <c r="P232" i="86"/>
  <c r="P231" i="86"/>
  <c r="P230" i="86"/>
  <c r="P229" i="86"/>
  <c r="P228" i="86"/>
  <c r="P227" i="86"/>
  <c r="P226" i="86"/>
  <c r="P225" i="86"/>
  <c r="P224" i="86"/>
  <c r="P223" i="86"/>
  <c r="P222" i="86"/>
  <c r="P221" i="86"/>
  <c r="P220" i="86"/>
  <c r="P219" i="86"/>
  <c r="P218" i="86"/>
  <c r="P217" i="86"/>
  <c r="P216" i="86"/>
  <c r="P215" i="86"/>
  <c r="P214" i="86"/>
  <c r="P213" i="86"/>
  <c r="P212" i="86"/>
  <c r="P211" i="86"/>
  <c r="P210" i="86"/>
  <c r="P209" i="86"/>
  <c r="P208" i="86"/>
  <c r="P207" i="86"/>
  <c r="P206" i="86"/>
  <c r="P205" i="86"/>
  <c r="P204" i="86"/>
  <c r="P203" i="86"/>
  <c r="P202" i="86"/>
  <c r="P201" i="86"/>
  <c r="P200" i="86"/>
  <c r="P199" i="86"/>
  <c r="P198" i="86"/>
  <c r="P197" i="86"/>
  <c r="P196" i="86"/>
  <c r="P195" i="86"/>
  <c r="P194" i="86"/>
  <c r="P193" i="86"/>
  <c r="P192" i="86"/>
  <c r="P191" i="86"/>
  <c r="P190" i="86"/>
  <c r="P189" i="86"/>
  <c r="P188" i="86"/>
  <c r="P187" i="86"/>
  <c r="P186" i="86"/>
  <c r="P185" i="86"/>
  <c r="P184" i="86"/>
  <c r="P183" i="86"/>
  <c r="P182" i="86"/>
  <c r="P181" i="86"/>
  <c r="P180" i="86"/>
  <c r="P179" i="86"/>
  <c r="P178" i="86"/>
  <c r="P177" i="86"/>
  <c r="P176" i="86"/>
  <c r="P175" i="86"/>
  <c r="P174" i="86"/>
  <c r="P173" i="86"/>
  <c r="P172" i="86"/>
  <c r="P171" i="86"/>
  <c r="P170" i="86"/>
  <c r="P169" i="86"/>
  <c r="P168" i="86"/>
  <c r="P167" i="86"/>
  <c r="P166" i="86"/>
  <c r="P165" i="86"/>
  <c r="P164" i="86"/>
  <c r="P163" i="86"/>
  <c r="P162" i="86"/>
  <c r="P161" i="86"/>
  <c r="P160" i="86"/>
  <c r="P159" i="86"/>
  <c r="P158" i="86"/>
  <c r="P157" i="86"/>
  <c r="P156" i="86"/>
  <c r="P155" i="86"/>
  <c r="P154" i="86"/>
  <c r="P153" i="86"/>
  <c r="O65" i="85"/>
  <c r="O64" i="85"/>
  <c r="O63" i="85"/>
  <c r="O62" i="85"/>
  <c r="O61" i="85"/>
  <c r="O60" i="85"/>
  <c r="O59" i="85"/>
  <c r="O58" i="85"/>
  <c r="O57" i="85"/>
  <c r="O56" i="85"/>
  <c r="O55" i="85"/>
  <c r="O54" i="85"/>
  <c r="O53" i="85"/>
  <c r="O52" i="85"/>
  <c r="O51" i="85"/>
  <c r="O50" i="85"/>
  <c r="O49" i="85"/>
  <c r="O48" i="85"/>
  <c r="O47" i="85"/>
  <c r="O46" i="85"/>
  <c r="O45" i="85"/>
  <c r="O44" i="85"/>
  <c r="O43" i="85"/>
  <c r="O42" i="85"/>
  <c r="O41" i="85"/>
  <c r="O40" i="85"/>
  <c r="O39" i="85"/>
  <c r="O38" i="85"/>
  <c r="O37" i="85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61" i="83"/>
  <c r="O60" i="83"/>
  <c r="O59" i="83"/>
  <c r="O58" i="83"/>
  <c r="O57" i="83"/>
  <c r="O56" i="83"/>
  <c r="O55" i="83"/>
  <c r="O54" i="83"/>
  <c r="O53" i="83"/>
  <c r="O52" i="83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13" i="83"/>
  <c r="O56" i="81"/>
  <c r="V56" i="81" s="1"/>
  <c r="O55" i="81"/>
  <c r="V55" i="81" s="1"/>
  <c r="O14" i="81"/>
  <c r="V14" i="81" s="1"/>
  <c r="P503" i="86" l="1"/>
  <c r="P502" i="86"/>
  <c r="P501" i="86"/>
  <c r="P500" i="86"/>
  <c r="P499" i="86"/>
  <c r="P498" i="86"/>
  <c r="P497" i="86"/>
  <c r="P496" i="86"/>
  <c r="P495" i="86"/>
  <c r="P494" i="86"/>
  <c r="P493" i="86"/>
  <c r="P492" i="86"/>
  <c r="P491" i="86"/>
  <c r="P490" i="86"/>
  <c r="P489" i="86"/>
  <c r="P488" i="86"/>
  <c r="P487" i="86"/>
  <c r="P486" i="86"/>
  <c r="P485" i="86"/>
  <c r="P484" i="86"/>
  <c r="P483" i="86"/>
  <c r="P482" i="86"/>
  <c r="P481" i="86"/>
  <c r="P480" i="86"/>
  <c r="P479" i="86"/>
  <c r="P478" i="86"/>
  <c r="P477" i="86"/>
  <c r="P476" i="86"/>
  <c r="P475" i="86"/>
  <c r="P474" i="86"/>
  <c r="P473" i="86"/>
  <c r="P472" i="86"/>
  <c r="P471" i="86"/>
  <c r="P470" i="86"/>
  <c r="P469" i="86"/>
  <c r="P468" i="86"/>
  <c r="P467" i="86"/>
  <c r="P466" i="86"/>
  <c r="P465" i="86"/>
  <c r="P464" i="86"/>
  <c r="P463" i="86"/>
  <c r="P462" i="86"/>
  <c r="P461" i="86"/>
  <c r="P460" i="86"/>
  <c r="P459" i="86"/>
  <c r="P458" i="86"/>
  <c r="P457" i="86"/>
  <c r="P456" i="86"/>
  <c r="P455" i="86"/>
  <c r="P454" i="86"/>
  <c r="P453" i="86"/>
  <c r="P452" i="86"/>
  <c r="P451" i="86"/>
  <c r="P450" i="86"/>
  <c r="P449" i="86"/>
  <c r="P448" i="86"/>
  <c r="P447" i="86"/>
  <c r="P446" i="86"/>
  <c r="P445" i="86"/>
  <c r="P444" i="86"/>
  <c r="P443" i="86"/>
  <c r="P442" i="86"/>
  <c r="P441" i="86"/>
  <c r="P440" i="86"/>
  <c r="P439" i="86"/>
  <c r="P438" i="86"/>
  <c r="P437" i="86"/>
  <c r="P436" i="86"/>
  <c r="P435" i="86"/>
  <c r="P434" i="86"/>
  <c r="P433" i="86"/>
  <c r="P432" i="86"/>
  <c r="P431" i="86"/>
  <c r="P430" i="86"/>
  <c r="P429" i="86"/>
  <c r="P428" i="86"/>
  <c r="P427" i="86"/>
  <c r="P426" i="86"/>
  <c r="P425" i="86"/>
  <c r="P424" i="86"/>
  <c r="P423" i="86"/>
  <c r="P422" i="86"/>
  <c r="P421" i="86"/>
  <c r="P420" i="86"/>
  <c r="P419" i="86"/>
  <c r="P418" i="86"/>
  <c r="P417" i="86"/>
  <c r="P416" i="86"/>
  <c r="P415" i="86"/>
  <c r="P414" i="86"/>
  <c r="P413" i="86"/>
  <c r="P412" i="86"/>
  <c r="P411" i="86"/>
  <c r="P410" i="86"/>
  <c r="P409" i="86"/>
  <c r="P408" i="86"/>
  <c r="P407" i="86"/>
  <c r="P406" i="86"/>
  <c r="P405" i="86"/>
  <c r="P404" i="86"/>
  <c r="P403" i="86"/>
  <c r="P402" i="86"/>
  <c r="P401" i="86"/>
  <c r="P400" i="86"/>
  <c r="P399" i="86"/>
  <c r="P398" i="86"/>
  <c r="P397" i="86"/>
  <c r="P396" i="86"/>
  <c r="P395" i="86"/>
  <c r="P394" i="86"/>
  <c r="P393" i="86"/>
  <c r="P392" i="86"/>
  <c r="P391" i="86"/>
  <c r="P390" i="86"/>
  <c r="P389" i="86"/>
  <c r="P388" i="86"/>
  <c r="P387" i="86"/>
  <c r="P386" i="86"/>
  <c r="P385" i="86"/>
  <c r="P384" i="86"/>
  <c r="P383" i="86"/>
  <c r="P382" i="86"/>
  <c r="P381" i="86"/>
  <c r="P380" i="86"/>
  <c r="P379" i="86"/>
  <c r="P378" i="86"/>
  <c r="P377" i="86"/>
  <c r="P376" i="86"/>
  <c r="P375" i="86"/>
  <c r="P374" i="86"/>
  <c r="P373" i="86"/>
  <c r="P372" i="86"/>
  <c r="P371" i="86"/>
  <c r="P370" i="86"/>
  <c r="P369" i="86"/>
  <c r="P368" i="86"/>
  <c r="P367" i="86"/>
  <c r="P366" i="86"/>
  <c r="P365" i="86"/>
  <c r="P364" i="86"/>
  <c r="P363" i="86"/>
  <c r="P362" i="86"/>
  <c r="P361" i="86"/>
  <c r="P360" i="86"/>
  <c r="P359" i="86"/>
  <c r="P358" i="86"/>
  <c r="P357" i="86"/>
  <c r="P356" i="86"/>
  <c r="P355" i="86"/>
  <c r="P354" i="86"/>
  <c r="P353" i="86"/>
  <c r="P352" i="86"/>
  <c r="P351" i="86"/>
  <c r="P350" i="86"/>
  <c r="P349" i="86"/>
  <c r="P348" i="86"/>
  <c r="P347" i="86"/>
  <c r="P346" i="86"/>
  <c r="P345" i="86"/>
  <c r="P344" i="86"/>
  <c r="P343" i="86"/>
  <c r="P342" i="86"/>
  <c r="P341" i="86"/>
  <c r="P340" i="86"/>
  <c r="P339" i="86"/>
  <c r="P338" i="86"/>
  <c r="P337" i="86"/>
  <c r="P336" i="86"/>
  <c r="P335" i="86"/>
  <c r="P334" i="86"/>
  <c r="P333" i="86"/>
  <c r="P332" i="86"/>
  <c r="P331" i="86"/>
  <c r="P330" i="86"/>
  <c r="P329" i="86"/>
  <c r="P328" i="86"/>
  <c r="P327" i="86"/>
  <c r="P326" i="86"/>
  <c r="P325" i="86"/>
  <c r="P324" i="86"/>
  <c r="P323" i="86"/>
  <c r="P322" i="86"/>
  <c r="P321" i="86"/>
  <c r="P320" i="86"/>
  <c r="P319" i="86"/>
  <c r="P318" i="86"/>
  <c r="P317" i="86"/>
  <c r="P316" i="86"/>
  <c r="P315" i="86"/>
  <c r="P314" i="86"/>
  <c r="P313" i="86"/>
  <c r="P312" i="86"/>
  <c r="P311" i="86"/>
  <c r="P310" i="86"/>
  <c r="P309" i="86"/>
  <c r="P308" i="86"/>
  <c r="P307" i="86"/>
  <c r="P306" i="86"/>
  <c r="P305" i="86"/>
  <c r="P304" i="86"/>
  <c r="P303" i="86"/>
  <c r="P302" i="86"/>
  <c r="P301" i="86"/>
  <c r="P152" i="86"/>
  <c r="P151" i="86"/>
  <c r="P103" i="86"/>
  <c r="Q541" i="87"/>
  <c r="Q540" i="87"/>
  <c r="Q539" i="87"/>
  <c r="Q538" i="87"/>
  <c r="Q537" i="87"/>
  <c r="Q536" i="87"/>
  <c r="Q535" i="87"/>
  <c r="Q534" i="87"/>
  <c r="Q533" i="87"/>
  <c r="Q532" i="87"/>
  <c r="Q531" i="87"/>
  <c r="Q530" i="87"/>
  <c r="Q529" i="87"/>
  <c r="Q528" i="87"/>
  <c r="Q527" i="87"/>
  <c r="Q526" i="87"/>
  <c r="Q525" i="87"/>
  <c r="Q524" i="87"/>
  <c r="Q523" i="87"/>
  <c r="Q522" i="87"/>
  <c r="Q521" i="87"/>
  <c r="Q520" i="87"/>
  <c r="Q519" i="87"/>
  <c r="Q518" i="87"/>
  <c r="Q517" i="87"/>
  <c r="Q516" i="87"/>
  <c r="Q515" i="87"/>
  <c r="Q514" i="87"/>
  <c r="Q513" i="87"/>
  <c r="Q512" i="87"/>
  <c r="Q511" i="87"/>
  <c r="Q510" i="87"/>
  <c r="Q509" i="87"/>
  <c r="Q508" i="87"/>
  <c r="Q507" i="87"/>
  <c r="Q506" i="87"/>
  <c r="Q505" i="87"/>
  <c r="Q504" i="87"/>
  <c r="Q503" i="87"/>
  <c r="Q502" i="87"/>
  <c r="Q501" i="87"/>
  <c r="Q500" i="87"/>
  <c r="Q499" i="87"/>
  <c r="Q498" i="87"/>
  <c r="Q497" i="87"/>
  <c r="Q496" i="87"/>
  <c r="Q495" i="87"/>
  <c r="Q494" i="87"/>
  <c r="Q493" i="87"/>
  <c r="Q492" i="87"/>
  <c r="Q491" i="87"/>
  <c r="Q490" i="87"/>
  <c r="Q489" i="87"/>
  <c r="Q488" i="87"/>
  <c r="Q487" i="87"/>
  <c r="Q486" i="87"/>
  <c r="Q485" i="87"/>
  <c r="Q484" i="87"/>
  <c r="Q483" i="87"/>
  <c r="Q482" i="87"/>
  <c r="Q481" i="87"/>
  <c r="Q480" i="87"/>
  <c r="Q479" i="87"/>
  <c r="Q478" i="87"/>
  <c r="Q477" i="87"/>
  <c r="Q476" i="87"/>
  <c r="Q475" i="87"/>
  <c r="Q474" i="87"/>
  <c r="Q473" i="87"/>
  <c r="Q472" i="87"/>
  <c r="Q471" i="87"/>
  <c r="Q470" i="87"/>
  <c r="Q469" i="87"/>
  <c r="Q468" i="87"/>
  <c r="Q467" i="87"/>
  <c r="Q466" i="87"/>
  <c r="Q465" i="87"/>
  <c r="Q464" i="87"/>
  <c r="Q463" i="87"/>
  <c r="Q462" i="87"/>
  <c r="Q461" i="87"/>
  <c r="Q460" i="87"/>
  <c r="Q459" i="87"/>
  <c r="Q458" i="87"/>
  <c r="Q457" i="87"/>
  <c r="Q456" i="87"/>
  <c r="Q455" i="87"/>
  <c r="Q454" i="87"/>
  <c r="Q453" i="87"/>
  <c r="Q452" i="87"/>
  <c r="Q451" i="87"/>
  <c r="Q450" i="87"/>
  <c r="Q449" i="87"/>
  <c r="Q448" i="87"/>
  <c r="Q447" i="87"/>
  <c r="Q446" i="87"/>
  <c r="Q445" i="87"/>
  <c r="Q444" i="87"/>
  <c r="Q443" i="87"/>
  <c r="Q442" i="87"/>
  <c r="Q441" i="87"/>
  <c r="Q440" i="87"/>
  <c r="Q439" i="87"/>
  <c r="Q438" i="87"/>
  <c r="Q437" i="87"/>
  <c r="Q436" i="87"/>
  <c r="Q435" i="87"/>
  <c r="Q434" i="87"/>
  <c r="Q433" i="87"/>
  <c r="Q432" i="87"/>
  <c r="Q431" i="87"/>
  <c r="Q430" i="87"/>
  <c r="Q429" i="87"/>
  <c r="Q428" i="87"/>
  <c r="Q427" i="87"/>
  <c r="Q426" i="87"/>
  <c r="Q425" i="87"/>
  <c r="Q424" i="87"/>
  <c r="Q423" i="87"/>
  <c r="Q422" i="87"/>
  <c r="Q421" i="87"/>
  <c r="Q420" i="87"/>
  <c r="Q419" i="87"/>
  <c r="Q418" i="87"/>
  <c r="Q417" i="87"/>
  <c r="Q416" i="87"/>
  <c r="Q415" i="87"/>
  <c r="Q414" i="87"/>
  <c r="Q413" i="87"/>
  <c r="Q412" i="87"/>
  <c r="Q411" i="87"/>
  <c r="Q410" i="87"/>
  <c r="Q409" i="87"/>
  <c r="Q408" i="87"/>
  <c r="Q407" i="87"/>
  <c r="Q406" i="87"/>
  <c r="Q405" i="87"/>
  <c r="Q404" i="87"/>
  <c r="Q403" i="87"/>
  <c r="Q402" i="87"/>
  <c r="Q401" i="87"/>
  <c r="Q400" i="87"/>
  <c r="Q399" i="87"/>
  <c r="Q398" i="87"/>
  <c r="Q397" i="87"/>
  <c r="Q396" i="87"/>
  <c r="Q395" i="87"/>
  <c r="Q394" i="87"/>
  <c r="Q393" i="87"/>
  <c r="Q392" i="87"/>
  <c r="Q391" i="87"/>
  <c r="Q390" i="87"/>
  <c r="Q389" i="87"/>
  <c r="Q388" i="87"/>
  <c r="Q387" i="87"/>
  <c r="Q386" i="87"/>
  <c r="Q385" i="87"/>
  <c r="Q384" i="87"/>
  <c r="Q383" i="87"/>
  <c r="Q382" i="87"/>
  <c r="Q381" i="87"/>
  <c r="Q380" i="87"/>
  <c r="Q379" i="87"/>
  <c r="Q378" i="87"/>
  <c r="Q377" i="87"/>
  <c r="Q376" i="87"/>
  <c r="Q375" i="87"/>
  <c r="Q374" i="87"/>
  <c r="Q373" i="87"/>
  <c r="Q372" i="87"/>
  <c r="Q371" i="87"/>
  <c r="Q370" i="87"/>
  <c r="Q369" i="87"/>
  <c r="Q368" i="87"/>
  <c r="Q367" i="87"/>
  <c r="Q366" i="87"/>
  <c r="Q365" i="87"/>
  <c r="Q364" i="87"/>
  <c r="Q363" i="87"/>
  <c r="Q362" i="87"/>
  <c r="O147" i="83"/>
  <c r="O146" i="83"/>
  <c r="O145" i="83"/>
  <c r="O144" i="83"/>
  <c r="O143" i="83"/>
  <c r="O142" i="83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O96" i="83"/>
  <c r="O95" i="83"/>
  <c r="O94" i="83"/>
  <c r="O93" i="83"/>
  <c r="O92" i="83"/>
  <c r="O91" i="83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21" i="80" l="1"/>
  <c r="V21" i="80" s="1"/>
  <c r="O20" i="80"/>
  <c r="V20" i="80" s="1"/>
  <c r="O12" i="80"/>
  <c r="V12" i="80" s="1"/>
  <c r="D49" i="84"/>
  <c r="E49" i="84"/>
  <c r="F49" i="84"/>
  <c r="G49" i="84"/>
  <c r="H49" i="84"/>
  <c r="I49" i="84"/>
  <c r="J49" i="84"/>
  <c r="K49" i="84"/>
  <c r="L49" i="84"/>
  <c r="P530" i="86"/>
  <c r="P529" i="86"/>
  <c r="P528" i="86"/>
  <c r="P527" i="86"/>
  <c r="P526" i="86"/>
  <c r="P525" i="86"/>
  <c r="P524" i="86"/>
  <c r="P523" i="86"/>
  <c r="P522" i="86"/>
  <c r="P521" i="86"/>
  <c r="P520" i="86"/>
  <c r="P519" i="86"/>
  <c r="P518" i="86"/>
  <c r="P517" i="86"/>
  <c r="P516" i="86"/>
  <c r="P515" i="86"/>
  <c r="P514" i="86"/>
  <c r="P513" i="86"/>
  <c r="P512" i="86"/>
  <c r="P511" i="86"/>
  <c r="P510" i="86"/>
  <c r="P509" i="86"/>
  <c r="P508" i="86"/>
  <c r="P507" i="86"/>
  <c r="P506" i="86"/>
  <c r="P505" i="86"/>
  <c r="P504" i="86"/>
  <c r="P102" i="86"/>
  <c r="O71" i="85"/>
  <c r="O70" i="85"/>
  <c r="O69" i="85"/>
  <c r="O179" i="83"/>
  <c r="O178" i="83"/>
  <c r="O177" i="83"/>
  <c r="O176" i="83"/>
  <c r="O175" i="83"/>
  <c r="O174" i="83"/>
  <c r="O173" i="83"/>
  <c r="O172" i="83"/>
  <c r="O171" i="83"/>
  <c r="O170" i="83"/>
  <c r="O169" i="83"/>
  <c r="O168" i="83"/>
  <c r="O167" i="83"/>
  <c r="O166" i="83"/>
  <c r="O165" i="83"/>
  <c r="O164" i="83"/>
  <c r="O163" i="83"/>
  <c r="O162" i="83"/>
  <c r="O161" i="83"/>
  <c r="O160" i="83"/>
  <c r="O159" i="83"/>
  <c r="O158" i="83"/>
  <c r="O157" i="83"/>
  <c r="O156" i="83"/>
  <c r="O155" i="83"/>
  <c r="O154" i="83"/>
  <c r="O153" i="83"/>
  <c r="O152" i="83"/>
  <c r="O151" i="83"/>
  <c r="O150" i="83"/>
  <c r="O149" i="83"/>
  <c r="O10" i="82"/>
  <c r="V10" i="82" s="1"/>
  <c r="F542" i="87"/>
  <c r="G542" i="87"/>
  <c r="H542" i="87"/>
  <c r="I542" i="87"/>
  <c r="J542" i="87"/>
  <c r="K542" i="87"/>
  <c r="L542" i="87"/>
  <c r="M542" i="87"/>
  <c r="N542" i="87"/>
  <c r="O542" i="87"/>
  <c r="E542" i="87"/>
  <c r="P8" i="86"/>
  <c r="E531" i="86"/>
  <c r="F531" i="86"/>
  <c r="G531" i="86"/>
  <c r="H531" i="86"/>
  <c r="I531" i="86"/>
  <c r="J531" i="86"/>
  <c r="K531" i="86"/>
  <c r="L531" i="86"/>
  <c r="O68" i="85"/>
  <c r="O67" i="85"/>
  <c r="O66" i="85"/>
  <c r="O194" i="83"/>
  <c r="O193" i="83"/>
  <c r="O192" i="83"/>
  <c r="O191" i="83"/>
  <c r="O190" i="83"/>
  <c r="O189" i="83"/>
  <c r="O188" i="83"/>
  <c r="O187" i="83"/>
  <c r="O186" i="83"/>
  <c r="O185" i="83"/>
  <c r="O184" i="83"/>
  <c r="O183" i="83"/>
  <c r="O182" i="83"/>
  <c r="O181" i="83"/>
  <c r="O180" i="83"/>
  <c r="O148" i="83"/>
  <c r="O62" i="83"/>
  <c r="O12" i="83"/>
  <c r="O12" i="82"/>
  <c r="V12" i="82" s="1"/>
  <c r="O11" i="82"/>
  <c r="V11" i="82" s="1"/>
  <c r="O12" i="81"/>
  <c r="V12" i="81" s="1"/>
  <c r="O11" i="81"/>
  <c r="V11" i="81" s="1"/>
  <c r="O10" i="81"/>
  <c r="V10" i="81" s="1"/>
  <c r="O22" i="80"/>
  <c r="V22" i="80" s="1"/>
  <c r="C58" i="80"/>
  <c r="D58" i="80"/>
  <c r="E58" i="80"/>
  <c r="F58" i="80"/>
  <c r="G58" i="80"/>
  <c r="H58" i="80"/>
  <c r="I58" i="80"/>
  <c r="J58" i="80"/>
  <c r="O24" i="80"/>
  <c r="V24" i="80" s="1"/>
  <c r="O23" i="80"/>
  <c r="V23" i="80" s="1"/>
  <c r="O11" i="80"/>
  <c r="V11" i="80" s="1"/>
  <c r="Q243" i="87"/>
  <c r="O6" i="85"/>
  <c r="O7" i="85"/>
  <c r="O8" i="85"/>
  <c r="O36" i="85"/>
  <c r="O5" i="85"/>
  <c r="O32" i="84"/>
  <c r="O31" i="84"/>
  <c r="O30" i="84"/>
  <c r="D195" i="83"/>
  <c r="E195" i="83"/>
  <c r="F195" i="83"/>
  <c r="G195" i="83"/>
  <c r="H195" i="83"/>
  <c r="I195" i="83"/>
  <c r="J195" i="83"/>
  <c r="O33" i="80"/>
  <c r="V33" i="80" s="1"/>
  <c r="O32" i="80"/>
  <c r="V32" i="80" s="1"/>
  <c r="O31" i="80"/>
  <c r="V31" i="80" s="1"/>
  <c r="O30" i="80"/>
  <c r="V30" i="80" s="1"/>
  <c r="O29" i="80"/>
  <c r="V29" i="80" s="1"/>
  <c r="O23" i="79"/>
  <c r="X23" i="79" s="1"/>
  <c r="N14" i="80" l="1"/>
  <c r="N13" i="80"/>
  <c r="N16" i="80"/>
  <c r="N19" i="80"/>
  <c r="N15" i="80"/>
  <c r="N18" i="80"/>
  <c r="N17" i="80"/>
  <c r="N54" i="80"/>
  <c r="N38" i="80"/>
  <c r="N22" i="80"/>
  <c r="N7" i="80"/>
  <c r="N53" i="80"/>
  <c r="N37" i="80"/>
  <c r="N21" i="80"/>
  <c r="N52" i="80"/>
  <c r="N36" i="80"/>
  <c r="N20" i="80"/>
  <c r="N41" i="80"/>
  <c r="N51" i="80"/>
  <c r="N35" i="80"/>
  <c r="N12" i="80"/>
  <c r="N23" i="80"/>
  <c r="N50" i="80"/>
  <c r="N34" i="80"/>
  <c r="N11" i="80"/>
  <c r="N47" i="80"/>
  <c r="N25" i="80"/>
  <c r="N40" i="80"/>
  <c r="N55" i="80"/>
  <c r="N49" i="80"/>
  <c r="N33" i="80"/>
  <c r="N10" i="80"/>
  <c r="N48" i="80"/>
  <c r="N32" i="80"/>
  <c r="N9" i="80"/>
  <c r="N31" i="80"/>
  <c r="N46" i="80"/>
  <c r="N30" i="80"/>
  <c r="N6" i="80"/>
  <c r="N45" i="80"/>
  <c r="N29" i="80"/>
  <c r="N5" i="80"/>
  <c r="N26" i="80"/>
  <c r="N44" i="80"/>
  <c r="N28" i="80"/>
  <c r="N56" i="80"/>
  <c r="N43" i="80"/>
  <c r="N27" i="80"/>
  <c r="N42" i="80"/>
  <c r="N57" i="80"/>
  <c r="N24" i="80"/>
  <c r="N39" i="80"/>
  <c r="O25" i="79"/>
  <c r="X25" i="79" s="1"/>
  <c r="M531" i="86"/>
  <c r="N531" i="86"/>
  <c r="O531" i="86"/>
  <c r="O26" i="81"/>
  <c r="V26" i="81" s="1"/>
  <c r="O25" i="81"/>
  <c r="V25" i="81" s="1"/>
  <c r="O24" i="81"/>
  <c r="O23" i="81"/>
  <c r="V23" i="81" s="1"/>
  <c r="O22" i="81"/>
  <c r="V22" i="81" s="1"/>
  <c r="V24" i="81" l="1"/>
  <c r="O60" i="81" l="1"/>
  <c r="V60" i="81" s="1"/>
  <c r="D72" i="85"/>
  <c r="E72" i="85"/>
  <c r="F72" i="85"/>
  <c r="O11" i="83"/>
  <c r="O10" i="83"/>
  <c r="O6" i="83"/>
  <c r="O18" i="82" l="1"/>
  <c r="V18" i="82" s="1"/>
  <c r="O17" i="82"/>
  <c r="V17" i="82" s="1"/>
  <c r="O16" i="82"/>
  <c r="V16" i="82" s="1"/>
  <c r="O15" i="82"/>
  <c r="O15" i="81"/>
  <c r="V15" i="81" s="1"/>
  <c r="O13" i="81"/>
  <c r="V13" i="81" s="1"/>
  <c r="O7" i="84"/>
  <c r="V15" i="82" l="1"/>
  <c r="O29" i="82"/>
  <c r="V29" i="82" s="1"/>
  <c r="O28" i="82"/>
  <c r="V28" i="82" s="1"/>
  <c r="O27" i="82"/>
  <c r="V27" i="82" s="1"/>
  <c r="O26" i="82"/>
  <c r="V26" i="82" s="1"/>
  <c r="O22" i="82"/>
  <c r="V22" i="82" s="1"/>
  <c r="O41" i="81"/>
  <c r="V41" i="81" s="1"/>
  <c r="O40" i="81"/>
  <c r="V40" i="81" s="1"/>
  <c r="P4" i="82"/>
  <c r="O4" i="82"/>
  <c r="P4" i="81"/>
  <c r="U4" i="80"/>
  <c r="U14" i="79"/>
  <c r="R36" i="79" l="1"/>
  <c r="U36" i="79" s="1"/>
  <c r="R14" i="79"/>
  <c r="R8" i="79"/>
  <c r="U4" i="82" l="1"/>
  <c r="V48" i="81"/>
  <c r="U48" i="81"/>
  <c r="U4" i="81"/>
  <c r="P48" i="81"/>
  <c r="O48" i="81"/>
  <c r="P4" i="80"/>
  <c r="O4" i="80"/>
  <c r="O4" i="81" s="1"/>
  <c r="P14" i="79" l="1"/>
  <c r="O14" i="79"/>
  <c r="W14" i="79"/>
  <c r="Q8" i="87"/>
  <c r="Q7" i="87"/>
  <c r="P7" i="86"/>
  <c r="G72" i="85"/>
  <c r="H72" i="85"/>
  <c r="I72" i="85"/>
  <c r="J72" i="85"/>
  <c r="K72" i="85"/>
  <c r="L72" i="85"/>
  <c r="M72" i="85"/>
  <c r="N72" i="85"/>
  <c r="M49" i="84"/>
  <c r="N49" i="84"/>
  <c r="K195" i="83"/>
  <c r="L195" i="83"/>
  <c r="M195" i="83"/>
  <c r="N195" i="83"/>
  <c r="O6" i="84" l="1"/>
  <c r="O31" i="81" l="1"/>
  <c r="V31" i="81" s="1"/>
  <c r="O30" i="81"/>
  <c r="V30" i="81" s="1"/>
  <c r="O29" i="81"/>
  <c r="V29" i="81" s="1"/>
  <c r="O28" i="81"/>
  <c r="V28" i="81" s="1"/>
  <c r="O27" i="81"/>
  <c r="O21" i="81"/>
  <c r="V21" i="81" s="1"/>
  <c r="O20" i="81"/>
  <c r="V20" i="81" s="1"/>
  <c r="O19" i="81"/>
  <c r="V19" i="81" s="1"/>
  <c r="O18" i="81"/>
  <c r="V18" i="81" s="1"/>
  <c r="O17" i="81"/>
  <c r="V17" i="81" s="1"/>
  <c r="O16" i="81"/>
  <c r="V16" i="81" s="1"/>
  <c r="B42" i="81"/>
  <c r="C42" i="81"/>
  <c r="D42" i="81"/>
  <c r="E42" i="81"/>
  <c r="F42" i="81"/>
  <c r="G42" i="81"/>
  <c r="N41" i="81" l="1"/>
  <c r="N25" i="81"/>
  <c r="N9" i="81"/>
  <c r="N40" i="81"/>
  <c r="N8" i="81"/>
  <c r="N39" i="81"/>
  <c r="N23" i="81"/>
  <c r="N7" i="81"/>
  <c r="N26" i="81"/>
  <c r="N38" i="81"/>
  <c r="N22" i="81"/>
  <c r="N6" i="81"/>
  <c r="N37" i="81"/>
  <c r="N21" i="81"/>
  <c r="N5" i="81"/>
  <c r="N16" i="81"/>
  <c r="N36" i="81"/>
  <c r="N20" i="81"/>
  <c r="N35" i="81"/>
  <c r="N19" i="81"/>
  <c r="N18" i="81"/>
  <c r="N34" i="81"/>
  <c r="N32" i="81"/>
  <c r="N33" i="81"/>
  <c r="N17" i="81"/>
  <c r="N24" i="81"/>
  <c r="N31" i="81"/>
  <c r="N15" i="81"/>
  <c r="N27" i="81"/>
  <c r="N10" i="81"/>
  <c r="N30" i="81"/>
  <c r="N14" i="81"/>
  <c r="N29" i="81"/>
  <c r="N13" i="81"/>
  <c r="N12" i="81"/>
  <c r="N11" i="81"/>
  <c r="N28" i="81"/>
  <c r="V27" i="81"/>
  <c r="O20" i="82"/>
  <c r="V20" i="82" s="1"/>
  <c r="O27" i="80"/>
  <c r="V27" i="80" s="1"/>
  <c r="O34" i="81"/>
  <c r="V34" i="81" s="1"/>
  <c r="Q6" i="87" l="1"/>
  <c r="Q5" i="87"/>
  <c r="Q542" i="87" s="1"/>
  <c r="P6" i="86"/>
  <c r="P5" i="86"/>
  <c r="O5" i="84"/>
  <c r="O5" i="83"/>
  <c r="P542" i="87" l="1"/>
  <c r="P531" i="86"/>
  <c r="O195" i="83"/>
  <c r="O49" i="84"/>
  <c r="O72" i="85"/>
  <c r="U2" i="82"/>
  <c r="V4" i="80" l="1"/>
  <c r="V4" i="81"/>
  <c r="V4" i="82"/>
  <c r="U2" i="80"/>
  <c r="X14" i="79"/>
  <c r="T14" i="79" l="1"/>
  <c r="S36" i="79"/>
  <c r="T36" i="79" s="1"/>
  <c r="S14" i="79"/>
  <c r="S8" i="79"/>
  <c r="O32" i="79" l="1"/>
  <c r="X32" i="79" s="1"/>
  <c r="O62" i="81" l="1"/>
  <c r="V62" i="81" s="1"/>
  <c r="O63" i="81" l="1"/>
  <c r="V63" i="81" s="1"/>
  <c r="O52" i="80"/>
  <c r="V52" i="80" s="1"/>
  <c r="O48" i="80"/>
  <c r="V48" i="80" s="1"/>
  <c r="O57" i="80"/>
  <c r="V57" i="80" s="1"/>
  <c r="O53" i="80"/>
  <c r="V53" i="80" s="1"/>
  <c r="O55" i="80"/>
  <c r="V55" i="80" s="1"/>
  <c r="O47" i="80"/>
  <c r="V47" i="80" s="1"/>
  <c r="O42" i="80"/>
  <c r="V42" i="80" s="1"/>
  <c r="O54" i="80"/>
  <c r="V54" i="80" s="1"/>
  <c r="O46" i="80"/>
  <c r="V46" i="80" s="1"/>
  <c r="O40" i="80"/>
  <c r="V40" i="80" s="1"/>
  <c r="O43" i="80"/>
  <c r="V43" i="80" s="1"/>
  <c r="O39" i="80"/>
  <c r="V39" i="80" s="1"/>
  <c r="O44" i="80"/>
  <c r="V44" i="80" s="1"/>
  <c r="O35" i="79"/>
  <c r="X35" i="79" s="1"/>
  <c r="O30" i="79"/>
  <c r="X30" i="79" s="1"/>
  <c r="O34" i="79"/>
  <c r="X34" i="79" s="1"/>
  <c r="O27" i="79"/>
  <c r="X27" i="79" s="1"/>
  <c r="R4" i="81"/>
  <c r="R48" i="81" l="1"/>
  <c r="R4" i="82" s="1"/>
  <c r="O6" i="81"/>
  <c r="V6" i="81" s="1"/>
  <c r="O49" i="80" l="1"/>
  <c r="V49" i="80" s="1"/>
  <c r="O56" i="80"/>
  <c r="V56" i="80" s="1"/>
  <c r="O50" i="80"/>
  <c r="V50" i="80" s="1"/>
  <c r="O51" i="80" l="1"/>
  <c r="V51" i="80" s="1"/>
  <c r="O5" i="79" l="1"/>
  <c r="X5" i="79" s="1"/>
  <c r="O10" i="80"/>
  <c r="V10" i="80" s="1"/>
  <c r="O31" i="79" l="1"/>
  <c r="X31" i="79" s="1"/>
  <c r="O24" i="79"/>
  <c r="X24" i="79" s="1"/>
  <c r="O29" i="79"/>
  <c r="X29" i="79" s="1"/>
  <c r="O20" i="79"/>
  <c r="X20" i="79" s="1"/>
  <c r="O22" i="79"/>
  <c r="X22" i="79" s="1"/>
  <c r="O21" i="82"/>
  <c r="V21" i="82" s="1"/>
  <c r="O8" i="82"/>
  <c r="V8" i="82" s="1"/>
  <c r="O19" i="82"/>
  <c r="V19" i="82" s="1"/>
  <c r="O13" i="82"/>
  <c r="V13" i="82" s="1"/>
  <c r="O9" i="82"/>
  <c r="V9" i="82" s="1"/>
  <c r="O14" i="82"/>
  <c r="V14" i="82" s="1"/>
  <c r="O30" i="82"/>
  <c r="V30" i="82" s="1"/>
  <c r="O6" i="82"/>
  <c r="V6" i="82" s="1"/>
  <c r="O7" i="82"/>
  <c r="V7" i="82" s="1"/>
  <c r="O45" i="80" l="1"/>
  <c r="V45" i="80" s="1"/>
  <c r="O36" i="81" l="1"/>
  <c r="V36" i="81" s="1"/>
  <c r="O38" i="81"/>
  <c r="V38" i="81" s="1"/>
  <c r="C36" i="79" l="1"/>
  <c r="D36" i="79"/>
  <c r="E36" i="79"/>
  <c r="F36" i="79"/>
  <c r="G36" i="79"/>
  <c r="O36" i="80" l="1"/>
  <c r="V36" i="80" s="1"/>
  <c r="K58" i="80" l="1"/>
  <c r="L58" i="80"/>
  <c r="M58" i="80"/>
  <c r="R58" i="80"/>
  <c r="S58" i="80" s="1"/>
  <c r="O54" i="81" l="1"/>
  <c r="V54" i="81" s="1"/>
  <c r="O61" i="81"/>
  <c r="V61" i="81" s="1"/>
  <c r="O52" i="81"/>
  <c r="V52" i="81" s="1"/>
  <c r="N58" i="80" l="1"/>
  <c r="B31" i="82"/>
  <c r="C31" i="82"/>
  <c r="D31" i="82"/>
  <c r="E31" i="82"/>
  <c r="F31" i="82"/>
  <c r="G31" i="82"/>
  <c r="H31" i="82"/>
  <c r="O37" i="80"/>
  <c r="V37" i="80" s="1"/>
  <c r="O41" i="80"/>
  <c r="V41" i="80" s="1"/>
  <c r="O38" i="80"/>
  <c r="V38" i="80" s="1"/>
  <c r="O25" i="80"/>
  <c r="V25" i="80" s="1"/>
  <c r="O28" i="80"/>
  <c r="V28" i="80" s="1"/>
  <c r="O35" i="80"/>
  <c r="V35" i="80" s="1"/>
  <c r="O26" i="80"/>
  <c r="V26" i="80" s="1"/>
  <c r="O7" i="80"/>
  <c r="V7" i="80" s="1"/>
  <c r="O9" i="80"/>
  <c r="V9" i="80" s="1"/>
  <c r="O5" i="80"/>
  <c r="V5" i="80" s="1"/>
  <c r="O34" i="80"/>
  <c r="V34" i="80" s="1"/>
  <c r="O6" i="80"/>
  <c r="V6" i="80" s="1"/>
  <c r="N29" i="82" l="1"/>
  <c r="N10" i="82"/>
  <c r="N20" i="82"/>
  <c r="N28" i="82"/>
  <c r="N9" i="82"/>
  <c r="N25" i="82"/>
  <c r="N27" i="82"/>
  <c r="N8" i="82"/>
  <c r="N24" i="82"/>
  <c r="N11" i="82"/>
  <c r="N26" i="82"/>
  <c r="N7" i="82"/>
  <c r="N19" i="82"/>
  <c r="N22" i="82"/>
  <c r="N6" i="82"/>
  <c r="N21" i="82"/>
  <c r="N5" i="82"/>
  <c r="N18" i="82"/>
  <c r="N17" i="82"/>
  <c r="N15" i="82"/>
  <c r="N14" i="82"/>
  <c r="N16" i="82"/>
  <c r="N12" i="82"/>
  <c r="N30" i="82"/>
  <c r="N13" i="82"/>
  <c r="N23" i="82"/>
  <c r="B64" i="81"/>
  <c r="C64" i="81"/>
  <c r="D64" i="81"/>
  <c r="E64" i="81"/>
  <c r="F64" i="81"/>
  <c r="G64" i="81"/>
  <c r="H64" i="81"/>
  <c r="N60" i="81" l="1"/>
  <c r="N59" i="81"/>
  <c r="N57" i="81"/>
  <c r="N56" i="81"/>
  <c r="N53" i="81"/>
  <c r="N49" i="81"/>
  <c r="N55" i="81"/>
  <c r="N54" i="81"/>
  <c r="N50" i="81"/>
  <c r="N52" i="81"/>
  <c r="N51" i="81"/>
  <c r="N58" i="81"/>
  <c r="N63" i="81"/>
  <c r="N62" i="81"/>
  <c r="N61" i="81"/>
  <c r="R64" i="81"/>
  <c r="S64" i="81" s="1"/>
  <c r="O33" i="79" l="1"/>
  <c r="X33" i="79" s="1"/>
  <c r="U2" i="81" l="1"/>
  <c r="O5" i="82" l="1"/>
  <c r="V5" i="82" s="1"/>
  <c r="I31" i="82"/>
  <c r="J31" i="82"/>
  <c r="K31" i="82"/>
  <c r="L31" i="82"/>
  <c r="M31" i="82"/>
  <c r="R31" i="82"/>
  <c r="S31" i="82" s="1"/>
  <c r="O5" i="81"/>
  <c r="V5" i="81" s="1"/>
  <c r="O8" i="81"/>
  <c r="V8" i="81" s="1"/>
  <c r="O7" i="81"/>
  <c r="V7" i="81" s="1"/>
  <c r="O9" i="81"/>
  <c r="V9" i="81" s="1"/>
  <c r="O32" i="81"/>
  <c r="V32" i="81" s="1"/>
  <c r="O33" i="81"/>
  <c r="V33" i="81" s="1"/>
  <c r="O37" i="81"/>
  <c r="V37" i="81" s="1"/>
  <c r="O35" i="81"/>
  <c r="V35" i="81" s="1"/>
  <c r="O39" i="81"/>
  <c r="V39" i="81" s="1"/>
  <c r="H42" i="81"/>
  <c r="I42" i="81"/>
  <c r="J42" i="81"/>
  <c r="K42" i="81"/>
  <c r="L42" i="81"/>
  <c r="M42" i="81"/>
  <c r="R42" i="81"/>
  <c r="S42" i="81" s="1"/>
  <c r="U46" i="81"/>
  <c r="O49" i="81"/>
  <c r="V49" i="81" s="1"/>
  <c r="O50" i="81"/>
  <c r="V50" i="81" s="1"/>
  <c r="O51" i="81"/>
  <c r="V51" i="81" s="1"/>
  <c r="O57" i="81"/>
  <c r="V57" i="81" s="1"/>
  <c r="O53" i="81"/>
  <c r="V53" i="81" s="1"/>
  <c r="O58" i="81"/>
  <c r="V58" i="81" s="1"/>
  <c r="O59" i="81"/>
  <c r="V59" i="81" s="1"/>
  <c r="I64" i="81"/>
  <c r="J64" i="81"/>
  <c r="K64" i="81"/>
  <c r="L64" i="81"/>
  <c r="M64" i="81"/>
  <c r="U64" i="81"/>
  <c r="O6" i="79"/>
  <c r="X6" i="79" s="1"/>
  <c r="O7" i="79"/>
  <c r="X7" i="79" s="1"/>
  <c r="B8" i="79"/>
  <c r="C8" i="79"/>
  <c r="D8" i="79"/>
  <c r="E8" i="79"/>
  <c r="F8" i="79"/>
  <c r="G8" i="79"/>
  <c r="H8" i="79"/>
  <c r="I8" i="79"/>
  <c r="J8" i="79"/>
  <c r="K8" i="79"/>
  <c r="L8" i="79"/>
  <c r="M8" i="79"/>
  <c r="W8" i="79"/>
  <c r="W12" i="79"/>
  <c r="O15" i="79"/>
  <c r="X15" i="79" s="1"/>
  <c r="O16" i="79"/>
  <c r="X16" i="79" s="1"/>
  <c r="O17" i="79"/>
  <c r="X17" i="79" s="1"/>
  <c r="O19" i="79"/>
  <c r="X19" i="79" s="1"/>
  <c r="O21" i="79"/>
  <c r="X21" i="79" s="1"/>
  <c r="O26" i="79"/>
  <c r="X26" i="79" s="1"/>
  <c r="O28" i="79"/>
  <c r="X28" i="79" s="1"/>
  <c r="H36" i="79"/>
  <c r="I36" i="79"/>
  <c r="J36" i="79"/>
  <c r="K36" i="79"/>
  <c r="L36" i="79"/>
  <c r="M36" i="79"/>
  <c r="W36" i="79"/>
  <c r="N7" i="79" l="1"/>
  <c r="N6" i="79"/>
  <c r="N5" i="79"/>
  <c r="U8" i="79"/>
  <c r="T8" i="79"/>
  <c r="O31" i="82"/>
  <c r="O58" i="80"/>
  <c r="P8" i="80" s="1"/>
  <c r="O8" i="79"/>
  <c r="X8" i="79" s="1"/>
  <c r="O36" i="79"/>
  <c r="P18" i="79" s="1"/>
  <c r="O64" i="81"/>
  <c r="O42" i="81"/>
  <c r="P24" i="82" l="1"/>
  <c r="P23" i="82"/>
  <c r="P25" i="82"/>
  <c r="P13" i="80"/>
  <c r="P17" i="80"/>
  <c r="P19" i="80"/>
  <c r="P16" i="80"/>
  <c r="P14" i="80"/>
  <c r="P18" i="80"/>
  <c r="P15" i="80"/>
  <c r="P56" i="81"/>
  <c r="P55" i="81"/>
  <c r="P14" i="81"/>
  <c r="P10" i="82"/>
  <c r="P21" i="80"/>
  <c r="P12" i="80"/>
  <c r="P20" i="80"/>
  <c r="P22" i="80"/>
  <c r="P12" i="82"/>
  <c r="P11" i="82"/>
  <c r="P60" i="81"/>
  <c r="P12" i="81"/>
  <c r="P10" i="81"/>
  <c r="P11" i="81"/>
  <c r="N64" i="81"/>
  <c r="P24" i="80"/>
  <c r="P11" i="80"/>
  <c r="P23" i="80"/>
  <c r="P30" i="80"/>
  <c r="P31" i="80"/>
  <c r="P32" i="80"/>
  <c r="P29" i="80"/>
  <c r="P33" i="80"/>
  <c r="P25" i="79"/>
  <c r="P23" i="79"/>
  <c r="P26" i="81"/>
  <c r="P25" i="81"/>
  <c r="P22" i="81"/>
  <c r="P23" i="81"/>
  <c r="P24" i="81"/>
  <c r="P16" i="82"/>
  <c r="P18" i="82"/>
  <c r="P17" i="82"/>
  <c r="P15" i="82"/>
  <c r="P13" i="81"/>
  <c r="P15" i="81"/>
  <c r="P26" i="82"/>
  <c r="P28" i="82"/>
  <c r="P29" i="82"/>
  <c r="P27" i="82"/>
  <c r="P22" i="82"/>
  <c r="P40" i="81"/>
  <c r="P41" i="81"/>
  <c r="P31" i="81"/>
  <c r="P18" i="81"/>
  <c r="P17" i="81"/>
  <c r="P21" i="81"/>
  <c r="P30" i="81"/>
  <c r="P29" i="81"/>
  <c r="P27" i="81"/>
  <c r="P16" i="81"/>
  <c r="P20" i="81"/>
  <c r="P28" i="81"/>
  <c r="P19" i="81"/>
  <c r="P27" i="80"/>
  <c r="P34" i="81"/>
  <c r="P20" i="82"/>
  <c r="V64" i="81"/>
  <c r="X36" i="79"/>
  <c r="P32" i="79"/>
  <c r="N36" i="79"/>
  <c r="N31" i="82"/>
  <c r="N8" i="79"/>
  <c r="P62" i="81"/>
  <c r="P63" i="81"/>
  <c r="P10" i="80"/>
  <c r="P48" i="80"/>
  <c r="P53" i="80"/>
  <c r="P47" i="80"/>
  <c r="P54" i="80"/>
  <c r="P40" i="80"/>
  <c r="P39" i="80"/>
  <c r="P44" i="80"/>
  <c r="P46" i="80"/>
  <c r="P55" i="80"/>
  <c r="P52" i="80"/>
  <c r="P43" i="80"/>
  <c r="P42" i="80"/>
  <c r="P57" i="80"/>
  <c r="P30" i="79"/>
  <c r="P27" i="79"/>
  <c r="P35" i="79"/>
  <c r="P34" i="79"/>
  <c r="P56" i="80"/>
  <c r="P50" i="80"/>
  <c r="P49" i="80"/>
  <c r="N42" i="81"/>
  <c r="P49" i="81"/>
  <c r="P5" i="82"/>
  <c r="P51" i="80"/>
  <c r="P6" i="81"/>
  <c r="P24" i="79"/>
  <c r="P20" i="79"/>
  <c r="P29" i="79"/>
  <c r="P22" i="79"/>
  <c r="P31" i="79"/>
  <c r="P7" i="82"/>
  <c r="P19" i="82"/>
  <c r="P9" i="82"/>
  <c r="P30" i="82"/>
  <c r="P6" i="82"/>
  <c r="P14" i="82"/>
  <c r="P8" i="82"/>
  <c r="P13" i="82"/>
  <c r="P21" i="82"/>
  <c r="P45" i="80"/>
  <c r="P36" i="81"/>
  <c r="P38" i="81"/>
  <c r="P7" i="79"/>
  <c r="P36" i="80"/>
  <c r="P54" i="81"/>
  <c r="P61" i="81"/>
  <c r="P52" i="81"/>
  <c r="P41" i="80"/>
  <c r="P28" i="80"/>
  <c r="P25" i="80"/>
  <c r="P38" i="80"/>
  <c r="P33" i="79"/>
  <c r="P6" i="79"/>
  <c r="P34" i="80"/>
  <c r="P5" i="80"/>
  <c r="P26" i="80"/>
  <c r="P7" i="80"/>
  <c r="P9" i="80"/>
  <c r="P37" i="80"/>
  <c r="P35" i="80"/>
  <c r="P6" i="80"/>
  <c r="P5" i="81"/>
  <c r="P9" i="81"/>
  <c r="P37" i="81"/>
  <c r="P5" i="79"/>
  <c r="P53" i="81"/>
  <c r="P50" i="81"/>
  <c r="P58" i="81"/>
  <c r="P59" i="81"/>
  <c r="P57" i="81"/>
  <c r="P21" i="79"/>
  <c r="P32" i="81"/>
  <c r="P7" i="81"/>
  <c r="P8" i="81"/>
  <c r="P35" i="81"/>
  <c r="P33" i="81"/>
  <c r="P39" i="81"/>
  <c r="P17" i="79"/>
  <c r="P15" i="79"/>
  <c r="P16" i="79"/>
  <c r="P28" i="79"/>
  <c r="P19" i="79"/>
  <c r="P26" i="79"/>
  <c r="P51" i="81"/>
  <c r="P31" i="82" l="1"/>
  <c r="P42" i="81"/>
  <c r="P58" i="80"/>
  <c r="P8" i="79"/>
  <c r="P36" i="79"/>
  <c r="P64" i="81"/>
  <c r="U58" i="80" l="1"/>
  <c r="V58" i="80" s="1"/>
  <c r="U31" i="82" l="1"/>
  <c r="V31" i="82" s="1"/>
  <c r="U42" i="81"/>
  <c r="V42" i="81" s="1"/>
</calcChain>
</file>

<file path=xl/sharedStrings.xml><?xml version="1.0" encoding="utf-8"?>
<sst xmlns="http://schemas.openxmlformats.org/spreadsheetml/2006/main" count="13591" uniqueCount="756">
  <si>
    <t>CLASE</t>
  </si>
  <si>
    <t>Total general</t>
  </si>
  <si>
    <t>MARCA</t>
  </si>
  <si>
    <t>OFICINA</t>
  </si>
  <si>
    <t>CAMIONES</t>
  </si>
  <si>
    <t>MINIBUS,OMNIBUS</t>
  </si>
  <si>
    <t>TRACTOCAMIONES</t>
  </si>
  <si>
    <t>Elaboracion/Fuente :  AAP - SUNARP</t>
  </si>
  <si>
    <t>TOTAL</t>
  </si>
  <si>
    <t>Cuadro 02</t>
  </si>
  <si>
    <t>INMATRICULACION DE VEHICULOS PESADOS, SEGÚN CLASE DE VEHICULO</t>
  </si>
  <si>
    <t>Cuadro 01</t>
  </si>
  <si>
    <t>INMATRICULACION DE VEHICULOS PESADOS, SEGÚN MARCA</t>
  </si>
  <si>
    <t>Cuadro 03</t>
  </si>
  <si>
    <t>INMATRICULACION DE VEHICULOS PESADOS - CLASE DE VEHICULO: "TRACTOCAMIONES", SEGÚN MARCA</t>
  </si>
  <si>
    <t>Cuadro 05</t>
  </si>
  <si>
    <t>INMATRICULACION DE VEHICULOS PESADOS - CLASE DE VEHICULO: "CAMIONES", SEGÚN MARCA</t>
  </si>
  <si>
    <t>Cuadro 04</t>
  </si>
  <si>
    <t>INMATRICULACION DE VEHICULOS PESADOS - CLASE DE VEHICULO: "MINIBUS,OMNIBUS", SEGÚN MARCA</t>
  </si>
  <si>
    <t>MERCEDES BENZ</t>
  </si>
  <si>
    <t>VOLVO</t>
  </si>
  <si>
    <t>HYUNDAI</t>
  </si>
  <si>
    <t>HINO</t>
  </si>
  <si>
    <t>FOTON</t>
  </si>
  <si>
    <t>ISUZU</t>
  </si>
  <si>
    <t>SCANIA</t>
  </si>
  <si>
    <t>INTERNATIONAL</t>
  </si>
  <si>
    <t>VOLKSWAGEN</t>
  </si>
  <si>
    <t>FREIGHTLINER</t>
  </si>
  <si>
    <t>JAC</t>
  </si>
  <si>
    <t>DONGFENG</t>
  </si>
  <si>
    <t>SHACMAN</t>
  </si>
  <si>
    <t>JOYLONG</t>
  </si>
  <si>
    <t>KING LONG</t>
  </si>
  <si>
    <t>SINOTRUK</t>
  </si>
  <si>
    <t>FORLAND</t>
  </si>
  <si>
    <t>YUTONG</t>
  </si>
  <si>
    <t>UD</t>
  </si>
  <si>
    <t>HIGER</t>
  </si>
  <si>
    <t>JMC</t>
  </si>
  <si>
    <t>FAW</t>
  </si>
  <si>
    <t>T-KING</t>
  </si>
  <si>
    <t>KENWORTH</t>
  </si>
  <si>
    <t>GOLDEN DRAGON</t>
  </si>
  <si>
    <t>SITRAK</t>
  </si>
  <si>
    <t>IVECO</t>
  </si>
  <si>
    <t>CAMC</t>
  </si>
  <si>
    <t>KAMA</t>
  </si>
  <si>
    <t>LIMA</t>
  </si>
  <si>
    <t>TRUJILLO</t>
  </si>
  <si>
    <t>AREQUIPA</t>
  </si>
  <si>
    <t>CUSCO</t>
  </si>
  <si>
    <t>JULIACA</t>
  </si>
  <si>
    <t>TACNA</t>
  </si>
  <si>
    <t>HUANCAYO</t>
  </si>
  <si>
    <t>CHICLAYO</t>
  </si>
  <si>
    <t>PIURA</t>
  </si>
  <si>
    <t>CAJAMARCA</t>
  </si>
  <si>
    <t>TARAPOTO</t>
  </si>
  <si>
    <t>HUARAZ</t>
  </si>
  <si>
    <t>CHIMBOTE</t>
  </si>
  <si>
    <t>HUANUCO</t>
  </si>
  <si>
    <t>PUNO</t>
  </si>
  <si>
    <t>MOQUEGUA</t>
  </si>
  <si>
    <t>PUCALLPA</t>
  </si>
  <si>
    <t>FUSO</t>
  </si>
  <si>
    <t>% PART.MES</t>
  </si>
  <si>
    <t>TARMA</t>
  </si>
  <si>
    <t>EURISE</t>
  </si>
  <si>
    <t>INMATRICULACION DE VEHICULOS PESADOS, SEGÚN OFICINA REGISTRAL</t>
  </si>
  <si>
    <t>RAY</t>
  </si>
  <si>
    <t>MAN</t>
  </si>
  <si>
    <t>HOWO</t>
  </si>
  <si>
    <t>Duadro 06</t>
  </si>
  <si>
    <t>Cuadro 08</t>
  </si>
  <si>
    <t>Registro de Placas de Vehículos "Camiones" nuevos por Marca y Modelo</t>
  </si>
  <si>
    <t>MODELO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</si>
  <si>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</si>
  <si>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</si>
  <si>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</si>
  <si>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</si>
  <si>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</si>
  <si>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</si>
  <si>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</si>
  <si>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</si>
  <si>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</si>
  <si>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</si>
  <si>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</si>
  <si>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</si>
  <si>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</si>
  <si>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DF-1718</t>
  </si>
  <si>
    <t>FD250</t>
  </si>
  <si>
    <t>FD800</t>
  </si>
  <si>
    <t>BJ1065VDJD4-F1</t>
  </si>
  <si>
    <t>BJ1065VDJDA-F1</t>
  </si>
  <si>
    <t>BJ1108VEJED-FA</t>
  </si>
  <si>
    <t>BJ3259DLPKB-A1</t>
  </si>
  <si>
    <t>BJ5259GJB00-AA</t>
  </si>
  <si>
    <t>BJ1069VDJDA-F1</t>
  </si>
  <si>
    <t>BJ1126VGPFG-F2</t>
  </si>
  <si>
    <t>AUMARK E 4T BAR</t>
  </si>
  <si>
    <t>CANTER</t>
  </si>
  <si>
    <t>FI</t>
  </si>
  <si>
    <t>FJ</t>
  </si>
  <si>
    <t>FA</t>
  </si>
  <si>
    <t>FM</t>
  </si>
  <si>
    <t>DUTRO</t>
  </si>
  <si>
    <t>GD</t>
  </si>
  <si>
    <t>GH</t>
  </si>
  <si>
    <t>FD</t>
  </si>
  <si>
    <t>EX10</t>
  </si>
  <si>
    <t>HD60</t>
  </si>
  <si>
    <t>EX6</t>
  </si>
  <si>
    <t>EX8</t>
  </si>
  <si>
    <t>FRR</t>
  </si>
  <si>
    <t>FTR34UL-PDPEN</t>
  </si>
  <si>
    <t>FVR34UL-QDPES</t>
  </si>
  <si>
    <t>FVZ34UL-TDPES</t>
  </si>
  <si>
    <t>NLR85L-EE1AYPE</t>
  </si>
  <si>
    <t>NPR75L-HL5VAYPEN</t>
  </si>
  <si>
    <t>NPR75L-KL5VAYPEN</t>
  </si>
  <si>
    <t>NPS75L-HJ5VAYPEN</t>
  </si>
  <si>
    <t>NQR90L-MQ5VAYPEN</t>
  </si>
  <si>
    <t>HFC1040KN</t>
  </si>
  <si>
    <t>HFC1061KN</t>
  </si>
  <si>
    <t>HFC1071KN</t>
  </si>
  <si>
    <t>HFC1083KN</t>
  </si>
  <si>
    <t>HFC3251KN</t>
  </si>
  <si>
    <t>SPRINTER 416</t>
  </si>
  <si>
    <t>AXOR 3131</t>
  </si>
  <si>
    <t>ACCELO 815</t>
  </si>
  <si>
    <t>ATEGO 1419</t>
  </si>
  <si>
    <t>ATEGO 3030</t>
  </si>
  <si>
    <t>ATEGO 1730</t>
  </si>
  <si>
    <t>ATEGO 2430</t>
  </si>
  <si>
    <t>P410 B8X4</t>
  </si>
  <si>
    <t>17.260 DC ROBUST MAN E5</t>
  </si>
  <si>
    <t>17.280 LR MAN E5</t>
  </si>
  <si>
    <t>31.280 DC MAN E5</t>
  </si>
  <si>
    <t>31.390 DC CUMMINS E5</t>
  </si>
  <si>
    <t>9.170 NEW DELIVERY E5</t>
  </si>
  <si>
    <t>FMX 6X4 R</t>
  </si>
  <si>
    <t>FMX 8X4 R</t>
  </si>
  <si>
    <t>VM 4X2 R</t>
  </si>
  <si>
    <t>VM 6X2 R</t>
  </si>
  <si>
    <t>VM 6X4 R</t>
  </si>
  <si>
    <t>VM 8X4 R</t>
  </si>
  <si>
    <t>Cuadro 09</t>
  </si>
  <si>
    <t>Registro de Placas nuevas de Vehículos  "Tracto" nuevos  por Marca y Modelo</t>
  </si>
  <si>
    <t>BJ4269SNFKB-A4</t>
  </si>
  <si>
    <t>114SD</t>
  </si>
  <si>
    <t>NEW CASCADIA</t>
  </si>
  <si>
    <t>R500 A6X4</t>
  </si>
  <si>
    <t>P450 A4X2</t>
  </si>
  <si>
    <t>P450 A6X4</t>
  </si>
  <si>
    <t>FH 6X4 T</t>
  </si>
  <si>
    <t>FM 6X4 T</t>
  </si>
  <si>
    <t>Cuadro  10</t>
  </si>
  <si>
    <t>Registro de Placas de Vehículos "Minibus,Omnibus" nuevos  por marca y modelo (Mayor a 17 Pasajeros)</t>
  </si>
  <si>
    <t xml:space="preserve"> MARCA</t>
  </si>
  <si>
    <t>ROSA</t>
  </si>
  <si>
    <t>FC BUS</t>
  </si>
  <si>
    <t>COUNTY</t>
  </si>
  <si>
    <t>SUNRAY</t>
  </si>
  <si>
    <t>HKL6540C</t>
  </si>
  <si>
    <t>HKL6600C</t>
  </si>
  <si>
    <t>HKL6480C</t>
  </si>
  <si>
    <t>XMQ6552HED4</t>
  </si>
  <si>
    <t>XMQ6600</t>
  </si>
  <si>
    <t>LO 916</t>
  </si>
  <si>
    <t>10.160 OD</t>
  </si>
  <si>
    <t>17.260 OD</t>
  </si>
  <si>
    <t>Cuadro 11</t>
  </si>
  <si>
    <t>Registro de Placas de Vehículos "Pesados" nuevos por Zona Registral I al XIII</t>
  </si>
  <si>
    <t>ZONA REGISTRAL</t>
  </si>
  <si>
    <t>ZONA REGISTRAL N° I</t>
  </si>
  <si>
    <t>ZONA REGISTRAL N° II</t>
  </si>
  <si>
    <t>ZONA REGISTRAL N° IX</t>
  </si>
  <si>
    <t>ZONA REGISTRAL N° V</t>
  </si>
  <si>
    <t>ZONA REGISTRAL N° VI</t>
  </si>
  <si>
    <t>ZONA REGISTRAL N° VII</t>
  </si>
  <si>
    <t>ZONA REGISTRAL N° VIII</t>
  </si>
  <si>
    <t>ZONA REGISTRAL N° X</t>
  </si>
  <si>
    <t>ZONA REGISTRAL N° XII</t>
  </si>
  <si>
    <t>ZONA REGISTRAL N° XIII</t>
  </si>
  <si>
    <t>Cuadro 12</t>
  </si>
  <si>
    <t>Registro de Placas de Vehículos "Pesados" nuevos por Clase y Oficina</t>
  </si>
  <si>
    <t>CAMIONES Y TRACTO</t>
  </si>
  <si>
    <t>Oficina Registral</t>
  </si>
  <si>
    <t>USO VEHICULO</t>
  </si>
  <si>
    <t>CLASE AAP</t>
  </si>
  <si>
    <t>SUB-CLASE</t>
  </si>
  <si>
    <t>CARROCERIA</t>
  </si>
  <si>
    <t>CATEGORIA</t>
  </si>
  <si>
    <t>VERSION</t>
  </si>
  <si>
    <t>ORIGEN</t>
  </si>
  <si>
    <t>COMBUSTIBLE</t>
  </si>
  <si>
    <t>FORMULA RODANTE</t>
  </si>
  <si>
    <t>PBV</t>
  </si>
  <si>
    <t>CILINDRADA</t>
  </si>
  <si>
    <t># ASIENTO</t>
  </si>
  <si>
    <t>AÑO_MOD</t>
  </si>
  <si>
    <t>CHASIS CABINADO</t>
  </si>
  <si>
    <t>N3</t>
  </si>
  <si>
    <t>BRAZIL</t>
  </si>
  <si>
    <t>DIESEL</t>
  </si>
  <si>
    <t>6X4</t>
  </si>
  <si>
    <t>Placa Gubernamental - Vehiculos Livianos y Pesados</t>
  </si>
  <si>
    <t>N2</t>
  </si>
  <si>
    <t>ACCELO 815/37</t>
  </si>
  <si>
    <t>4X2</t>
  </si>
  <si>
    <t>Vehiculos Motorizados para el Transportes de mercancias (Categoria N)</t>
  </si>
  <si>
    <t>BARANDA</t>
  </si>
  <si>
    <t>CHINA</t>
  </si>
  <si>
    <t>D400 121 BAR 4.0T EIV</t>
  </si>
  <si>
    <t>D700L VIP BAR 7.0T EIV</t>
  </si>
  <si>
    <t>FURGON</t>
  </si>
  <si>
    <t>HORMIGONERA</t>
  </si>
  <si>
    <t>8X4</t>
  </si>
  <si>
    <t>VOLQUETE</t>
  </si>
  <si>
    <t>STANDARD</t>
  </si>
  <si>
    <t>JAPAN</t>
  </si>
  <si>
    <t>4 TON</t>
  </si>
  <si>
    <t>5 TON</t>
  </si>
  <si>
    <t>DOBLE CABINA</t>
  </si>
  <si>
    <t>DOBLE CABINA-FULL</t>
  </si>
  <si>
    <t>TDI CRDI EURO IV</t>
  </si>
  <si>
    <t>KOREA, REPUBLIC OF</t>
  </si>
  <si>
    <t>TDI CRDI EURO IV AC</t>
  </si>
  <si>
    <t>STD C/CAB</t>
  </si>
  <si>
    <t>CL</t>
  </si>
  <si>
    <t>3TON</t>
  </si>
  <si>
    <t>4TON</t>
  </si>
  <si>
    <t>5TON</t>
  </si>
  <si>
    <t>4X4</t>
  </si>
  <si>
    <t>FM1AR7A-SGK</t>
  </si>
  <si>
    <t>CAMION</t>
  </si>
  <si>
    <t>MEXICO</t>
  </si>
  <si>
    <t>10TON</t>
  </si>
  <si>
    <t>13TON</t>
  </si>
  <si>
    <t>GERMANY</t>
  </si>
  <si>
    <t>8X2</t>
  </si>
  <si>
    <t>6X2</t>
  </si>
  <si>
    <t>REMOLCADOR</t>
  </si>
  <si>
    <t>NEW CASCADIA 116</t>
  </si>
  <si>
    <t>INDIA</t>
  </si>
  <si>
    <t>P450A4X2NA</t>
  </si>
  <si>
    <t>GNV</t>
  </si>
  <si>
    <t>Vehiculos Particulares ( Categoria M )</t>
  </si>
  <si>
    <t>BUSES Y CHASISES</t>
  </si>
  <si>
    <t>MINIBUS</t>
  </si>
  <si>
    <t>M2C3</t>
  </si>
  <si>
    <t>ARGENTINA</t>
  </si>
  <si>
    <t>M3C3</t>
  </si>
  <si>
    <t>EURO 4</t>
  </si>
  <si>
    <t>DELUXE</t>
  </si>
  <si>
    <t>OMNIBUS INTERURBANO</t>
  </si>
  <si>
    <t>CHASIS MOTORIZADO</t>
  </si>
  <si>
    <t>M3</t>
  </si>
  <si>
    <t>LO 916/48</t>
  </si>
  <si>
    <t>LARGO-SEMI FULL</t>
  </si>
  <si>
    <t>SUNRAY 18 ASIENTOS 6MT 2.7 CTI EV</t>
  </si>
  <si>
    <t>SD500 VIP BAR 6.0T EIV</t>
  </si>
  <si>
    <t>STD</t>
  </si>
  <si>
    <t>20TON</t>
  </si>
  <si>
    <t>AXOR 3131/48</t>
  </si>
  <si>
    <t>COLOMBIA</t>
  </si>
  <si>
    <t>2P2NM1</t>
  </si>
  <si>
    <t>PANEL</t>
  </si>
  <si>
    <t>CISTERNA</t>
  </si>
  <si>
    <t>ATEGO 1419/54</t>
  </si>
  <si>
    <t>BJ3043D8JB5-1</t>
  </si>
  <si>
    <t>HOMAN</t>
  </si>
  <si>
    <t>BJ3122DEPFA-G2</t>
  </si>
  <si>
    <t>5 TON FULL</t>
  </si>
  <si>
    <t>D400 121 CHC 4.0T EIV</t>
  </si>
  <si>
    <t>ATEGO 3030/63</t>
  </si>
  <si>
    <t>ATEGO 2430/54</t>
  </si>
  <si>
    <t>P410B8X4HZ</t>
  </si>
  <si>
    <t>P450A6X4NA</t>
  </si>
  <si>
    <t>BJ6608B1DDA-AB</t>
  </si>
  <si>
    <t>SUNRAY 17 ASIENTOS 6MT 2.7 CTI EV</t>
  </si>
  <si>
    <t>ZZ1257N3647N1</t>
  </si>
  <si>
    <t>AROCS 3345K</t>
  </si>
  <si>
    <t>HFC3251KN 6X4 VOL 15M3 CRDI 430HP EV</t>
  </si>
  <si>
    <t>CARRYING PLUS</t>
  </si>
  <si>
    <t>4.0T SC DR</t>
  </si>
  <si>
    <t>RAM</t>
  </si>
  <si>
    <t>LT625 6X4</t>
  </si>
  <si>
    <t>SX42584Y344C</t>
  </si>
  <si>
    <t>HOWO T7H</t>
  </si>
  <si>
    <t>SANY</t>
  </si>
  <si>
    <t>PERU</t>
  </si>
  <si>
    <t>BARANDA 4X2</t>
  </si>
  <si>
    <t>REMOLCADOR 6X4</t>
  </si>
  <si>
    <t>VOLQUETE 6X4</t>
  </si>
  <si>
    <t>CHM 4X2</t>
  </si>
  <si>
    <t>CLAVE 7</t>
  </si>
  <si>
    <t>YBL6750D</t>
  </si>
  <si>
    <t>JAEN</t>
  </si>
  <si>
    <t>ICA</t>
  </si>
  <si>
    <t>QINGLING</t>
  </si>
  <si>
    <t>SINOTRUK HOWO</t>
  </si>
  <si>
    <t>CNJ</t>
  </si>
  <si>
    <t>CA3250P25K15L3T1E5A80</t>
  </si>
  <si>
    <t>AUMARK E 3T BAR</t>
  </si>
  <si>
    <t>AUMARK E 4T CH</t>
  </si>
  <si>
    <t>BJ1356VRPHP-AA</t>
  </si>
  <si>
    <t>BJ5319GJB-AF</t>
  </si>
  <si>
    <t>AUMARK E 3T CB</t>
  </si>
  <si>
    <t>EX11</t>
  </si>
  <si>
    <t>HFC1040KRN-2</t>
  </si>
  <si>
    <t>N520</t>
  </si>
  <si>
    <t>KMC1035D4</t>
  </si>
  <si>
    <t>ATEGO 1726</t>
  </si>
  <si>
    <t>AXOR 3341</t>
  </si>
  <si>
    <t>ATEGO 1721</t>
  </si>
  <si>
    <t>SX32586W354C</t>
  </si>
  <si>
    <t>SX331852306C</t>
  </si>
  <si>
    <t>ZZ3168G3415E1</t>
  </si>
  <si>
    <t>ZZ1147G471DE1</t>
  </si>
  <si>
    <t>CA4250P25K15T1NE5A80</t>
  </si>
  <si>
    <t>T880</t>
  </si>
  <si>
    <t>NEW ACTROS 2645LS</t>
  </si>
  <si>
    <t>G410 A6X4</t>
  </si>
  <si>
    <t>ZZ4256V384HE1C</t>
  </si>
  <si>
    <t>TOANO</t>
  </si>
  <si>
    <t>DAILY MINIBUS</t>
  </si>
  <si>
    <t>10.190</t>
  </si>
  <si>
    <t>B450R 6X2</t>
  </si>
  <si>
    <t>ZONA REGISTRAL N° III</t>
  </si>
  <si>
    <t>ZONA REGISTRAL N° XI</t>
  </si>
  <si>
    <t>D400DC VIP 120 HP BAR 4.0T DOB CAB</t>
  </si>
  <si>
    <t>SIN VERSION</t>
  </si>
  <si>
    <t>ATEGO 1721/54</t>
  </si>
  <si>
    <t>OMNIBUS URBANO</t>
  </si>
  <si>
    <t>6.5TON</t>
  </si>
  <si>
    <t>A6 - SEMIFULL</t>
  </si>
  <si>
    <t>GASOLINA</t>
  </si>
  <si>
    <t>ATEGO 1730/36</t>
  </si>
  <si>
    <t>SPRINTER 416CDI/F3665</t>
  </si>
  <si>
    <t>EURO 5 - DC</t>
  </si>
  <si>
    <t>DF-1718 C4</t>
  </si>
  <si>
    <t>CHC 4X2</t>
  </si>
  <si>
    <t>CHC 6X4</t>
  </si>
  <si>
    <t>JH6 400 GN</t>
  </si>
  <si>
    <t>G410A6X4NA</t>
  </si>
  <si>
    <t>GNL</t>
  </si>
  <si>
    <t>MINIBUS 50-170</t>
  </si>
  <si>
    <t>BX 8 EURO IV</t>
  </si>
  <si>
    <t>BRASIL</t>
  </si>
  <si>
    <t>KIA</t>
  </si>
  <si>
    <t>YUEJIN</t>
  </si>
  <si>
    <t>CA1121P40K2L5E5A85</t>
  </si>
  <si>
    <t>BJ1041V8ADA-F1</t>
  </si>
  <si>
    <t>BJ1088VFJEA-F1</t>
  </si>
  <si>
    <t>BJ1226VMPHN-AA</t>
  </si>
  <si>
    <t>NPR75L-KL5VWYPEN</t>
  </si>
  <si>
    <t>KMC1067D4</t>
  </si>
  <si>
    <t>AROCS 4151K</t>
  </si>
  <si>
    <t>AXOR 3344</t>
  </si>
  <si>
    <t>G540 B8X4</t>
  </si>
  <si>
    <t>P360 B6X2</t>
  </si>
  <si>
    <t>P450 B6X4</t>
  </si>
  <si>
    <t>ZZ3168F3415E1</t>
  </si>
  <si>
    <t>26.280 LR MAN E5</t>
  </si>
  <si>
    <t>O-500 RS</t>
  </si>
  <si>
    <t>D700L VIP CHC 7.0T EIV</t>
  </si>
  <si>
    <t>SWEDEN</t>
  </si>
  <si>
    <t>LUXURY</t>
  </si>
  <si>
    <t>A4 ESTANDAR</t>
  </si>
  <si>
    <t>GH8JM7A-SGK</t>
  </si>
  <si>
    <t>PICK UP</t>
  </si>
  <si>
    <t>UNITED STATES</t>
  </si>
  <si>
    <t>DC</t>
  </si>
  <si>
    <t>1828 R 4X2 CHC - EURO 5</t>
  </si>
  <si>
    <t>SD800 VIP CHC 9.0T CRDI EIV</t>
  </si>
  <si>
    <t>P450B6X4HZ</t>
  </si>
  <si>
    <t>P360B6X2NA</t>
  </si>
  <si>
    <t>G540B8X4HZ</t>
  </si>
  <si>
    <t>HOWO T5G</t>
  </si>
  <si>
    <t>KOREA</t>
  </si>
  <si>
    <t>2WXKKB</t>
  </si>
  <si>
    <t>EURO 5</t>
  </si>
  <si>
    <t>AXOR 3344/48</t>
  </si>
  <si>
    <t>HV607 SBA HD 6X4</t>
  </si>
  <si>
    <t>SX1258MR564C</t>
  </si>
  <si>
    <t>SX32586W384C</t>
  </si>
  <si>
    <t>R540 A6X4</t>
  </si>
  <si>
    <t>K0 E4</t>
  </si>
  <si>
    <t>O-500 RSD</t>
  </si>
  <si>
    <t>BJ6609U2DDA-XA</t>
  </si>
  <si>
    <t>Placas de Emergencia - Vehiculos Livianos y Pesados</t>
  </si>
  <si>
    <t>HOWO TX</t>
  </si>
  <si>
    <t>R540A6X4NA</t>
  </si>
  <si>
    <t>A6 SEMIFULL</t>
  </si>
  <si>
    <t>1.0</t>
  </si>
  <si>
    <t>SANITARIO</t>
  </si>
  <si>
    <t>AYACUCHO</t>
  </si>
  <si>
    <t>AXOR 2641LS</t>
  </si>
  <si>
    <t>ZZ3048D3214D143</t>
  </si>
  <si>
    <t>ZZ4257V344HE1</t>
  </si>
  <si>
    <t>JH6</t>
  </si>
  <si>
    <t>R500A6X4NA</t>
  </si>
  <si>
    <t>O-500 RSD 2441</t>
  </si>
  <si>
    <t>MF 100</t>
  </si>
  <si>
    <t>K450C B6X2*4</t>
  </si>
  <si>
    <t>HOWO G5X</t>
  </si>
  <si>
    <t>4 TON FULL</t>
  </si>
  <si>
    <t>EURO 5 - 5TON</t>
  </si>
  <si>
    <t>SINOTRUK HOMAN</t>
  </si>
  <si>
    <t>EURO 5 - 4TON</t>
  </si>
  <si>
    <t>X3000</t>
  </si>
  <si>
    <t>EURO 5 - 3.6 TON</t>
  </si>
  <si>
    <t>SX33186W306C</t>
  </si>
  <si>
    <t>EURO 5 - 6TON</t>
  </si>
  <si>
    <t>ZZ3257V364HE1</t>
  </si>
  <si>
    <t>FMX11 4X2 R</t>
  </si>
  <si>
    <t>917 CHC LONG EURO 5</t>
  </si>
  <si>
    <t>4X2 STD</t>
  </si>
  <si>
    <t>4.0T DC</t>
  </si>
  <si>
    <t>1217 CHC LONG - EURO 5</t>
  </si>
  <si>
    <t>AUTOMATIZADO</t>
  </si>
  <si>
    <t>JH6 460 6X4</t>
  </si>
  <si>
    <t>HOWO H3W</t>
  </si>
  <si>
    <t>R540A6X4HA</t>
  </si>
  <si>
    <t>VANCHE</t>
  </si>
  <si>
    <t>FK</t>
  </si>
  <si>
    <t>ZZ3257N364GE1</t>
  </si>
  <si>
    <t>TGS 40.480 6x4 BB CH</t>
  </si>
  <si>
    <t>ZZ3317V286GC1</t>
  </si>
  <si>
    <t>ZZ4257V384HE1C</t>
  </si>
  <si>
    <t>HOHAN N7</t>
  </si>
  <si>
    <t>POLAND</t>
  </si>
  <si>
    <t>SX5310GJBMB6</t>
  </si>
  <si>
    <t>SX42585Y344C</t>
  </si>
  <si>
    <t>COUNTY BX</t>
  </si>
  <si>
    <t>TX 440</t>
  </si>
  <si>
    <t>Enero</t>
  </si>
  <si>
    <t>EQ1160GD5NJ</t>
  </si>
  <si>
    <t>HFC3040KN</t>
  </si>
  <si>
    <t>DFH4271</t>
  </si>
  <si>
    <t>KINGRUN 22 - 260 GNC</t>
  </si>
  <si>
    <t>SUPER EVOLUTION 520 AMT 6X4 SS</t>
  </si>
  <si>
    <t>Var. %  Ene '25 vs Dic '24</t>
  </si>
  <si>
    <t>Var. %  Ene '25 vs Ene '24</t>
  </si>
  <si>
    <t>ACUMULADO
 2024</t>
  </si>
  <si>
    <t>MAXUS</t>
  </si>
  <si>
    <t>HOWO MAX</t>
  </si>
  <si>
    <t>IVECO ASTRA</t>
  </si>
  <si>
    <t>FORD</t>
  </si>
  <si>
    <t>JIANGTE</t>
  </si>
  <si>
    <t>PLANET BUSES</t>
  </si>
  <si>
    <t>VOLARE</t>
  </si>
  <si>
    <t>WISU</t>
  </si>
  <si>
    <t>JIV</t>
  </si>
  <si>
    <t>Var. %
ACUM  25/24</t>
  </si>
  <si>
    <t>ACUMULADO 
2025</t>
  </si>
  <si>
    <t>% Part ACUM 
 2025</t>
  </si>
  <si>
    <t>DF-814</t>
  </si>
  <si>
    <t>DFH5180</t>
  </si>
  <si>
    <t>DFH1140B</t>
  </si>
  <si>
    <t>CA5250P25K15L3T1E5A80</t>
  </si>
  <si>
    <t>CA1070P40K50L1E5A84</t>
  </si>
  <si>
    <t>CA1120P28K38L4E5A80</t>
  </si>
  <si>
    <t>F-350</t>
  </si>
  <si>
    <t>F-450</t>
  </si>
  <si>
    <t>F300NL</t>
  </si>
  <si>
    <t>F1100 CH</t>
  </si>
  <si>
    <t>F500S VIP CHC</t>
  </si>
  <si>
    <t>F1300L CH</t>
  </si>
  <si>
    <t>F400 VIP CB</t>
  </si>
  <si>
    <t>F400 VIP</t>
  </si>
  <si>
    <t>F400VIP DC</t>
  </si>
  <si>
    <t>FD800N</t>
  </si>
  <si>
    <t>BJ1186VLPHK-AA</t>
  </si>
  <si>
    <t>BJ3259DLPKE-A1</t>
  </si>
  <si>
    <t>BJ3319DNPKJ-A3</t>
  </si>
  <si>
    <t>BJ1099VEJED-FA</t>
  </si>
  <si>
    <t>BJ3319DNPKC-6F</t>
  </si>
  <si>
    <t>BJ3259DMPKE-E4</t>
  </si>
  <si>
    <t>BJ1065VDJBA-2A</t>
  </si>
  <si>
    <t>4M3 CUMMINS</t>
  </si>
  <si>
    <t>BJ5311GJB-MD</t>
  </si>
  <si>
    <t>FC</t>
  </si>
  <si>
    <t>ZZ1168F5215E1</t>
  </si>
  <si>
    <t>ZZ1168F4715E1</t>
  </si>
  <si>
    <t>ZZ1252N4640F</t>
  </si>
  <si>
    <t>ZZ1257V384GE1</t>
  </si>
  <si>
    <t>WP12460E62</t>
  </si>
  <si>
    <t>HD9 64.48</t>
  </si>
  <si>
    <t>HD9 84.52</t>
  </si>
  <si>
    <t>HFC1055KN</t>
  </si>
  <si>
    <t>HFC1120KN</t>
  </si>
  <si>
    <t>HFC1161KR1ZT</t>
  </si>
  <si>
    <t>HFC3126</t>
  </si>
  <si>
    <t>HFC1251KN</t>
  </si>
  <si>
    <t>CLW5120XLC6</t>
  </si>
  <si>
    <t>KMC1067P4</t>
  </si>
  <si>
    <t>TOURING</t>
  </si>
  <si>
    <t>KMC5067XXYP4</t>
  </si>
  <si>
    <t>X63</t>
  </si>
  <si>
    <t>KMC1042P3</t>
  </si>
  <si>
    <t>AROCS 4142K</t>
  </si>
  <si>
    <t>ATEGO 2730</t>
  </si>
  <si>
    <t>AROCS 4851K</t>
  </si>
  <si>
    <t>G500 B6X4</t>
  </si>
  <si>
    <t>G540 B6X4</t>
  </si>
  <si>
    <t>P320 B6X2</t>
  </si>
  <si>
    <t>P360 B6X4</t>
  </si>
  <si>
    <t>P410 B6X4</t>
  </si>
  <si>
    <t>P450 B8X4</t>
  </si>
  <si>
    <t>R540 B6X4</t>
  </si>
  <si>
    <t>G360 B6X2</t>
  </si>
  <si>
    <t>SX5168ZYSMR461C</t>
  </si>
  <si>
    <t>SX3318DV306C</t>
  </si>
  <si>
    <t>SX1258MV564C</t>
  </si>
  <si>
    <t>SX5258GJB6R384C</t>
  </si>
  <si>
    <t>SX5258GJB6R364C</t>
  </si>
  <si>
    <t>SX31888J401C</t>
  </si>
  <si>
    <t>SX325862354C</t>
  </si>
  <si>
    <t>EHY5253ZYSB</t>
  </si>
  <si>
    <t>ZZ3048C2813D145</t>
  </si>
  <si>
    <t>ZZ3168E3314D143</t>
  </si>
  <si>
    <t>ZZ3255N3846E1</t>
  </si>
  <si>
    <t>ZZ5337THBN464GE1</t>
  </si>
  <si>
    <t>ZZ5357TXFV464ME1</t>
  </si>
  <si>
    <t>ZZ5237N521GE1</t>
  </si>
  <si>
    <t>ZZ3168F3415F1</t>
  </si>
  <si>
    <t>ZZ1167M561GE1</t>
  </si>
  <si>
    <t>ZZ3315N2866B1</t>
  </si>
  <si>
    <t>ZZ1317N306GF1</t>
  </si>
  <si>
    <t>ZZ3315V3266E1</t>
  </si>
  <si>
    <t>ZZ3316V286HE1</t>
  </si>
  <si>
    <t>ZZ1257V384GB1</t>
  </si>
  <si>
    <t>ZZ1317V466JE1</t>
  </si>
  <si>
    <t>ZB1032VSD2L</t>
  </si>
  <si>
    <t>CRONER LKE</t>
  </si>
  <si>
    <t>CRONER MKE</t>
  </si>
  <si>
    <t>CRONER PKE</t>
  </si>
  <si>
    <t>11.180 CUM E5 4X4</t>
  </si>
  <si>
    <t>FH 6X4 R</t>
  </si>
  <si>
    <t>FM 66R</t>
  </si>
  <si>
    <t>KMC1165P5</t>
  </si>
  <si>
    <t>JDF5160GSSE6</t>
  </si>
  <si>
    <t>CA4250P26K15T1E5A80</t>
  </si>
  <si>
    <t>CA4250P25K2T1E5A80</t>
  </si>
  <si>
    <t>CA4250P77K25T1E5</t>
  </si>
  <si>
    <t>CA4252P25K15T1NE6A80</t>
  </si>
  <si>
    <t>CA4254P25K15T1NE6A80</t>
  </si>
  <si>
    <t>BJ4189SLFKA-A4</t>
  </si>
  <si>
    <t>BJ4259SMFKB-AB</t>
  </si>
  <si>
    <t>BJ4269SNFKB-1A</t>
  </si>
  <si>
    <t>HV613 SBA 6X4</t>
  </si>
  <si>
    <t>NEW ACTROS 2648LS</t>
  </si>
  <si>
    <t>R450 A6X4</t>
  </si>
  <si>
    <t>R550 A6X4</t>
  </si>
  <si>
    <t>S550 A6X4</t>
  </si>
  <si>
    <t>SX4258GV404T</t>
  </si>
  <si>
    <t>SX4258Y4344C</t>
  </si>
  <si>
    <t>SX4255H3K49B3640</t>
  </si>
  <si>
    <t>SX42595X384TL</t>
  </si>
  <si>
    <t>ZZ4257V424KE1CK</t>
  </si>
  <si>
    <t>ZZ4257V344HB1</t>
  </si>
  <si>
    <t>ZZ4257V344JB1R</t>
  </si>
  <si>
    <t>ZZ4257V424KF1L</t>
  </si>
  <si>
    <t>FMX 6X4 T</t>
  </si>
  <si>
    <t>BJ6670BF01A</t>
  </si>
  <si>
    <t>BJ6730</t>
  </si>
  <si>
    <t>MF100</t>
  </si>
  <si>
    <t>H350</t>
  </si>
  <si>
    <t>BX8</t>
  </si>
  <si>
    <t>BX11</t>
  </si>
  <si>
    <t>170S28</t>
  </si>
  <si>
    <t>150S21</t>
  </si>
  <si>
    <t>KINGO 20</t>
  </si>
  <si>
    <t>KINGO D17</t>
  </si>
  <si>
    <t>XMQ6130E</t>
  </si>
  <si>
    <t>XMQ6127G</t>
  </si>
  <si>
    <t>XMQ6900E</t>
  </si>
  <si>
    <t>V90</t>
  </si>
  <si>
    <t>EV90</t>
  </si>
  <si>
    <t>OF 1724</t>
  </si>
  <si>
    <t>OF 1730</t>
  </si>
  <si>
    <t>OF-1724</t>
  </si>
  <si>
    <t>SPRINTER 514</t>
  </si>
  <si>
    <t>SPRINTER 414</t>
  </si>
  <si>
    <t>OF 1721</t>
  </si>
  <si>
    <t>F 310 B4X2</t>
  </si>
  <si>
    <t>K410C B4X2</t>
  </si>
  <si>
    <t>K450C B6X2</t>
  </si>
  <si>
    <t>VOLARE V8L</t>
  </si>
  <si>
    <t>VW 17.230 OD</t>
  </si>
  <si>
    <t>10.160 OD D CUM E5</t>
  </si>
  <si>
    <t>B270F 4X2</t>
  </si>
  <si>
    <t>B380R 4X2</t>
  </si>
  <si>
    <t>SCH6430</t>
  </si>
  <si>
    <t>ZK6760DC</t>
  </si>
  <si>
    <t>ZK6860D</t>
  </si>
  <si>
    <t>ZK6127HQ</t>
  </si>
  <si>
    <t>ZK6117H</t>
  </si>
  <si>
    <t>ZK6907H</t>
  </si>
  <si>
    <t>ZK6947HN</t>
  </si>
  <si>
    <t>ZK6120N</t>
  </si>
  <si>
    <t>ZK6127HN</t>
  </si>
  <si>
    <t>ZK6138BEVQ</t>
  </si>
  <si>
    <t>ZK6138H</t>
  </si>
  <si>
    <t>QL1110ANPACY-PW35A</t>
  </si>
  <si>
    <t>QL11009KARY</t>
  </si>
  <si>
    <t>P-OMN-URB</t>
  </si>
  <si>
    <t>ZKJ6600DP</t>
  </si>
  <si>
    <t>CARROCERIA_INM</t>
  </si>
  <si>
    <t>ENE</t>
  </si>
  <si>
    <t>COMPACTADOR</t>
  </si>
  <si>
    <t>BJ1046V9JDA-53</t>
  </si>
  <si>
    <t>SD400 VIP BAR 5.0T EIV 154 HP</t>
  </si>
  <si>
    <t>SD800 VIP BAR 9.0T CRDI EIV</t>
  </si>
  <si>
    <t>FURGON ISOTERMICO</t>
  </si>
  <si>
    <t>BOMBA HORMIGONERA</t>
  </si>
  <si>
    <t>D400 121 FUR 4.0T EIV</t>
  </si>
  <si>
    <t>FURGON 4X2</t>
  </si>
  <si>
    <t>ITALY</t>
  </si>
  <si>
    <t>CISTERNA COMBUSTIBLES</t>
  </si>
  <si>
    <t>BJ1069VDJEA-F1</t>
  </si>
  <si>
    <t>MIINIDUMPER 3 M</t>
  </si>
  <si>
    <t>JH6 460 6X4 V</t>
  </si>
  <si>
    <t>VOLQUETE 4X2</t>
  </si>
  <si>
    <t>AUXILIO MECANICO</t>
  </si>
  <si>
    <t>EURO 5 - 4X4</t>
  </si>
  <si>
    <t>CARGO 917 CHC LONG EURO 5</t>
  </si>
  <si>
    <t>SD400 VIP CHC 5.0T EIV 154 HP</t>
  </si>
  <si>
    <t>M400 CHASIS</t>
  </si>
  <si>
    <t>HFC1120KN CHC 10.8T 180HP EIV AC</t>
  </si>
  <si>
    <t>HFC1161KR 4X2 CHC 14.8T CRDI 285HP</t>
  </si>
  <si>
    <t>ATEGO 1726/54</t>
  </si>
  <si>
    <t>THAILAND</t>
  </si>
  <si>
    <t>CAMION GRUA</t>
  </si>
  <si>
    <t>AXOR 3341/48</t>
  </si>
  <si>
    <t>P410B6X4HZ</t>
  </si>
  <si>
    <t>P450B8X4HZ</t>
  </si>
  <si>
    <t>G500B6X4HZ</t>
  </si>
  <si>
    <t>ELEVADOR</t>
  </si>
  <si>
    <t>SD500 VIP CHC 6.0T EIV</t>
  </si>
  <si>
    <t>FURGON FRIGORIFICO</t>
  </si>
  <si>
    <t>INTERCAMBIADOR</t>
  </si>
  <si>
    <t>OTROS USOS ESPECIALES</t>
  </si>
  <si>
    <t>PLATAFORMA</t>
  </si>
  <si>
    <t>AXOR 2641LS 6X4</t>
  </si>
  <si>
    <t>AROCS 4851K TRC</t>
  </si>
  <si>
    <t>JH6 460 GNL 6X4 AMT</t>
  </si>
  <si>
    <t>R500A6X4HA</t>
  </si>
  <si>
    <t>SPRINTER 414CDI/C4325</t>
  </si>
  <si>
    <t>SPRINTER 514CDI/C4325</t>
  </si>
  <si>
    <t>OF 1730/59</t>
  </si>
  <si>
    <t>O-500 RS 1945</t>
  </si>
  <si>
    <t>TE COLECTIVO</t>
  </si>
  <si>
    <t>+RETARDER EURO 5</t>
  </si>
  <si>
    <t>EURO IV</t>
  </si>
  <si>
    <t>GRUA</t>
  </si>
  <si>
    <t>A6 FULL EQUIPO DELUXE</t>
  </si>
  <si>
    <t>BJ1183VKPED-FA</t>
  </si>
  <si>
    <t>FULL EQUIPO</t>
  </si>
  <si>
    <t>HOHAN</t>
  </si>
  <si>
    <t>V6 FULL EQUIPO</t>
  </si>
  <si>
    <t>KINGRUN 20L - 220</t>
  </si>
  <si>
    <t>PASAJEROS EURO IV</t>
  </si>
  <si>
    <t>VIET NAM</t>
  </si>
  <si>
    <t>S/V</t>
  </si>
  <si>
    <t>A6 FULL EQUIPO</t>
  </si>
  <si>
    <t>A5-ESTANDAR</t>
  </si>
  <si>
    <t>A6 ESTANDAR</t>
  </si>
  <si>
    <t>A6 -ESTANDAR</t>
  </si>
  <si>
    <t>Categorias L1, L2, L3 y L4</t>
  </si>
  <si>
    <t>COMPACTADOR 6X4</t>
  </si>
  <si>
    <t>NO CORRESPONDE</t>
  </si>
  <si>
    <t>UNITED KINGDOM</t>
  </si>
  <si>
    <t>A 180</t>
  </si>
  <si>
    <t>AMBULANCIA</t>
  </si>
  <si>
    <t>ELECTRICO</t>
  </si>
  <si>
    <t>TIGER VR 3300</t>
  </si>
  <si>
    <t>TX400</t>
  </si>
  <si>
    <t>6X6</t>
  </si>
  <si>
    <t>TIGER VR F 3300</t>
  </si>
  <si>
    <t>FURGON FRIGORIFICO 4X2</t>
  </si>
  <si>
    <t>TX310</t>
  </si>
  <si>
    <t>HORMIGONERA 6X4</t>
  </si>
  <si>
    <t>TX350</t>
  </si>
  <si>
    <t>HOWO TX -400</t>
  </si>
  <si>
    <t>CARGO</t>
  </si>
  <si>
    <t>JH6 460</t>
  </si>
  <si>
    <t>HFC3126P MVOL 7M3 140HP EIV</t>
  </si>
  <si>
    <t>HOWO TX -440</t>
  </si>
  <si>
    <t>HOWO 8M│</t>
  </si>
  <si>
    <t>HOWO TX-440</t>
  </si>
  <si>
    <t>DF-814 C5 GNC</t>
  </si>
  <si>
    <t>LATINA</t>
  </si>
  <si>
    <t>KINGRUN 18 - 210</t>
  </si>
  <si>
    <t>P360B6X4NZ</t>
  </si>
  <si>
    <t>P320B6X2NA</t>
  </si>
  <si>
    <t>G360B6X2NA</t>
  </si>
  <si>
    <t>G540B6X4HZ</t>
  </si>
  <si>
    <t>P360B6X4HZ</t>
  </si>
  <si>
    <t>BJ5185XXY-FD</t>
  </si>
  <si>
    <t>ATEGO 2730/48</t>
  </si>
  <si>
    <t>PORTA TROPAS</t>
  </si>
  <si>
    <t>TANQUE ISOTERMICO</t>
  </si>
  <si>
    <t>JH6 430 GN</t>
  </si>
  <si>
    <t>JH6 460 GNC 6X4 AMT</t>
  </si>
  <si>
    <t>REMOLCADO 6X4</t>
  </si>
  <si>
    <t>R450A6X4NA</t>
  </si>
  <si>
    <t>R550A6X4NA</t>
  </si>
  <si>
    <t>S550A6X4NA</t>
  </si>
  <si>
    <t>MAX-E 460</t>
  </si>
  <si>
    <t>HOWO TH7</t>
  </si>
  <si>
    <t>DUAL GNL</t>
  </si>
  <si>
    <t>SINVERSION</t>
  </si>
  <si>
    <t>4X4 EJECUTIVO</t>
  </si>
  <si>
    <t>6130E</t>
  </si>
  <si>
    <t>O-500 RSD 2448</t>
  </si>
  <si>
    <t>OMNIBUS INTERURBANO 62 AS</t>
  </si>
  <si>
    <t>2WXKSB</t>
  </si>
  <si>
    <t>OF 1721/59</t>
  </si>
  <si>
    <t>OMNIBUS</t>
  </si>
  <si>
    <t>OMNIBUS 42 AS</t>
  </si>
  <si>
    <t>CHASIS</t>
  </si>
  <si>
    <t>OF-1724/59</t>
  </si>
  <si>
    <t>OF 1724/59</t>
  </si>
  <si>
    <t>B/C EURO IV</t>
  </si>
  <si>
    <t>EURO V</t>
  </si>
  <si>
    <t>NPR BUS</t>
  </si>
  <si>
    <t>BJ3184DKPFA-01</t>
  </si>
  <si>
    <t>BJ1043V9JBA-BG</t>
  </si>
  <si>
    <t>4269SNFKB-1ATA01</t>
  </si>
  <si>
    <t>MINIBUS 11 AS</t>
  </si>
  <si>
    <t>HOWO T7H -440</t>
  </si>
  <si>
    <t>SPRINTER 414CDI/C3665</t>
  </si>
  <si>
    <t>BJ1049V9JD6-C</t>
  </si>
  <si>
    <t>MIXER</t>
  </si>
  <si>
    <t>SUPER DUTY</t>
  </si>
  <si>
    <t>X-5000</t>
  </si>
  <si>
    <t>HOWO 480</t>
  </si>
  <si>
    <t>EURO 5 - 6TON CON AIRBAG</t>
  </si>
  <si>
    <t>DRAGON V 160 4X2 CH</t>
  </si>
  <si>
    <t>JK6 185</t>
  </si>
  <si>
    <t>R540B6X4HZ</t>
  </si>
  <si>
    <t>JH6 460  6X4 CHASIS</t>
  </si>
  <si>
    <t>JH6 500 6X4 AMT SS</t>
  </si>
  <si>
    <t>4269SNFKB-A4TA13</t>
  </si>
  <si>
    <t>R550A6X4HA</t>
  </si>
  <si>
    <t>WINDOW VAN</t>
  </si>
  <si>
    <t>TE COLECTIVO D</t>
  </si>
  <si>
    <t>EURO 6</t>
  </si>
  <si>
    <t>CHASIS 12M GNV</t>
  </si>
  <si>
    <t>CAMION LAVADOR 6X6</t>
  </si>
  <si>
    <t>N2SC</t>
  </si>
  <si>
    <t>HFC1251KN 6X4 25T 430HP 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</si>
</sst>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2"/>
      <name val="Arial"/>
      <family val="2"/>
    </font>
    <font>
      <b/>
      <sz val="12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Calibri"/>
      <family val="2"/>
    </font>
    <font>
      <b/>
      <sz val="14"/>
      <color indexed="9"/>
      <name val="Calibri"/>
      <family val="2"/>
    </font>
    <font>
      <b/>
      <sz val="13"/>
      <color indexed="9"/>
      <name val="Calibri"/>
      <family val="2"/>
    </font>
    <font>
      <b/>
      <sz val="8"/>
      <color indexed="9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sz val="10"/>
      <color rgb="FFFFFF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">
    <xf numFmtId="0" fontId="0" fillId="0" borderId="0"/>
    <xf numFmtId="168" fontId="43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36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36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36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36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36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36" fillId="5" borderId="0" applyNumberFormat="0" applyBorder="0" applyAlignment="0" applyProtection="0"/>
    <xf numFmtId="0" fontId="13" fillId="20" borderId="0" applyNumberFormat="0" applyBorder="0" applyAlignment="0" applyProtection="0"/>
    <xf numFmtId="169" fontId="33" fillId="0" borderId="0" applyFont="0" applyFill="0" applyBorder="0" applyAlignment="0" applyProtection="0">
      <alignment horizontal="center" vertical="center"/>
    </xf>
    <xf numFmtId="169" fontId="30" fillId="0" borderId="0" applyFont="0" applyFill="0" applyBorder="0" applyAlignment="0" applyProtection="0">
      <alignment horizontal="center"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5" fillId="3" borderId="2" applyNumberFormat="0" applyAlignment="0" applyProtection="0"/>
    <xf numFmtId="0" fontId="15" fillId="11" borderId="1" applyNumberFormat="0" applyAlignment="0" applyProtection="0"/>
    <xf numFmtId="170" fontId="43" fillId="0" borderId="0" applyFont="0" applyFill="0" applyBorder="0" applyAlignment="0" applyProtection="0">
      <alignment horizontal="center" vertical="center"/>
    </xf>
    <xf numFmtId="0" fontId="16" fillId="21" borderId="3" applyNumberFormat="0" applyAlignment="0" applyProtection="0"/>
    <xf numFmtId="0" fontId="22" fillId="19" borderId="4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171" fontId="4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36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36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6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36" fillId="24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36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36" fillId="25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38" fillId="5" borderId="2" applyNumberFormat="0" applyAlignment="0" applyProtection="0"/>
    <xf numFmtId="0" fontId="19" fillId="5" borderId="1" applyNumberFormat="0" applyAlignment="0" applyProtection="0"/>
    <xf numFmtId="172" fontId="43" fillId="0" borderId="0" applyFont="0" applyFill="0" applyBorder="0" applyAlignment="0" applyProtection="0">
      <alignment vertical="center"/>
    </xf>
    <xf numFmtId="166" fontId="31" fillId="0" borderId="0" applyFont="0" applyFill="0" applyBorder="0" applyAlignment="0" applyProtection="0"/>
    <xf numFmtId="173" fontId="44" fillId="0" borderId="0" applyFont="0" applyFill="0" applyBorder="0" applyProtection="0">
      <alignment horizontal="center" vertical="center"/>
    </xf>
    <xf numFmtId="173" fontId="29" fillId="0" borderId="0" applyFont="0" applyFill="0" applyBorder="0" applyProtection="0">
      <alignment horizontal="center" vertical="center"/>
    </xf>
    <xf numFmtId="14" fontId="32" fillId="0" borderId="0" applyFont="0" applyFill="0" applyBorder="0" applyAlignment="0" applyProtection="0">
      <alignment vertical="center"/>
    </xf>
    <xf numFmtId="14" fontId="11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74" fontId="44" fillId="0" borderId="0" applyFont="0" applyFill="0" applyBorder="0" applyAlignment="0" applyProtection="0">
      <alignment horizontal="center" vertical="center"/>
    </xf>
    <xf numFmtId="174" fontId="29" fillId="0" borderId="0" applyFont="0" applyFill="0" applyBorder="0" applyAlignment="0" applyProtection="0">
      <alignment horizontal="center" vertical="center"/>
    </xf>
    <xf numFmtId="175" fontId="45" fillId="0" borderId="6" applyFont="0" applyFill="0" applyBorder="0" applyAlignment="0" applyProtection="0">
      <alignment horizontal="right" vertical="center"/>
    </xf>
    <xf numFmtId="176" fontId="44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4" fontId="44" fillId="0" borderId="0" applyFont="0" applyFill="0" applyBorder="0" applyAlignment="0" applyProtection="0"/>
    <xf numFmtId="174" fontId="29" fillId="0" borderId="0" applyFont="0" applyFill="0" applyBorder="0" applyAlignment="0" applyProtection="0"/>
    <xf numFmtId="177" fontId="44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44" fillId="0" borderId="0" applyFont="0" applyFill="0" applyBorder="0" applyProtection="0">
      <alignment horizontal="right" vertical="center"/>
    </xf>
    <xf numFmtId="179" fontId="29" fillId="0" borderId="0" applyFont="0" applyFill="0" applyBorder="0" applyProtection="0">
      <alignment horizontal="right" vertical="center"/>
    </xf>
    <xf numFmtId="180" fontId="46" fillId="0" borderId="0" applyFont="0" applyFill="0" applyBorder="0" applyAlignment="0" applyProtection="0">
      <alignment horizontal="center" vertical="center"/>
    </xf>
    <xf numFmtId="181" fontId="44" fillId="0" borderId="0" applyFont="0" applyFill="0" applyBorder="0" applyAlignment="0" applyProtection="0"/>
    <xf numFmtId="181" fontId="29" fillId="0" borderId="0" applyFont="0" applyFill="0" applyBorder="0" applyAlignment="0" applyProtection="0"/>
    <xf numFmtId="182" fontId="43" fillId="0" borderId="0" applyFont="0" applyFill="0" applyBorder="0" applyAlignment="0" applyProtection="0">
      <alignment horizontal="center" vertical="center"/>
    </xf>
    <xf numFmtId="183" fontId="44" fillId="0" borderId="0" applyFont="0" applyFill="0" applyBorder="0" applyProtection="0">
      <alignment horizontal="right" vertical="center"/>
    </xf>
    <xf numFmtId="183" fontId="29" fillId="0" borderId="0" applyFont="0" applyFill="0" applyBorder="0" applyProtection="0">
      <alignment horizontal="right" vertical="center"/>
    </xf>
    <xf numFmtId="184" fontId="44" fillId="0" borderId="0" applyFont="0" applyFill="0" applyBorder="0" applyProtection="0">
      <alignment horizontal="right" vertical="center"/>
    </xf>
    <xf numFmtId="184" fontId="29" fillId="0" borderId="0" applyFont="0" applyFill="0" applyBorder="0" applyProtection="0">
      <alignment horizontal="right" vertical="center"/>
    </xf>
    <xf numFmtId="185" fontId="44" fillId="0" borderId="0" applyFont="0" applyFill="0" applyBorder="0" applyAlignment="0" applyProtection="0">
      <alignment horizontal="left" vertical="center"/>
    </xf>
    <xf numFmtId="185" fontId="29" fillId="0" borderId="0" applyFont="0" applyFill="0" applyBorder="0" applyAlignment="0" applyProtection="0">
      <alignment horizontal="left" vertical="center"/>
    </xf>
    <xf numFmtId="165" fontId="11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34" fillId="0" borderId="0" applyFont="0" applyFill="0" applyBorder="0" applyAlignment="0" applyProtection="0"/>
    <xf numFmtId="186" fontId="44" fillId="0" borderId="0" applyFont="0" applyFill="0" applyBorder="0" applyAlignment="0" applyProtection="0">
      <alignment horizontal="center" vertical="center"/>
    </xf>
    <xf numFmtId="3" fontId="44" fillId="0" borderId="0" applyFont="0" applyFill="0" applyBorder="0" applyAlignment="0" applyProtection="0">
      <alignment vertical="center"/>
    </xf>
    <xf numFmtId="3" fontId="29" fillId="0" borderId="0" applyFont="0" applyFill="0" applyBorder="0" applyAlignment="0" applyProtection="0">
      <alignment vertical="center"/>
    </xf>
    <xf numFmtId="186" fontId="29" fillId="0" borderId="0" applyFont="0" applyFill="0" applyBorder="0" applyAlignment="0" applyProtection="0">
      <alignment horizontal="center" vertical="center"/>
    </xf>
    <xf numFmtId="187" fontId="44" fillId="0" borderId="0" applyFont="0" applyFill="0" applyBorder="0" applyAlignment="0" applyProtection="0">
      <alignment vertical="center"/>
    </xf>
    <xf numFmtId="187" fontId="29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34" fillId="0" borderId="0"/>
    <xf numFmtId="0" fontId="34" fillId="0" borderId="0"/>
    <xf numFmtId="0" fontId="49" fillId="0" borderId="0"/>
    <xf numFmtId="0" fontId="34" fillId="0" borderId="0"/>
    <xf numFmtId="0" fontId="32" fillId="0" borderId="0"/>
    <xf numFmtId="0" fontId="11" fillId="0" borderId="0"/>
    <xf numFmtId="0" fontId="11" fillId="0" borderId="0"/>
    <xf numFmtId="0" fontId="32" fillId="0" borderId="0"/>
    <xf numFmtId="0" fontId="11" fillId="0" borderId="0"/>
    <xf numFmtId="0" fontId="34" fillId="0" borderId="0"/>
    <xf numFmtId="0" fontId="34" fillId="0" borderId="0"/>
    <xf numFmtId="0" fontId="12" fillId="7" borderId="7" applyNumberFormat="0" applyFont="0" applyAlignment="0" applyProtection="0"/>
    <xf numFmtId="0" fontId="11" fillId="7" borderId="8" applyNumberFormat="0" applyFont="0" applyAlignment="0" applyProtection="0"/>
    <xf numFmtId="0" fontId="12" fillId="7" borderId="7" applyNumberFormat="0" applyFont="0" applyAlignment="0" applyProtection="0"/>
    <xf numFmtId="0" fontId="10" fillId="7" borderId="7" applyNumberFormat="0" applyFont="0" applyAlignment="0" applyProtection="0"/>
    <xf numFmtId="0" fontId="32" fillId="7" borderId="8" applyNumberFormat="0" applyFont="0" applyAlignment="0" applyProtection="0"/>
    <xf numFmtId="0" fontId="11" fillId="7" borderId="8" applyNumberFormat="0" applyFont="0" applyAlignment="0" applyProtection="0"/>
    <xf numFmtId="188" fontId="44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>
      <alignment vertical="center"/>
    </xf>
    <xf numFmtId="189" fontId="43" fillId="0" borderId="0" applyFont="0" applyFill="0" applyBorder="0" applyAlignment="0" applyProtection="0">
      <alignment vertical="center"/>
    </xf>
    <xf numFmtId="190" fontId="43" fillId="0" borderId="0" applyFont="0" applyFill="0" applyBorder="0" applyAlignment="0" applyProtection="0">
      <alignment vertical="center"/>
    </xf>
    <xf numFmtId="191" fontId="44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2" fillId="11" borderId="9" applyNumberFormat="0" applyAlignment="0" applyProtection="0"/>
    <xf numFmtId="0" fontId="16" fillId="3" borderId="10" applyNumberFormat="0" applyAlignment="0" applyProtection="0"/>
    <xf numFmtId="0" fontId="22" fillId="11" borderId="9" applyNumberFormat="0" applyAlignment="0" applyProtection="0"/>
    <xf numFmtId="0" fontId="47" fillId="0" borderId="0" applyNumberFormat="0" applyFill="0" applyBorder="0" applyAlignment="0" applyProtection="0">
      <alignment vertical="center"/>
    </xf>
    <xf numFmtId="192" fontId="32" fillId="0" borderId="0" applyFont="0" applyFill="0" applyBorder="0" applyProtection="0">
      <alignment horizontal="right" vertical="center"/>
    </xf>
    <xf numFmtId="192" fontId="11" fillId="0" borderId="0" applyFont="0" applyFill="0" applyBorder="0" applyProtection="0">
      <alignment horizontal="right" vertical="center"/>
    </xf>
    <xf numFmtId="49" fontId="48" fillId="0" borderId="0" applyFill="0" applyBorder="0" applyProtection="0"/>
    <xf numFmtId="49" fontId="48" fillId="0" borderId="0" applyFill="0" applyBorder="0" applyProtection="0">
      <alignment vertical="top"/>
    </xf>
    <xf numFmtId="193" fontId="33" fillId="0" borderId="0" applyFont="0" applyFill="0" applyBorder="0" applyAlignment="0" applyProtection="0">
      <alignment vertical="center"/>
    </xf>
    <xf numFmtId="193" fontId="30" fillId="0" borderId="0" applyFont="0" applyFill="0" applyBorder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2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" fontId="47" fillId="0" borderId="0" applyFont="0" applyFill="0" applyBorder="0" applyAlignment="0" applyProtection="0">
      <alignment horizontal="center" vertical="center"/>
    </xf>
    <xf numFmtId="49" fontId="33" fillId="26" borderId="11" applyProtection="0">
      <alignment horizontal="center" vertical="center"/>
    </xf>
    <xf numFmtId="49" fontId="30" fillId="26" borderId="11" applyProtection="0">
      <alignment horizontal="center" vertical="center"/>
    </xf>
    <xf numFmtId="0" fontId="25" fillId="0" borderId="0" applyNumberFormat="0" applyFill="0" applyBorder="0" applyAlignment="0" applyProtection="0"/>
    <xf numFmtId="0" fontId="40" fillId="0" borderId="13" applyNumberFormat="0" applyFill="0" applyAlignment="0" applyProtection="0"/>
    <xf numFmtId="0" fontId="26" fillId="0" borderId="12" applyNumberFormat="0" applyFill="0" applyAlignment="0" applyProtection="0"/>
    <xf numFmtId="0" fontId="27" fillId="0" borderId="14" applyNumberFormat="0" applyFill="0" applyAlignment="0" applyProtection="0"/>
    <xf numFmtId="0" fontId="41" fillId="0" borderId="14" applyNumberFormat="0" applyFill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37" fillId="0" borderId="16" applyNumberFormat="0" applyFill="0" applyAlignment="0" applyProtection="0"/>
    <xf numFmtId="0" fontId="18" fillId="0" borderId="15" applyNumberFormat="0" applyFill="0" applyAlignment="0" applyProtection="0"/>
    <xf numFmtId="0" fontId="4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4" fontId="44" fillId="0" borderId="17" applyFont="0" applyFill="0" applyBorder="0" applyAlignment="0" applyProtection="0">
      <alignment horizontal="center" vertical="center"/>
    </xf>
    <xf numFmtId="194" fontId="29" fillId="0" borderId="17" applyFont="0" applyFill="0" applyBorder="0" applyAlignment="0" applyProtection="0">
      <alignment horizontal="center" vertical="center"/>
    </xf>
    <xf numFmtId="0" fontId="28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8" applyNumberFormat="0" applyFill="0" applyAlignment="0" applyProtection="0"/>
    <xf numFmtId="49" fontId="43" fillId="26" borderId="11" applyFill="0" applyBorder="0" applyProtection="0">
      <alignment vertical="center" wrapText="1"/>
    </xf>
    <xf numFmtId="0" fontId="10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34" fillId="0" borderId="0"/>
    <xf numFmtId="0" fontId="11" fillId="0" borderId="0"/>
    <xf numFmtId="0" fontId="11" fillId="0" borderId="0"/>
    <xf numFmtId="49" fontId="30" fillId="26" borderId="11" applyProtection="0">
      <alignment horizontal="center" vertical="center"/>
    </xf>
    <xf numFmtId="9" fontId="1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9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7" fillId="0" borderId="0"/>
    <xf numFmtId="164" fontId="7" fillId="0" borderId="0" applyFont="0" applyFill="0" applyBorder="0" applyAlignment="0" applyProtection="0"/>
    <xf numFmtId="0" fontId="5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9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2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165" fontId="11" fillId="0" borderId="0" applyFont="0" applyFill="0" applyBorder="0" applyAlignment="0" applyProtection="0"/>
    <xf numFmtId="0" fontId="10" fillId="14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11" borderId="0" applyNumberFormat="0" applyBorder="0" applyAlignment="0" applyProtection="0"/>
    <xf numFmtId="0" fontId="21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7" borderId="7" applyNumberFormat="0" applyFont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22" fillId="11" borderId="9" applyNumberFormat="0" applyAlignment="0" applyProtection="0"/>
    <xf numFmtId="0" fontId="11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28" fillId="0" borderId="18" applyNumberFormat="0" applyFill="0" applyAlignment="0" applyProtection="0"/>
    <xf numFmtId="0" fontId="10" fillId="7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1" fillId="0" borderId="0"/>
    <xf numFmtId="0" fontId="6" fillId="0" borderId="0"/>
    <xf numFmtId="0" fontId="50" fillId="0" borderId="0"/>
    <xf numFmtId="0" fontId="50" fillId="0" borderId="0"/>
    <xf numFmtId="0" fontId="5" fillId="0" borderId="0"/>
    <xf numFmtId="0" fontId="51" fillId="0" borderId="0"/>
    <xf numFmtId="0" fontId="4" fillId="0" borderId="0"/>
    <xf numFmtId="0" fontId="51" fillId="0" borderId="0"/>
    <xf numFmtId="164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51" fillId="0" borderId="0"/>
    <xf numFmtId="0" fontId="10" fillId="0" borderId="0"/>
    <xf numFmtId="0" fontId="10" fillId="0" borderId="0"/>
    <xf numFmtId="9" fontId="1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209">
    <xf numFmtId="0" fontId="0" fillId="0" borderId="0" xfId="0"/>
    <xf numFmtId="0" fontId="52" fillId="27" borderId="0" xfId="331" applyFont="1" applyFill="1"/>
    <xf numFmtId="4" fontId="52" fillId="27" borderId="0" xfId="331" applyNumberFormat="1" applyFont="1" applyFill="1" applyAlignment="1">
      <alignment horizontal="right"/>
    </xf>
    <xf numFmtId="3" fontId="52" fillId="27" borderId="0" xfId="331" applyNumberFormat="1" applyFont="1" applyFill="1"/>
    <xf numFmtId="3" fontId="52" fillId="33" borderId="0" xfId="331" applyNumberFormat="1" applyFont="1" applyFill="1" applyAlignment="1">
      <alignment horizontal="center"/>
    </xf>
    <xf numFmtId="3" fontId="53" fillId="27" borderId="0" xfId="331" applyNumberFormat="1" applyFont="1" applyFill="1" applyAlignment="1">
      <alignment horizontal="center"/>
    </xf>
    <xf numFmtId="3" fontId="52" fillId="27" borderId="0" xfId="164" applyNumberFormat="1" applyFont="1" applyFill="1" applyAlignment="1">
      <alignment horizontal="center"/>
    </xf>
    <xf numFmtId="0" fontId="52" fillId="33" borderId="0" xfId="331" applyFont="1" applyFill="1"/>
    <xf numFmtId="0" fontId="53" fillId="27" borderId="0" xfId="331" applyFont="1" applyFill="1"/>
    <xf numFmtId="195" fontId="53" fillId="27" borderId="0" xfId="255" applyNumberFormat="1" applyFont="1" applyFill="1" applyAlignment="1">
      <alignment horizontal="center"/>
    </xf>
    <xf numFmtId="3" fontId="52" fillId="27" borderId="0" xfId="331" applyNumberFormat="1" applyFont="1" applyFill="1" applyAlignment="1">
      <alignment horizontal="center"/>
    </xf>
    <xf numFmtId="0" fontId="54" fillId="27" borderId="0" xfId="367" applyFont="1" applyFill="1"/>
    <xf numFmtId="195" fontId="54" fillId="30" borderId="21" xfId="255" applyNumberFormat="1" applyFont="1" applyFill="1" applyBorder="1" applyAlignment="1">
      <alignment horizontal="right"/>
    </xf>
    <xf numFmtId="3" fontId="54" fillId="30" borderId="21" xfId="164" applyNumberFormat="1" applyFont="1" applyFill="1" applyBorder="1" applyAlignment="1">
      <alignment horizontal="center"/>
    </xf>
    <xf numFmtId="165" fontId="54" fillId="33" borderId="0" xfId="164" applyFont="1" applyFill="1" applyBorder="1" applyAlignment="1">
      <alignment horizontal="center"/>
    </xf>
    <xf numFmtId="195" fontId="54" fillId="30" borderId="21" xfId="255" applyNumberFormat="1" applyFont="1" applyFill="1" applyBorder="1" applyAlignment="1">
      <alignment horizontal="center"/>
    </xf>
    <xf numFmtId="9" fontId="54" fillId="30" borderId="21" xfId="255" applyFont="1" applyFill="1" applyBorder="1" applyAlignment="1">
      <alignment horizontal="center"/>
    </xf>
    <xf numFmtId="167" fontId="54" fillId="30" borderId="21" xfId="164" applyNumberFormat="1" applyFont="1" applyFill="1" applyBorder="1" applyAlignment="1">
      <alignment horizontal="center"/>
    </xf>
    <xf numFmtId="0" fontId="54" fillId="30" borderId="21" xfId="367" applyFont="1" applyFill="1" applyBorder="1"/>
    <xf numFmtId="195" fontId="54" fillId="30" borderId="0" xfId="255" applyNumberFormat="1" applyFont="1" applyFill="1" applyAlignment="1">
      <alignment horizontal="right"/>
    </xf>
    <xf numFmtId="3" fontId="55" fillId="32" borderId="0" xfId="164" applyNumberFormat="1" applyFont="1" applyFill="1" applyAlignment="1">
      <alignment horizontal="center"/>
    </xf>
    <xf numFmtId="195" fontId="54" fillId="31" borderId="17" xfId="255" applyNumberFormat="1" applyFont="1" applyFill="1" applyBorder="1" applyAlignment="1">
      <alignment horizontal="center"/>
    </xf>
    <xf numFmtId="3" fontId="55" fillId="34" borderId="22" xfId="164" applyNumberFormat="1" applyFont="1" applyFill="1" applyBorder="1" applyAlignment="1">
      <alignment horizontal="center"/>
    </xf>
    <xf numFmtId="165" fontId="54" fillId="33" borderId="0" xfId="164" applyFont="1" applyFill="1" applyBorder="1"/>
    <xf numFmtId="195" fontId="54" fillId="30" borderId="0" xfId="255" applyNumberFormat="1" applyFont="1" applyFill="1"/>
    <xf numFmtId="3" fontId="54" fillId="30" borderId="0" xfId="164" applyNumberFormat="1" applyFont="1" applyFill="1"/>
    <xf numFmtId="195" fontId="54" fillId="31" borderId="0" xfId="255" applyNumberFormat="1" applyFont="1" applyFill="1" applyBorder="1" applyAlignment="1">
      <alignment horizontal="center"/>
    </xf>
    <xf numFmtId="3" fontId="55" fillId="34" borderId="0" xfId="164" applyNumberFormat="1" applyFont="1" applyFill="1" applyBorder="1" applyAlignment="1">
      <alignment horizontal="center"/>
    </xf>
    <xf numFmtId="0" fontId="55" fillId="30" borderId="29" xfId="367" applyFont="1" applyFill="1" applyBorder="1" applyAlignment="1">
      <alignment wrapText="1"/>
    </xf>
    <xf numFmtId="195" fontId="54" fillId="31" borderId="25" xfId="255" applyNumberFormat="1" applyFont="1" applyFill="1" applyBorder="1" applyAlignment="1">
      <alignment horizontal="center"/>
    </xf>
    <xf numFmtId="3" fontId="55" fillId="34" borderId="23" xfId="164" applyNumberFormat="1" applyFont="1" applyFill="1" applyBorder="1" applyAlignment="1">
      <alignment horizontal="center"/>
    </xf>
    <xf numFmtId="0" fontId="55" fillId="30" borderId="28" xfId="367" applyFont="1" applyFill="1" applyBorder="1" applyAlignment="1">
      <alignment wrapText="1"/>
    </xf>
    <xf numFmtId="0" fontId="56" fillId="27" borderId="0" xfId="331" applyFont="1" applyFill="1"/>
    <xf numFmtId="4" fontId="57" fillId="30" borderId="27" xfId="367" applyNumberFormat="1" applyFont="1" applyFill="1" applyBorder="1" applyAlignment="1">
      <alignment horizontal="center" vertical="center" wrapText="1"/>
    </xf>
    <xf numFmtId="3" fontId="57" fillId="30" borderId="30" xfId="367" applyNumberFormat="1" applyFont="1" applyFill="1" applyBorder="1" applyAlignment="1">
      <alignment horizontal="center" vertical="center" wrapText="1"/>
    </xf>
    <xf numFmtId="17" fontId="35" fillId="33" borderId="0" xfId="368" applyNumberFormat="1" applyFont="1" applyFill="1" applyAlignment="1">
      <alignment horizontal="center" vertical="center" wrapText="1"/>
    </xf>
    <xf numFmtId="17" fontId="35" fillId="30" borderId="27" xfId="368" applyNumberFormat="1" applyFont="1" applyFill="1" applyBorder="1" applyAlignment="1">
      <alignment horizontal="center" vertical="center" wrapText="1"/>
    </xf>
    <xf numFmtId="17" fontId="35" fillId="30" borderId="30" xfId="368" applyNumberFormat="1" applyFont="1" applyFill="1" applyBorder="1" applyAlignment="1">
      <alignment horizontal="center" vertical="center"/>
    </xf>
    <xf numFmtId="0" fontId="57" fillId="33" borderId="0" xfId="367" applyFont="1" applyFill="1" applyAlignment="1">
      <alignment horizontal="center" vertical="center" wrapText="1"/>
    </xf>
    <xf numFmtId="0" fontId="57" fillId="30" borderId="20" xfId="367" applyFont="1" applyFill="1" applyBorder="1" applyAlignment="1">
      <alignment horizontal="center" vertical="center" wrapText="1"/>
    </xf>
    <xf numFmtId="195" fontId="35" fillId="30" borderId="20" xfId="255" applyNumberFormat="1" applyFont="1" applyFill="1" applyBorder="1" applyAlignment="1">
      <alignment horizontal="center" vertical="center" wrapText="1"/>
    </xf>
    <xf numFmtId="0" fontId="57" fillId="30" borderId="11" xfId="367" applyFont="1" applyFill="1" applyBorder="1"/>
    <xf numFmtId="195" fontId="59" fillId="29" borderId="0" xfId="255" applyNumberFormat="1" applyFont="1" applyFill="1" applyAlignment="1">
      <alignment horizontal="center"/>
    </xf>
    <xf numFmtId="3" fontId="59" fillId="29" borderId="0" xfId="367" applyNumberFormat="1" applyFont="1" applyFill="1" applyAlignment="1">
      <alignment horizontal="center"/>
    </xf>
    <xf numFmtId="3" fontId="55" fillId="27" borderId="0" xfId="367" applyNumberFormat="1" applyFont="1" applyFill="1"/>
    <xf numFmtId="3" fontId="55" fillId="33" borderId="0" xfId="367" applyNumberFormat="1" applyFont="1" applyFill="1" applyAlignment="1">
      <alignment horizontal="center"/>
    </xf>
    <xf numFmtId="3" fontId="54" fillId="27" borderId="0" xfId="367" applyNumberFormat="1" applyFont="1" applyFill="1" applyAlignment="1">
      <alignment horizontal="center"/>
    </xf>
    <xf numFmtId="3" fontId="55" fillId="27" borderId="0" xfId="164" applyNumberFormat="1" applyFont="1" applyFill="1" applyAlignment="1">
      <alignment horizontal="center"/>
    </xf>
    <xf numFmtId="195" fontId="54" fillId="27" borderId="0" xfId="255" applyNumberFormat="1" applyFont="1" applyFill="1" applyAlignment="1">
      <alignment horizontal="center"/>
    </xf>
    <xf numFmtId="3" fontId="55" fillId="27" borderId="0" xfId="367" applyNumberFormat="1" applyFont="1" applyFill="1" applyAlignment="1">
      <alignment horizontal="center"/>
    </xf>
    <xf numFmtId="3" fontId="55" fillId="33" borderId="0" xfId="164" applyNumberFormat="1" applyFont="1" applyFill="1" applyBorder="1" applyAlignment="1">
      <alignment horizontal="center"/>
    </xf>
    <xf numFmtId="3" fontId="54" fillId="27" borderId="0" xfId="164" applyNumberFormat="1" applyFont="1" applyFill="1" applyAlignment="1">
      <alignment horizontal="center"/>
    </xf>
    <xf numFmtId="195" fontId="54" fillId="33" borderId="0" xfId="255" applyNumberFormat="1" applyFont="1" applyFill="1" applyBorder="1" applyAlignment="1">
      <alignment horizontal="center"/>
    </xf>
    <xf numFmtId="4" fontId="54" fillId="33" borderId="0" xfId="367" applyNumberFormat="1" applyFont="1" applyFill="1" applyAlignment="1">
      <alignment horizontal="center"/>
    </xf>
    <xf numFmtId="195" fontId="54" fillId="30" borderId="0" xfId="255" applyNumberFormat="1" applyFont="1" applyFill="1" applyBorder="1" applyAlignment="1">
      <alignment horizontal="right"/>
    </xf>
    <xf numFmtId="3" fontId="55" fillId="32" borderId="0" xfId="367" applyNumberFormat="1" applyFont="1" applyFill="1" applyAlignment="1">
      <alignment horizontal="center"/>
    </xf>
    <xf numFmtId="195" fontId="55" fillId="33" borderId="0" xfId="255" applyNumberFormat="1" applyFont="1" applyFill="1" applyBorder="1" applyAlignment="1">
      <alignment horizontal="center"/>
    </xf>
    <xf numFmtId="3" fontId="55" fillId="32" borderId="0" xfId="164" applyNumberFormat="1" applyFont="1" applyFill="1" applyBorder="1" applyAlignment="1">
      <alignment horizontal="center"/>
    </xf>
    <xf numFmtId="10" fontId="54" fillId="33" borderId="0" xfId="255" applyNumberFormat="1" applyFont="1" applyFill="1" applyBorder="1" applyAlignment="1">
      <alignment horizontal="center"/>
    </xf>
    <xf numFmtId="195" fontId="54" fillId="30" borderId="0" xfId="255" applyNumberFormat="1" applyFont="1" applyFill="1" applyBorder="1"/>
    <xf numFmtId="3" fontId="54" fillId="30" borderId="0" xfId="367" applyNumberFormat="1" applyFont="1" applyFill="1"/>
    <xf numFmtId="3" fontId="55" fillId="32" borderId="22" xfId="164" applyNumberFormat="1" applyFont="1" applyFill="1" applyBorder="1" applyAlignment="1">
      <alignment horizontal="center"/>
    </xf>
    <xf numFmtId="0" fontId="54" fillId="31" borderId="29" xfId="367" applyFont="1" applyFill="1" applyBorder="1"/>
    <xf numFmtId="195" fontId="54" fillId="31" borderId="0" xfId="369" applyNumberFormat="1" applyFont="1" applyFill="1" applyBorder="1" applyAlignment="1">
      <alignment horizontal="center"/>
    </xf>
    <xf numFmtId="0" fontId="54" fillId="31" borderId="28" xfId="367" applyFont="1" applyFill="1" applyBorder="1"/>
    <xf numFmtId="3" fontId="60" fillId="29" borderId="0" xfId="367" applyNumberFormat="1" applyFont="1" applyFill="1" applyAlignment="1">
      <alignment horizontal="center"/>
    </xf>
    <xf numFmtId="3" fontId="54" fillId="30" borderId="21" xfId="367" applyNumberFormat="1" applyFont="1" applyFill="1" applyBorder="1" applyAlignment="1">
      <alignment horizontal="right"/>
    </xf>
    <xf numFmtId="9" fontId="54" fillId="30" borderId="21" xfId="255" applyFont="1" applyFill="1" applyBorder="1" applyAlignment="1">
      <alignment horizontal="right"/>
    </xf>
    <xf numFmtId="3" fontId="54" fillId="30" borderId="31" xfId="164" applyNumberFormat="1" applyFont="1" applyFill="1" applyBorder="1" applyAlignment="1">
      <alignment horizontal="center"/>
    </xf>
    <xf numFmtId="0" fontId="54" fillId="30" borderId="32" xfId="367" applyFont="1" applyFill="1" applyBorder="1"/>
    <xf numFmtId="0" fontId="54" fillId="30" borderId="29" xfId="367" applyFont="1" applyFill="1" applyBorder="1"/>
    <xf numFmtId="195" fontId="54" fillId="30" borderId="24" xfId="255" applyNumberFormat="1" applyFont="1" applyFill="1" applyBorder="1"/>
    <xf numFmtId="3" fontId="54" fillId="30" borderId="24" xfId="367" applyNumberFormat="1" applyFont="1" applyFill="1" applyBorder="1"/>
    <xf numFmtId="3" fontId="55" fillId="34" borderId="24" xfId="164" applyNumberFormat="1" applyFont="1" applyFill="1" applyBorder="1" applyAlignment="1">
      <alignment horizontal="center"/>
    </xf>
    <xf numFmtId="0" fontId="54" fillId="30" borderId="28" xfId="367" applyFont="1" applyFill="1" applyBorder="1"/>
    <xf numFmtId="195" fontId="54" fillId="31" borderId="24" xfId="369" applyNumberFormat="1" applyFont="1" applyFill="1" applyBorder="1" applyAlignment="1">
      <alignment horizontal="center"/>
    </xf>
    <xf numFmtId="0" fontId="59" fillId="29" borderId="0" xfId="367" applyFont="1" applyFill="1"/>
    <xf numFmtId="3" fontId="60" fillId="29" borderId="0" xfId="164" applyNumberFormat="1" applyFont="1" applyFill="1" applyAlignment="1">
      <alignment horizontal="center"/>
    </xf>
    <xf numFmtId="0" fontId="60" fillId="33" borderId="0" xfId="367" applyFont="1" applyFill="1"/>
    <xf numFmtId="3" fontId="60" fillId="33" borderId="0" xfId="367" applyNumberFormat="1" applyFont="1" applyFill="1" applyAlignment="1">
      <alignment horizontal="center"/>
    </xf>
    <xf numFmtId="0" fontId="62" fillId="27" borderId="0" xfId="331" applyFont="1" applyFill="1"/>
    <xf numFmtId="0" fontId="59" fillId="28" borderId="0" xfId="367" applyFont="1" applyFill="1"/>
    <xf numFmtId="3" fontId="60" fillId="28" borderId="0" xfId="367" applyNumberFormat="1" applyFont="1" applyFill="1" applyAlignment="1">
      <alignment horizontal="center"/>
    </xf>
    <xf numFmtId="3" fontId="60" fillId="28" borderId="0" xfId="164" applyNumberFormat="1" applyFont="1" applyFill="1" applyAlignment="1">
      <alignment horizontal="center"/>
    </xf>
    <xf numFmtId="3" fontId="59" fillId="28" borderId="0" xfId="367" applyNumberFormat="1" applyFont="1" applyFill="1" applyAlignment="1">
      <alignment horizontal="center"/>
    </xf>
    <xf numFmtId="3" fontId="60" fillId="28" borderId="0" xfId="367" applyNumberFormat="1" applyFont="1" applyFill="1"/>
    <xf numFmtId="4" fontId="60" fillId="28" borderId="0" xfId="367" applyNumberFormat="1" applyFont="1" applyFill="1" applyAlignment="1">
      <alignment horizontal="right"/>
    </xf>
    <xf numFmtId="195" fontId="59" fillId="28" borderId="0" xfId="255" applyNumberFormat="1" applyFont="1" applyFill="1" applyAlignment="1">
      <alignment horizontal="center"/>
    </xf>
    <xf numFmtId="3" fontId="59" fillId="29" borderId="0" xfId="164" applyNumberFormat="1" applyFont="1" applyFill="1" applyAlignment="1">
      <alignment horizontal="center"/>
    </xf>
    <xf numFmtId="0" fontId="59" fillId="33" borderId="0" xfId="367" applyFont="1" applyFill="1"/>
    <xf numFmtId="0" fontId="63" fillId="27" borderId="0" xfId="331" applyFont="1" applyFill="1"/>
    <xf numFmtId="3" fontId="59" fillId="28" borderId="0" xfId="164" applyNumberFormat="1" applyFont="1" applyFill="1" applyAlignment="1">
      <alignment horizontal="center"/>
    </xf>
    <xf numFmtId="3" fontId="59" fillId="28" borderId="0" xfId="367" applyNumberFormat="1" applyFont="1" applyFill="1"/>
    <xf numFmtId="4" fontId="59" fillId="28" borderId="0" xfId="367" applyNumberFormat="1" applyFont="1" applyFill="1" applyAlignment="1">
      <alignment horizontal="right"/>
    </xf>
    <xf numFmtId="0" fontId="57" fillId="30" borderId="11" xfId="367" applyFont="1" applyFill="1" applyBorder="1" applyAlignment="1">
      <alignment horizontal="center" vertical="center"/>
    </xf>
    <xf numFmtId="17" fontId="35" fillId="30" borderId="20" xfId="368" applyNumberFormat="1" applyFont="1" applyFill="1" applyBorder="1" applyAlignment="1">
      <alignment horizontal="center" vertical="center"/>
    </xf>
    <xf numFmtId="0" fontId="56" fillId="27" borderId="0" xfId="331" applyFont="1" applyFill="1" applyAlignment="1">
      <alignment vertical="center"/>
    </xf>
    <xf numFmtId="165" fontId="52" fillId="27" borderId="0" xfId="164" applyFont="1" applyFill="1" applyAlignment="1">
      <alignment horizontal="center"/>
    </xf>
    <xf numFmtId="0" fontId="35" fillId="27" borderId="0" xfId="367" applyFont="1" applyFill="1"/>
    <xf numFmtId="3" fontId="54" fillId="30" borderId="21" xfId="164" applyNumberFormat="1" applyFont="1" applyFill="1" applyBorder="1" applyAlignment="1">
      <alignment horizontal="right"/>
    </xf>
    <xf numFmtId="3" fontId="55" fillId="32" borderId="24" xfId="164" applyNumberFormat="1" applyFont="1" applyFill="1" applyBorder="1" applyAlignment="1">
      <alignment horizontal="center"/>
    </xf>
    <xf numFmtId="3" fontId="55" fillId="32" borderId="6" xfId="164" applyNumberFormat="1" applyFont="1" applyFill="1" applyBorder="1" applyAlignment="1">
      <alignment horizontal="center"/>
    </xf>
    <xf numFmtId="195" fontId="54" fillId="31" borderId="24" xfId="255" applyNumberFormat="1" applyFont="1" applyFill="1" applyBorder="1" applyAlignment="1">
      <alignment horizontal="center"/>
    </xf>
    <xf numFmtId="195" fontId="54" fillId="31" borderId="6" xfId="255" applyNumberFormat="1" applyFont="1" applyFill="1" applyBorder="1" applyAlignment="1">
      <alignment horizontal="center"/>
    </xf>
    <xf numFmtId="0" fontId="28" fillId="27" borderId="0" xfId="371" applyFont="1" applyFill="1" applyAlignment="1">
      <alignment horizontal="left"/>
    </xf>
    <xf numFmtId="0" fontId="10" fillId="27" borderId="0" xfId="371" applyFill="1" applyAlignment="1">
      <alignment horizontal="left"/>
    </xf>
    <xf numFmtId="3" fontId="10" fillId="27" borderId="0" xfId="371" applyNumberFormat="1" applyFill="1" applyAlignment="1">
      <alignment horizontal="center"/>
    </xf>
    <xf numFmtId="0" fontId="28" fillId="27" borderId="0" xfId="371" applyFont="1" applyFill="1"/>
    <xf numFmtId="0" fontId="11" fillId="27" borderId="0" xfId="331" applyFill="1"/>
    <xf numFmtId="0" fontId="16" fillId="29" borderId="0" xfId="367" applyFont="1" applyFill="1" applyAlignment="1">
      <alignment horizontal="left"/>
    </xf>
    <xf numFmtId="0" fontId="10" fillId="29" borderId="0" xfId="367" applyFill="1" applyAlignment="1">
      <alignment horizontal="left"/>
    </xf>
    <xf numFmtId="3" fontId="10" fillId="29" borderId="0" xfId="367" applyNumberFormat="1" applyFill="1" applyAlignment="1">
      <alignment horizontal="center"/>
    </xf>
    <xf numFmtId="3" fontId="64" fillId="29" borderId="0" xfId="367" applyNumberFormat="1" applyFont="1" applyFill="1" applyAlignment="1">
      <alignment horizontal="center" vertical="center"/>
    </xf>
    <xf numFmtId="3" fontId="65" fillId="29" borderId="0" xfId="372" applyNumberFormat="1" applyFont="1" applyFill="1" applyAlignment="1">
      <alignment horizontal="center"/>
    </xf>
    <xf numFmtId="0" fontId="16" fillId="29" borderId="0" xfId="367" applyFont="1" applyFill="1"/>
    <xf numFmtId="0" fontId="66" fillId="28" borderId="0" xfId="367" applyFont="1" applyFill="1" applyAlignment="1">
      <alignment horizontal="left"/>
    </xf>
    <xf numFmtId="0" fontId="10" fillId="28" borderId="0" xfId="367" applyFill="1" applyAlignment="1">
      <alignment horizontal="left"/>
    </xf>
    <xf numFmtId="3" fontId="10" fillId="28" borderId="0" xfId="367" applyNumberFormat="1" applyFill="1" applyAlignment="1">
      <alignment horizontal="center"/>
    </xf>
    <xf numFmtId="3" fontId="16" fillId="28" borderId="0" xfId="367" applyNumberFormat="1" applyFont="1" applyFill="1" applyAlignment="1">
      <alignment horizontal="center"/>
    </xf>
    <xf numFmtId="3" fontId="67" fillId="28" borderId="0" xfId="367" applyNumberFormat="1" applyFont="1" applyFill="1" applyAlignment="1">
      <alignment horizontal="center"/>
    </xf>
    <xf numFmtId="0" fontId="16" fillId="28" borderId="0" xfId="367" applyFont="1" applyFill="1"/>
    <xf numFmtId="0" fontId="28" fillId="31" borderId="20" xfId="371" applyFont="1" applyFill="1" applyBorder="1" applyAlignment="1">
      <alignment horizontal="left"/>
    </xf>
    <xf numFmtId="3" fontId="35" fillId="31" borderId="24" xfId="368" applyNumberFormat="1" applyFont="1" applyFill="1" applyBorder="1" applyAlignment="1">
      <alignment horizontal="center"/>
    </xf>
    <xf numFmtId="3" fontId="35" fillId="30" borderId="24" xfId="368" applyNumberFormat="1" applyFont="1" applyFill="1" applyBorder="1" applyAlignment="1">
      <alignment horizontal="center"/>
    </xf>
    <xf numFmtId="0" fontId="28" fillId="30" borderId="20" xfId="371" applyFont="1" applyFill="1" applyBorder="1" applyAlignment="1">
      <alignment horizontal="center"/>
    </xf>
    <xf numFmtId="0" fontId="0" fillId="31" borderId="23" xfId="0" applyFill="1" applyBorder="1"/>
    <xf numFmtId="0" fontId="0" fillId="31" borderId="28" xfId="0" applyFill="1" applyBorder="1"/>
    <xf numFmtId="0" fontId="0" fillId="32" borderId="11" xfId="0" applyFill="1" applyBorder="1" applyAlignment="1">
      <alignment horizontal="center"/>
    </xf>
    <xf numFmtId="0" fontId="28" fillId="30" borderId="11" xfId="371" applyFont="1" applyFill="1" applyBorder="1"/>
    <xf numFmtId="0" fontId="0" fillId="31" borderId="22" xfId="0" applyFill="1" applyBorder="1"/>
    <xf numFmtId="0" fontId="0" fillId="31" borderId="29" xfId="0" applyFill="1" applyBorder="1"/>
    <xf numFmtId="0" fontId="0" fillId="31" borderId="26" xfId="0" applyFill="1" applyBorder="1"/>
    <xf numFmtId="0" fontId="0" fillId="31" borderId="33" xfId="0" applyFill="1" applyBorder="1"/>
    <xf numFmtId="0" fontId="0" fillId="31" borderId="30" xfId="0" applyFill="1" applyBorder="1"/>
    <xf numFmtId="0" fontId="0" fillId="31" borderId="11" xfId="0" applyFill="1" applyBorder="1"/>
    <xf numFmtId="0" fontId="28" fillId="30" borderId="21" xfId="371" applyFont="1" applyFill="1" applyBorder="1" applyAlignment="1">
      <alignment horizontal="left"/>
    </xf>
    <xf numFmtId="167" fontId="28" fillId="30" borderId="21" xfId="164" applyNumberFormat="1" applyFont="1" applyFill="1" applyBorder="1" applyAlignment="1">
      <alignment horizontal="center"/>
    </xf>
    <xf numFmtId="0" fontId="30" fillId="27" borderId="0" xfId="331" applyFont="1" applyFill="1" applyAlignment="1">
      <alignment horizontal="left"/>
    </xf>
    <xf numFmtId="0" fontId="11" fillId="27" borderId="0" xfId="331" applyFill="1" applyAlignment="1">
      <alignment horizontal="left"/>
    </xf>
    <xf numFmtId="3" fontId="11" fillId="27" borderId="0" xfId="331" applyNumberFormat="1" applyFill="1" applyAlignment="1">
      <alignment horizontal="center"/>
    </xf>
    <xf numFmtId="0" fontId="30" fillId="27" borderId="0" xfId="331" applyFont="1" applyFill="1"/>
    <xf numFmtId="3" fontId="65" fillId="29" borderId="0" xfId="372" applyNumberFormat="1" applyFont="1" applyFill="1" applyAlignment="1">
      <alignment horizontal="left"/>
    </xf>
    <xf numFmtId="0" fontId="28" fillId="30" borderId="20" xfId="371" applyFont="1" applyFill="1" applyBorder="1" applyAlignment="1">
      <alignment horizontal="left"/>
    </xf>
    <xf numFmtId="0" fontId="28" fillId="27" borderId="0" xfId="373" applyFont="1" applyFill="1"/>
    <xf numFmtId="0" fontId="10" fillId="27" borderId="0" xfId="373" applyFill="1" applyAlignment="1">
      <alignment horizontal="left"/>
    </xf>
    <xf numFmtId="3" fontId="10" fillId="27" borderId="0" xfId="373" applyNumberFormat="1" applyFill="1" applyAlignment="1">
      <alignment horizontal="center"/>
    </xf>
    <xf numFmtId="0" fontId="66" fillId="28" borderId="0" xfId="367" applyFont="1" applyFill="1"/>
    <xf numFmtId="0" fontId="28" fillId="30" borderId="20" xfId="373" applyFont="1" applyFill="1" applyBorder="1"/>
    <xf numFmtId="3" fontId="28" fillId="30" borderId="20" xfId="374" applyNumberFormat="1" applyFont="1" applyFill="1" applyBorder="1" applyAlignment="1">
      <alignment horizontal="center"/>
    </xf>
    <xf numFmtId="167" fontId="28" fillId="30" borderId="20" xfId="164" applyNumberFormat="1" applyFont="1" applyFill="1" applyBorder="1" applyAlignment="1">
      <alignment horizontal="center"/>
    </xf>
    <xf numFmtId="0" fontId="68" fillId="27" borderId="0" xfId="373" applyFont="1" applyFill="1" applyAlignment="1">
      <alignment horizontal="left"/>
    </xf>
    <xf numFmtId="0" fontId="69" fillId="27" borderId="0" xfId="373" applyFont="1" applyFill="1" applyAlignment="1">
      <alignment horizontal="left"/>
    </xf>
    <xf numFmtId="3" fontId="69" fillId="27" borderId="0" xfId="164" applyNumberFormat="1" applyFont="1" applyFill="1" applyAlignment="1">
      <alignment horizontal="center"/>
    </xf>
    <xf numFmtId="3" fontId="69" fillId="27" borderId="0" xfId="373" applyNumberFormat="1" applyFont="1" applyFill="1" applyAlignment="1">
      <alignment horizontal="center"/>
    </xf>
    <xf numFmtId="0" fontId="68" fillId="27" borderId="0" xfId="373" applyFont="1" applyFill="1" applyAlignment="1">
      <alignment horizontal="right"/>
    </xf>
    <xf numFmtId="0" fontId="70" fillId="27" borderId="0" xfId="331" applyFont="1" applyFill="1"/>
    <xf numFmtId="0" fontId="71" fillId="29" borderId="0" xfId="367" applyFont="1" applyFill="1" applyAlignment="1">
      <alignment horizontal="left"/>
    </xf>
    <xf numFmtId="0" fontId="69" fillId="29" borderId="0" xfId="367" applyFont="1" applyFill="1" applyAlignment="1">
      <alignment horizontal="left"/>
    </xf>
    <xf numFmtId="3" fontId="69" fillId="29" borderId="0" xfId="164" applyNumberFormat="1" applyFont="1" applyFill="1" applyAlignment="1">
      <alignment horizontal="center"/>
    </xf>
    <xf numFmtId="3" fontId="69" fillId="29" borderId="0" xfId="367" applyNumberFormat="1" applyFont="1" applyFill="1" applyAlignment="1">
      <alignment horizontal="center"/>
    </xf>
    <xf numFmtId="0" fontId="71" fillId="29" borderId="0" xfId="367" applyFont="1" applyFill="1" applyAlignment="1">
      <alignment horizontal="right"/>
    </xf>
    <xf numFmtId="0" fontId="71" fillId="28" borderId="0" xfId="367" applyFont="1" applyFill="1" applyAlignment="1">
      <alignment horizontal="left"/>
    </xf>
    <xf numFmtId="0" fontId="69" fillId="28" borderId="0" xfId="367" applyFont="1" applyFill="1" applyAlignment="1">
      <alignment horizontal="left"/>
    </xf>
    <xf numFmtId="3" fontId="69" fillId="28" borderId="0" xfId="164" applyNumberFormat="1" applyFont="1" applyFill="1" applyAlignment="1">
      <alignment horizontal="center"/>
    </xf>
    <xf numFmtId="3" fontId="69" fillId="28" borderId="0" xfId="367" applyNumberFormat="1" applyFont="1" applyFill="1" applyAlignment="1">
      <alignment horizontal="center"/>
    </xf>
    <xf numFmtId="3" fontId="71" fillId="28" borderId="0" xfId="367" applyNumberFormat="1" applyFont="1" applyFill="1" applyAlignment="1">
      <alignment horizontal="center"/>
    </xf>
    <xf numFmtId="17" fontId="71" fillId="28" borderId="0" xfId="367" applyNumberFormat="1" applyFont="1" applyFill="1" applyAlignment="1">
      <alignment horizontal="right"/>
    </xf>
    <xf numFmtId="0" fontId="68" fillId="31" borderId="20" xfId="373" applyFont="1" applyFill="1" applyBorder="1" applyAlignment="1">
      <alignment horizontal="left"/>
    </xf>
    <xf numFmtId="3" fontId="68" fillId="30" borderId="24" xfId="164" applyNumberFormat="1" applyFont="1" applyFill="1" applyBorder="1" applyAlignment="1">
      <alignment horizontal="center"/>
    </xf>
    <xf numFmtId="3" fontId="68" fillId="30" borderId="24" xfId="368" applyNumberFormat="1" applyFont="1" applyFill="1" applyBorder="1" applyAlignment="1">
      <alignment horizontal="center"/>
    </xf>
    <xf numFmtId="0" fontId="68" fillId="30" borderId="20" xfId="373" applyFont="1" applyFill="1" applyBorder="1" applyAlignment="1">
      <alignment horizontal="right"/>
    </xf>
    <xf numFmtId="0" fontId="68" fillId="30" borderId="27" xfId="373" applyFont="1" applyFill="1" applyBorder="1" applyAlignment="1">
      <alignment horizontal="right"/>
    </xf>
    <xf numFmtId="167" fontId="30" fillId="31" borderId="11" xfId="164" applyNumberFormat="1" applyFont="1" applyFill="1" applyBorder="1" applyAlignment="1">
      <alignment horizontal="center"/>
    </xf>
    <xf numFmtId="0" fontId="72" fillId="27" borderId="0" xfId="331" applyFont="1" applyFill="1" applyAlignment="1">
      <alignment horizontal="left"/>
    </xf>
    <xf numFmtId="0" fontId="70" fillId="27" borderId="0" xfId="331" applyFont="1" applyFill="1" applyAlignment="1">
      <alignment horizontal="left"/>
    </xf>
    <xf numFmtId="3" fontId="70" fillId="27" borderId="0" xfId="164" applyNumberFormat="1" applyFont="1" applyFill="1" applyAlignment="1">
      <alignment horizontal="center"/>
    </xf>
    <xf numFmtId="3" fontId="70" fillId="27" borderId="0" xfId="331" applyNumberFormat="1" applyFont="1" applyFill="1" applyAlignment="1">
      <alignment horizontal="center"/>
    </xf>
    <xf numFmtId="0" fontId="72" fillId="27" borderId="0" xfId="331" applyFont="1" applyFill="1" applyAlignment="1">
      <alignment horizontal="right"/>
    </xf>
    <xf numFmtId="0" fontId="69" fillId="27" borderId="0" xfId="373" applyFont="1" applyFill="1"/>
    <xf numFmtId="0" fontId="69" fillId="29" borderId="0" xfId="367" applyFont="1" applyFill="1"/>
    <xf numFmtId="0" fontId="68" fillId="28" borderId="0" xfId="367" applyFont="1" applyFill="1"/>
    <xf numFmtId="0" fontId="68" fillId="30" borderId="20" xfId="373" applyFont="1" applyFill="1" applyBorder="1" applyAlignment="1">
      <alignment horizontal="left"/>
    </xf>
    <xf numFmtId="0" fontId="68" fillId="30" borderId="20" xfId="373" applyFont="1" applyFill="1" applyBorder="1"/>
    <xf numFmtId="0" fontId="0" fillId="31" borderId="6" xfId="0" applyFill="1" applyBorder="1"/>
    <xf numFmtId="167" fontId="30" fillId="31" borderId="11" xfId="164" applyNumberFormat="1" applyFont="1" applyFill="1" applyBorder="1" applyAlignment="1">
      <alignment horizontal="left"/>
    </xf>
    <xf numFmtId="0" fontId="73" fillId="35" borderId="0" xfId="0" applyFont="1" applyFill="1" applyAlignment="1">
      <alignment horizontal="center" vertical="center" wrapText="1"/>
    </xf>
    <xf numFmtId="0" fontId="61" fillId="35" borderId="0" xfId="331" applyFont="1" applyFill="1" applyAlignment="1">
      <alignment vertical="center" wrapText="1"/>
    </xf>
    <xf numFmtId="0" fontId="61" fillId="35" borderId="0" xfId="331" applyFont="1" applyFill="1" applyAlignment="1">
      <alignment horizontal="center" vertical="center" wrapText="1"/>
    </xf>
    <xf numFmtId="167" fontId="61" fillId="35" borderId="0" xfId="164" applyNumberFormat="1" applyFont="1" applyFill="1" applyAlignment="1">
      <alignment horizontal="center" vertical="center" wrapText="1"/>
    </xf>
    <xf numFmtId="0" fontId="61" fillId="36" borderId="0" xfId="331" applyFont="1" applyFill="1" applyAlignment="1">
      <alignment horizontal="center" vertical="center" wrapText="1"/>
    </xf>
    <xf numFmtId="0" fontId="11" fillId="33" borderId="0" xfId="331" applyFill="1" applyAlignment="1">
      <alignment horizontal="center"/>
    </xf>
    <xf numFmtId="0" fontId="11" fillId="33" borderId="0" xfId="331" applyFill="1"/>
    <xf numFmtId="167" fontId="0" fillId="33" borderId="0" xfId="164" applyNumberFormat="1" applyFont="1" applyFill="1" applyAlignment="1">
      <alignment horizontal="center"/>
    </xf>
    <xf numFmtId="0" fontId="0" fillId="31" borderId="28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0" fillId="31" borderId="33" xfId="0" applyFill="1" applyBorder="1" applyAlignment="1">
      <alignment horizontal="center"/>
    </xf>
    <xf numFmtId="0" fontId="0" fillId="31" borderId="11" xfId="0" applyFill="1" applyBorder="1" applyAlignment="1">
      <alignment horizontal="center"/>
    </xf>
    <xf numFmtId="0" fontId="0" fillId="31" borderId="0" xfId="0" applyFill="1"/>
    <xf numFmtId="0" fontId="28" fillId="27" borderId="0" xfId="373" applyFont="1" applyFill="1" applyAlignment="1">
      <alignment horizontal="center"/>
    </xf>
    <xf numFmtId="0" fontId="16" fillId="29" borderId="0" xfId="367" applyFont="1" applyFill="1" applyAlignment="1">
      <alignment horizontal="center"/>
    </xf>
    <xf numFmtId="17" fontId="16" fillId="28" borderId="0" xfId="367" applyNumberFormat="1" applyFont="1" applyFill="1" applyAlignment="1">
      <alignment horizontal="center"/>
    </xf>
    <xf numFmtId="0" fontId="28" fillId="30" borderId="20" xfId="373" applyFont="1" applyFill="1" applyBorder="1" applyAlignment="1">
      <alignment horizontal="center"/>
    </xf>
    <xf numFmtId="0" fontId="28" fillId="30" borderId="11" xfId="373" applyFont="1" applyFill="1" applyBorder="1" applyAlignment="1">
      <alignment horizontal="center"/>
    </xf>
    <xf numFmtId="0" fontId="30" fillId="27" borderId="0" xfId="331" applyFont="1" applyFill="1" applyAlignment="1">
      <alignment horizontal="center"/>
    </xf>
    <xf numFmtId="0" fontId="0" fillId="31" borderId="24" xfId="0" applyFill="1" applyBorder="1"/>
    <xf numFmtId="0" fontId="0" fillId="31" borderId="20" xfId="0" applyFill="1" applyBorder="1"/>
    <xf numFmtId="0" fontId="74" fillId="35" borderId="0" xfId="331" applyFont="1" applyFill="1" applyAlignment="1">
      <alignment horizontal="center" vertical="center" wrapText="1"/>
    </xf>
    <xf numFmtId="3" fontId="58" fillId="29" borderId="0" xfId="164" applyNumberFormat="1" applyFont="1" applyFill="1" applyAlignment="1">
      <alignment horizontal="center"/>
    </xf>
    <xf numFmtId="0" fontId="61" fillId="0" borderId="0" xfId="331" applyFont="1" applyAlignment="1">
      <alignment horizontal="center"/>
    </xf>
  </cellXfs>
  <cellStyles count="375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Camion y Tracto" xfId="239" xr:uid="{00000000-0005-0000-0000-000005000000}"/>
    <cellStyle name="20% - Énfasis1 2 3" xfId="6" xr:uid="{00000000-0005-0000-0000-000006000000}"/>
    <cellStyle name="20% - Énfasis1 2 4" xfId="280" xr:uid="{00000000-0005-0000-0000-000007000000}"/>
    <cellStyle name="20% - Énfasis1 2 5" xfId="329" xr:uid="{00000000-0005-0000-0000-000008000000}"/>
    <cellStyle name="20% - Énfasis1 2_Autom" xfId="7" xr:uid="{00000000-0005-0000-0000-000009000000}"/>
    <cellStyle name="20% - Énfasis1 3" xfId="279" xr:uid="{00000000-0005-0000-0000-00000A000000}"/>
    <cellStyle name="20% - Énfasis2" xfId="8" builtinId="34" customBuiltin="1"/>
    <cellStyle name="20% - Énfasis2 2" xfId="9" xr:uid="{00000000-0005-0000-0000-00000C000000}"/>
    <cellStyle name="20% - Énfasis2 2 2" xfId="10" xr:uid="{00000000-0005-0000-0000-00000D000000}"/>
    <cellStyle name="20% - Énfasis2 2 2 2" xfId="11" xr:uid="{00000000-0005-0000-0000-00000E000000}"/>
    <cellStyle name="20% - Énfasis2 2 2_Camion y Tracto" xfId="240" xr:uid="{00000000-0005-0000-0000-00000F000000}"/>
    <cellStyle name="20% - Énfasis2 2 3" xfId="12" xr:uid="{00000000-0005-0000-0000-000010000000}"/>
    <cellStyle name="20% - Énfasis2 2 4" xfId="282" xr:uid="{00000000-0005-0000-0000-000011000000}"/>
    <cellStyle name="20% - Énfasis2 2 5" xfId="328" xr:uid="{00000000-0005-0000-0000-000012000000}"/>
    <cellStyle name="20% - Énfasis2 2_Autom" xfId="13" xr:uid="{00000000-0005-0000-0000-000013000000}"/>
    <cellStyle name="20% - Énfasis2 3" xfId="281" xr:uid="{00000000-0005-0000-0000-000014000000}"/>
    <cellStyle name="20% - Énfasis3" xfId="14" builtinId="38" customBuiltin="1"/>
    <cellStyle name="20% - Énfasis3 2" xfId="15" xr:uid="{00000000-0005-0000-0000-000016000000}"/>
    <cellStyle name="20% - Énfasis3 2 2" xfId="16" xr:uid="{00000000-0005-0000-0000-000017000000}"/>
    <cellStyle name="20% - Énfasis3 2 2 2" xfId="17" xr:uid="{00000000-0005-0000-0000-000018000000}"/>
    <cellStyle name="20% - Énfasis3 2 2_Camion y Tracto" xfId="241" xr:uid="{00000000-0005-0000-0000-000019000000}"/>
    <cellStyle name="20% - Énfasis3 2 3" xfId="18" xr:uid="{00000000-0005-0000-0000-00001A000000}"/>
    <cellStyle name="20% - Énfasis3 2 4" xfId="284" xr:uid="{00000000-0005-0000-0000-00001B000000}"/>
    <cellStyle name="20% - Énfasis3 2 5" xfId="338" xr:uid="{00000000-0005-0000-0000-00001C000000}"/>
    <cellStyle name="20% - Énfasis3 2_Autom" xfId="19" xr:uid="{00000000-0005-0000-0000-00001D000000}"/>
    <cellStyle name="20% - Énfasis3 3" xfId="283" xr:uid="{00000000-0005-0000-0000-00001E000000}"/>
    <cellStyle name="20% - Énfasis4" xfId="20" builtinId="42" customBuiltin="1"/>
    <cellStyle name="20% - Énfasis4 2" xfId="21" xr:uid="{00000000-0005-0000-0000-000020000000}"/>
    <cellStyle name="20% - Énfasis4 2 2" xfId="22" xr:uid="{00000000-0005-0000-0000-000021000000}"/>
    <cellStyle name="20% - Énfasis4 2 2 2" xfId="23" xr:uid="{00000000-0005-0000-0000-000022000000}"/>
    <cellStyle name="20% - Énfasis4 2 2_Camion y Tracto" xfId="242" xr:uid="{00000000-0005-0000-0000-000023000000}"/>
    <cellStyle name="20% - Énfasis4 2 3" xfId="24" xr:uid="{00000000-0005-0000-0000-000024000000}"/>
    <cellStyle name="20% - Énfasis4 2 4" xfId="286" xr:uid="{00000000-0005-0000-0000-000025000000}"/>
    <cellStyle name="20% - Énfasis4 2 5" xfId="326" xr:uid="{00000000-0005-0000-0000-000026000000}"/>
    <cellStyle name="20% - Énfasis4 2_Autom" xfId="25" xr:uid="{00000000-0005-0000-0000-000027000000}"/>
    <cellStyle name="20% - Énfasis4 3" xfId="285" xr:uid="{00000000-0005-0000-0000-000028000000}"/>
    <cellStyle name="20% - Énfasis5" xfId="26" builtinId="46" customBuiltin="1"/>
    <cellStyle name="20% - Énfasis5 2" xfId="27" xr:uid="{00000000-0005-0000-0000-00002A000000}"/>
    <cellStyle name="20% - Énfasis5 2 2" xfId="28" xr:uid="{00000000-0005-0000-0000-00002B000000}"/>
    <cellStyle name="20% - Énfasis5 2 2 2" xfId="29" xr:uid="{00000000-0005-0000-0000-00002C000000}"/>
    <cellStyle name="20% - Énfasis5 2 2_Camion y Tracto" xfId="243" xr:uid="{00000000-0005-0000-0000-00002D000000}"/>
    <cellStyle name="20% - Énfasis5 2 3" xfId="30" xr:uid="{00000000-0005-0000-0000-00002E000000}"/>
    <cellStyle name="20% - Énfasis5 2_Autom" xfId="31" xr:uid="{00000000-0005-0000-0000-00002F000000}"/>
    <cellStyle name="20% - Énfasis5 3" xfId="287" xr:uid="{00000000-0005-0000-0000-000030000000}"/>
    <cellStyle name="20% - Énfasis6" xfId="32" builtinId="50" customBuiltin="1"/>
    <cellStyle name="20% - Énfasis6 2" xfId="33" xr:uid="{00000000-0005-0000-0000-000032000000}"/>
    <cellStyle name="20% - Énfasis6 2 2" xfId="34" xr:uid="{00000000-0005-0000-0000-000033000000}"/>
    <cellStyle name="20% - Énfasis6 2 2 2" xfId="35" xr:uid="{00000000-0005-0000-0000-000034000000}"/>
    <cellStyle name="20% - Énfasis6 2 2_Camion y Tracto" xfId="244" xr:uid="{00000000-0005-0000-0000-000035000000}"/>
    <cellStyle name="20% - Énfasis6 2 3" xfId="36" xr:uid="{00000000-0005-0000-0000-000036000000}"/>
    <cellStyle name="20% - Énfasis6 2_Autom" xfId="37" xr:uid="{00000000-0005-0000-0000-000037000000}"/>
    <cellStyle name="20% - Énfasis6 3" xfId="289" xr:uid="{00000000-0005-0000-0000-000038000000}"/>
    <cellStyle name="40% - Énfasis1" xfId="38" builtinId="31" customBuiltin="1"/>
    <cellStyle name="40% - Énfasis1 2" xfId="39" xr:uid="{00000000-0005-0000-0000-00003A000000}"/>
    <cellStyle name="40% - Énfasis1 2 2" xfId="40" xr:uid="{00000000-0005-0000-0000-00003B000000}"/>
    <cellStyle name="40% - Énfasis1 2 2 2" xfId="41" xr:uid="{00000000-0005-0000-0000-00003C000000}"/>
    <cellStyle name="40% - Énfasis1 2 2_Camion y Tracto" xfId="245" xr:uid="{00000000-0005-0000-0000-00003D000000}"/>
    <cellStyle name="40% - Énfasis1 2 3" xfId="42" xr:uid="{00000000-0005-0000-0000-00003E000000}"/>
    <cellStyle name="40% - Énfasis1 2 4" xfId="291" xr:uid="{00000000-0005-0000-0000-00003F000000}"/>
    <cellStyle name="40% - Énfasis1 2 5" xfId="324" xr:uid="{00000000-0005-0000-0000-000040000000}"/>
    <cellStyle name="40% - Énfasis1 2_Autom" xfId="43" xr:uid="{00000000-0005-0000-0000-000041000000}"/>
    <cellStyle name="40% - Énfasis1 3" xfId="290" xr:uid="{00000000-0005-0000-0000-000042000000}"/>
    <cellStyle name="40% - Énfasis2" xfId="44" builtinId="35" customBuiltin="1"/>
    <cellStyle name="40% - Énfasis2 2" xfId="45" xr:uid="{00000000-0005-0000-0000-000044000000}"/>
    <cellStyle name="40% - Énfasis2 2 2" xfId="46" xr:uid="{00000000-0005-0000-0000-000045000000}"/>
    <cellStyle name="40% - Énfasis2 2 2 2" xfId="47" xr:uid="{00000000-0005-0000-0000-000046000000}"/>
    <cellStyle name="40% - Énfasis2 2 2_Camion y Tracto" xfId="246" xr:uid="{00000000-0005-0000-0000-000047000000}"/>
    <cellStyle name="40% - Énfasis2 2 3" xfId="48" xr:uid="{00000000-0005-0000-0000-000048000000}"/>
    <cellStyle name="40% - Énfasis2 2_Autom" xfId="49" xr:uid="{00000000-0005-0000-0000-000049000000}"/>
    <cellStyle name="40% - Énfasis2 3" xfId="292" xr:uid="{00000000-0005-0000-0000-00004A000000}"/>
    <cellStyle name="40% - Énfasis3" xfId="50" builtinId="39" customBuiltin="1"/>
    <cellStyle name="40% - Énfasis3 2" xfId="51" xr:uid="{00000000-0005-0000-0000-00004C000000}"/>
    <cellStyle name="40% - Énfasis3 2 2" xfId="52" xr:uid="{00000000-0005-0000-0000-00004D000000}"/>
    <cellStyle name="40% - Énfasis3 2 2 2" xfId="53" xr:uid="{00000000-0005-0000-0000-00004E000000}"/>
    <cellStyle name="40% - Énfasis3 2 2_Camion y Tracto" xfId="247" xr:uid="{00000000-0005-0000-0000-00004F000000}"/>
    <cellStyle name="40% - Énfasis3 2 3" xfId="54" xr:uid="{00000000-0005-0000-0000-000050000000}"/>
    <cellStyle name="40% - Énfasis3 2 4" xfId="294" xr:uid="{00000000-0005-0000-0000-000051000000}"/>
    <cellStyle name="40% - Énfasis3 2 5" xfId="322" xr:uid="{00000000-0005-0000-0000-000052000000}"/>
    <cellStyle name="40% - Énfasis3 2_Autom" xfId="55" xr:uid="{00000000-0005-0000-0000-000053000000}"/>
    <cellStyle name="40% - Énfasis3 3" xfId="293" xr:uid="{00000000-0005-0000-0000-000054000000}"/>
    <cellStyle name="40% - Énfasis4" xfId="56" builtinId="43" customBuiltin="1"/>
    <cellStyle name="40% - Énfasis4 2" xfId="57" xr:uid="{00000000-0005-0000-0000-000056000000}"/>
    <cellStyle name="40% - Énfasis4 2 2" xfId="58" xr:uid="{00000000-0005-0000-0000-000057000000}"/>
    <cellStyle name="40% - Énfasis4 2 2 2" xfId="59" xr:uid="{00000000-0005-0000-0000-000058000000}"/>
    <cellStyle name="40% - Énfasis4 2 2_Camion y Tracto" xfId="248" xr:uid="{00000000-0005-0000-0000-000059000000}"/>
    <cellStyle name="40% - Énfasis4 2 3" xfId="60" xr:uid="{00000000-0005-0000-0000-00005A000000}"/>
    <cellStyle name="40% - Énfasis4 2 4" xfId="296" xr:uid="{00000000-0005-0000-0000-00005B000000}"/>
    <cellStyle name="40% - Énfasis4 2 5" xfId="320" xr:uid="{00000000-0005-0000-0000-00005C000000}"/>
    <cellStyle name="40% - Énfasis4 2_Autom" xfId="61" xr:uid="{00000000-0005-0000-0000-00005D000000}"/>
    <cellStyle name="40% - Énfasis4 3" xfId="295" xr:uid="{00000000-0005-0000-0000-00005E000000}"/>
    <cellStyle name="40% - Énfasis5" xfId="62" builtinId="47" customBuiltin="1"/>
    <cellStyle name="40% - Énfasis5 2" xfId="63" xr:uid="{00000000-0005-0000-0000-000060000000}"/>
    <cellStyle name="40% - Énfasis5 2 2" xfId="64" xr:uid="{00000000-0005-0000-0000-000061000000}"/>
    <cellStyle name="40% - Énfasis5 2 2 2" xfId="65" xr:uid="{00000000-0005-0000-0000-000062000000}"/>
    <cellStyle name="40% - Énfasis5 2 2_Camion y Tracto" xfId="249" xr:uid="{00000000-0005-0000-0000-000063000000}"/>
    <cellStyle name="40% - Énfasis5 2 3" xfId="66" xr:uid="{00000000-0005-0000-0000-000064000000}"/>
    <cellStyle name="40% - Énfasis5 2_Autom" xfId="67" xr:uid="{00000000-0005-0000-0000-000065000000}"/>
    <cellStyle name="40% - Énfasis5 3" xfId="297" xr:uid="{00000000-0005-0000-0000-000066000000}"/>
    <cellStyle name="40% - Énfasis6" xfId="68" builtinId="51" customBuiltin="1"/>
    <cellStyle name="40% - Énfasis6 2" xfId="69" xr:uid="{00000000-0005-0000-0000-000068000000}"/>
    <cellStyle name="40% - Énfasis6 2 2" xfId="70" xr:uid="{00000000-0005-0000-0000-000069000000}"/>
    <cellStyle name="40% - Énfasis6 2 2 2" xfId="71" xr:uid="{00000000-0005-0000-0000-00006A000000}"/>
    <cellStyle name="40% - Énfasis6 2 2_Camion y Tracto" xfId="250" xr:uid="{00000000-0005-0000-0000-00006B000000}"/>
    <cellStyle name="40% - Énfasis6 2 3" xfId="72" xr:uid="{00000000-0005-0000-0000-00006C000000}"/>
    <cellStyle name="40% - Énfasis6 2 4" xfId="299" xr:uid="{00000000-0005-0000-0000-00006D000000}"/>
    <cellStyle name="40% - Énfasis6 2 5" xfId="319" xr:uid="{00000000-0005-0000-0000-00006E000000}"/>
    <cellStyle name="40% - Énfasis6 2_Autom" xfId="73" xr:uid="{00000000-0005-0000-0000-00006F000000}"/>
    <cellStyle name="40% - Énfasis6 3" xfId="298" xr:uid="{00000000-0005-0000-0000-000070000000}"/>
    <cellStyle name="60% - Énfasis1" xfId="74" builtinId="32" customBuiltin="1"/>
    <cellStyle name="60% - Énfasis1 2" xfId="75" xr:uid="{00000000-0005-0000-0000-000072000000}"/>
    <cellStyle name="60% - Énfasis1 2 2" xfId="76" xr:uid="{00000000-0005-0000-0000-000073000000}"/>
    <cellStyle name="60% - Énfasis1 3" xfId="300" xr:uid="{00000000-0005-0000-0000-000074000000}"/>
    <cellStyle name="60% - Énfasis2" xfId="77" builtinId="36" customBuiltin="1"/>
    <cellStyle name="60% - Énfasis2 2" xfId="78" xr:uid="{00000000-0005-0000-0000-000076000000}"/>
    <cellStyle name="60% - Énfasis2 2 2" xfId="79" xr:uid="{00000000-0005-0000-0000-000077000000}"/>
    <cellStyle name="60% - Énfasis2 3" xfId="301" xr:uid="{00000000-0005-0000-0000-000078000000}"/>
    <cellStyle name="60% - Énfasis3" xfId="80" builtinId="40" customBuiltin="1"/>
    <cellStyle name="60% - Énfasis3 2" xfId="81" xr:uid="{00000000-0005-0000-0000-00007A000000}"/>
    <cellStyle name="60% - Énfasis3 2 2" xfId="82" xr:uid="{00000000-0005-0000-0000-00007B000000}"/>
    <cellStyle name="60% - Énfasis3 3" xfId="302" xr:uid="{00000000-0005-0000-0000-00007C000000}"/>
    <cellStyle name="60% - Énfasis4" xfId="83" builtinId="44" customBuiltin="1"/>
    <cellStyle name="60% - Énfasis4 2" xfId="84" xr:uid="{00000000-0005-0000-0000-00007E000000}"/>
    <cellStyle name="60% - Énfasis4 2 2" xfId="85" xr:uid="{00000000-0005-0000-0000-00007F000000}"/>
    <cellStyle name="60% - Énfasis4 3" xfId="303" xr:uid="{00000000-0005-0000-0000-000080000000}"/>
    <cellStyle name="60% - Énfasis5" xfId="86" builtinId="48" customBuiltin="1"/>
    <cellStyle name="60% - Énfasis5 2" xfId="87" xr:uid="{00000000-0005-0000-0000-000082000000}"/>
    <cellStyle name="60% - Énfasis5 2 2" xfId="88" xr:uid="{00000000-0005-0000-0000-000083000000}"/>
    <cellStyle name="60% - Énfasis5 3" xfId="304" xr:uid="{00000000-0005-0000-0000-000084000000}"/>
    <cellStyle name="60% - Énfasis6" xfId="89" builtinId="52" customBuiltin="1"/>
    <cellStyle name="60% - Énfasis6 2" xfId="90" xr:uid="{00000000-0005-0000-0000-000086000000}"/>
    <cellStyle name="60% - Énfasis6 2 2" xfId="91" xr:uid="{00000000-0005-0000-0000-000087000000}"/>
    <cellStyle name="60% - Énfasis6 3" xfId="305" xr:uid="{00000000-0005-0000-0000-000088000000}"/>
    <cellStyle name="Angulo" xfId="92" xr:uid="{00000000-0005-0000-0000-000089000000}"/>
    <cellStyle name="Angulo 2" xfId="93" xr:uid="{00000000-0005-0000-0000-00008A000000}"/>
    <cellStyle name="Buena 2" xfId="95" xr:uid="{00000000-0005-0000-0000-00008C000000}"/>
    <cellStyle name="Buena 2 2" xfId="96" xr:uid="{00000000-0005-0000-0000-00008D000000}"/>
    <cellStyle name="Buena 3" xfId="306" xr:uid="{00000000-0005-0000-0000-00008E000000}"/>
    <cellStyle name="Bueno" xfId="94" builtinId="26" customBuiltin="1"/>
    <cellStyle name="Cálculo" xfId="97" builtinId="22" customBuiltin="1"/>
    <cellStyle name="Cálculo 2" xfId="98" xr:uid="{00000000-0005-0000-0000-000090000000}"/>
    <cellStyle name="Cálculo 2 2" xfId="99" xr:uid="{00000000-0005-0000-0000-000091000000}"/>
    <cellStyle name="Cálculo 3" xfId="307" xr:uid="{00000000-0005-0000-0000-000092000000}"/>
    <cellStyle name="cc" xfId="100" xr:uid="{00000000-0005-0000-0000-000093000000}"/>
    <cellStyle name="Celda de comprobación" xfId="101" builtinId="23" customBuiltin="1"/>
    <cellStyle name="Celda de comprobación 2" xfId="102" xr:uid="{00000000-0005-0000-0000-000095000000}"/>
    <cellStyle name="Celda de comprobación 2 2" xfId="103" xr:uid="{00000000-0005-0000-0000-000096000000}"/>
    <cellStyle name="Celda de comprobación 3" xfId="308" xr:uid="{00000000-0005-0000-0000-000097000000}"/>
    <cellStyle name="Celda vinculada" xfId="104" builtinId="24" customBuiltin="1"/>
    <cellStyle name="Celda vinculada 2" xfId="105" xr:uid="{00000000-0005-0000-0000-000099000000}"/>
    <cellStyle name="Celda vinculada 2 2" xfId="106" xr:uid="{00000000-0005-0000-0000-00009A000000}"/>
    <cellStyle name="Celda vinculada 3" xfId="309" xr:uid="{00000000-0005-0000-0000-00009B000000}"/>
    <cellStyle name="DobleEspacio" xfId="107" xr:uid="{00000000-0005-0000-0000-00009C000000}"/>
    <cellStyle name="Encabezado 4" xfId="108" builtinId="19" customBuiltin="1"/>
    <cellStyle name="Encabezado 4 2" xfId="109" xr:uid="{00000000-0005-0000-0000-00009E000000}"/>
    <cellStyle name="Encabezado 4 2 2" xfId="110" xr:uid="{00000000-0005-0000-0000-00009F000000}"/>
    <cellStyle name="Encabezado 4 3" xfId="310" xr:uid="{00000000-0005-0000-0000-0000A0000000}"/>
    <cellStyle name="Énfasis1" xfId="111" builtinId="29" customBuiltin="1"/>
    <cellStyle name="Énfasis1 2" xfId="112" xr:uid="{00000000-0005-0000-0000-0000A2000000}"/>
    <cellStyle name="Énfasis1 2 2" xfId="113" xr:uid="{00000000-0005-0000-0000-0000A3000000}"/>
    <cellStyle name="Énfasis1 3" xfId="311" xr:uid="{00000000-0005-0000-0000-0000A4000000}"/>
    <cellStyle name="Énfasis2" xfId="114" builtinId="33" customBuiltin="1"/>
    <cellStyle name="Énfasis2 2" xfId="115" xr:uid="{00000000-0005-0000-0000-0000A6000000}"/>
    <cellStyle name="Énfasis2 2 2" xfId="116" xr:uid="{00000000-0005-0000-0000-0000A7000000}"/>
    <cellStyle name="Énfasis2 3" xfId="312" xr:uid="{00000000-0005-0000-0000-0000A8000000}"/>
    <cellStyle name="Énfasis3" xfId="117" builtinId="37" customBuiltin="1"/>
    <cellStyle name="Énfasis3 2" xfId="118" xr:uid="{00000000-0005-0000-0000-0000AA000000}"/>
    <cellStyle name="Énfasis3 2 2" xfId="119" xr:uid="{00000000-0005-0000-0000-0000AB000000}"/>
    <cellStyle name="Énfasis3 3" xfId="313" xr:uid="{00000000-0005-0000-0000-0000AC000000}"/>
    <cellStyle name="Énfasis4" xfId="120" builtinId="41" customBuiltin="1"/>
    <cellStyle name="Énfasis4 2" xfId="121" xr:uid="{00000000-0005-0000-0000-0000AE000000}"/>
    <cellStyle name="Énfasis4 2 2" xfId="122" xr:uid="{00000000-0005-0000-0000-0000AF000000}"/>
    <cellStyle name="Énfasis4 3" xfId="314" xr:uid="{00000000-0005-0000-0000-0000B0000000}"/>
    <cellStyle name="Énfasis5" xfId="123" builtinId="45" customBuiltin="1"/>
    <cellStyle name="Énfasis5 2" xfId="124" xr:uid="{00000000-0005-0000-0000-0000B2000000}"/>
    <cellStyle name="Énfasis5 2 2" xfId="125" xr:uid="{00000000-0005-0000-0000-0000B3000000}"/>
    <cellStyle name="Énfasis5 3" xfId="315" xr:uid="{00000000-0005-0000-0000-0000B4000000}"/>
    <cellStyle name="Énfasis6" xfId="126" builtinId="49" customBuiltin="1"/>
    <cellStyle name="Énfasis6 2" xfId="127" xr:uid="{00000000-0005-0000-0000-0000B6000000}"/>
    <cellStyle name="Énfasis6 2 2" xfId="128" xr:uid="{00000000-0005-0000-0000-0000B7000000}"/>
    <cellStyle name="Énfasis6 3" xfId="316" xr:uid="{00000000-0005-0000-0000-0000B8000000}"/>
    <cellStyle name="Entrada" xfId="129" builtinId="20" customBuiltin="1"/>
    <cellStyle name="Entrada 2" xfId="130" xr:uid="{00000000-0005-0000-0000-0000BA000000}"/>
    <cellStyle name="Entrada 2 2" xfId="131" xr:uid="{00000000-0005-0000-0000-0000BB000000}"/>
    <cellStyle name="Entrada 3" xfId="317" xr:uid="{00000000-0005-0000-0000-0000BC000000}"/>
    <cellStyle name="Espacio" xfId="132" xr:uid="{00000000-0005-0000-0000-0000BD000000}"/>
    <cellStyle name="Euro" xfId="133" xr:uid="{00000000-0005-0000-0000-0000BE000000}"/>
    <cellStyle name="Evaluación" xfId="134" xr:uid="{00000000-0005-0000-0000-0000BF000000}"/>
    <cellStyle name="Evaluación 2" xfId="135" xr:uid="{00000000-0005-0000-0000-0000C0000000}"/>
    <cellStyle name="Fecha" xfId="136" xr:uid="{00000000-0005-0000-0000-0000C1000000}"/>
    <cellStyle name="Fecha 2" xfId="137" xr:uid="{00000000-0005-0000-0000-0000C2000000}"/>
    <cellStyle name="Incorrecto" xfId="138" builtinId="27" customBuiltin="1"/>
    <cellStyle name="Incorrecto 2" xfId="139" xr:uid="{00000000-0005-0000-0000-0000C4000000}"/>
    <cellStyle name="Incorrecto 2 2" xfId="140" xr:uid="{00000000-0005-0000-0000-0000C5000000}"/>
    <cellStyle name="Incorrecto 3" xfId="318" xr:uid="{00000000-0005-0000-0000-0000C6000000}"/>
    <cellStyle name="Kg." xfId="141" xr:uid="{00000000-0005-0000-0000-0000C7000000}"/>
    <cellStyle name="Kg. 2" xfId="142" xr:uid="{00000000-0005-0000-0000-0000C8000000}"/>
    <cellStyle name="Kg./m³" xfId="143" xr:uid="{00000000-0005-0000-0000-0000C9000000}"/>
    <cellStyle name="Kg-m" xfId="144" xr:uid="{00000000-0005-0000-0000-0000CA000000}"/>
    <cellStyle name="Kg-m 2" xfId="145" xr:uid="{00000000-0005-0000-0000-0000CB000000}"/>
    <cellStyle name="Kilos" xfId="146" xr:uid="{00000000-0005-0000-0000-0000CC000000}"/>
    <cellStyle name="Kilos 2" xfId="147" xr:uid="{00000000-0005-0000-0000-0000CD000000}"/>
    <cellStyle name="Km/gal" xfId="148" xr:uid="{00000000-0005-0000-0000-0000CE000000}"/>
    <cellStyle name="Km/gal 2" xfId="149" xr:uid="{00000000-0005-0000-0000-0000CF000000}"/>
    <cellStyle name="Km/hr" xfId="150" xr:uid="{00000000-0005-0000-0000-0000D0000000}"/>
    <cellStyle name="Km/hr 2" xfId="151" xr:uid="{00000000-0005-0000-0000-0000D1000000}"/>
    <cellStyle name="l/hr" xfId="152" xr:uid="{00000000-0005-0000-0000-0000D2000000}"/>
    <cellStyle name="l/hr 2" xfId="153" xr:uid="{00000000-0005-0000-0000-0000D3000000}"/>
    <cellStyle name="Litros" xfId="154" xr:uid="{00000000-0005-0000-0000-0000D4000000}"/>
    <cellStyle name="m" xfId="155" xr:uid="{00000000-0005-0000-0000-0000D5000000}"/>
    <cellStyle name="m 2" xfId="156" xr:uid="{00000000-0005-0000-0000-0000D6000000}"/>
    <cellStyle name="m/m" xfId="157" xr:uid="{00000000-0005-0000-0000-0000D7000000}"/>
    <cellStyle name="m²" xfId="158" xr:uid="{00000000-0005-0000-0000-0000D8000000}"/>
    <cellStyle name="m² 2" xfId="159" xr:uid="{00000000-0005-0000-0000-0000D9000000}"/>
    <cellStyle name="m³" xfId="160" xr:uid="{00000000-0005-0000-0000-0000DA000000}"/>
    <cellStyle name="m³ 2" xfId="161" xr:uid="{00000000-0005-0000-0000-0000DB000000}"/>
    <cellStyle name="Milimetros" xfId="162" xr:uid="{00000000-0005-0000-0000-0000DC000000}"/>
    <cellStyle name="Milimetros 2" xfId="163" xr:uid="{00000000-0005-0000-0000-0000DD000000}"/>
    <cellStyle name="Millares" xfId="164" builtinId="3"/>
    <cellStyle name="Millares 10" xfId="266" xr:uid="{00000000-0005-0000-0000-0000DF000000}"/>
    <cellStyle name="Millares 11" xfId="267" xr:uid="{00000000-0005-0000-0000-0000E0000000}"/>
    <cellStyle name="Millares 12" xfId="268" xr:uid="{00000000-0005-0000-0000-0000E1000000}"/>
    <cellStyle name="Millares 13" xfId="277" xr:uid="{00000000-0005-0000-0000-0000E2000000}"/>
    <cellStyle name="Millares 14" xfId="363" xr:uid="{00000000-0005-0000-0000-0000E3000000}"/>
    <cellStyle name="Millares 15" xfId="365" xr:uid="{00000000-0005-0000-0000-0000E4000000}"/>
    <cellStyle name="Millares 2" xfId="257" xr:uid="{00000000-0005-0000-0000-0000E5000000}"/>
    <cellStyle name="Millares 2 2" xfId="165" xr:uid="{00000000-0005-0000-0000-0000E6000000}"/>
    <cellStyle name="Millares 2 2 2" xfId="166" xr:uid="{00000000-0005-0000-0000-0000E7000000}"/>
    <cellStyle name="Millares 2 2 2 2" xfId="167" xr:uid="{00000000-0005-0000-0000-0000E8000000}"/>
    <cellStyle name="Millares 2 2 3" xfId="259" xr:uid="{00000000-0005-0000-0000-0000E9000000}"/>
    <cellStyle name="Millares 2 3" xfId="340" xr:uid="{00000000-0005-0000-0000-0000EA000000}"/>
    <cellStyle name="Millares 2 4" xfId="352" xr:uid="{00000000-0005-0000-0000-0000EB000000}"/>
    <cellStyle name="Millares 3" xfId="321" xr:uid="{00000000-0005-0000-0000-0000EC000000}"/>
    <cellStyle name="Millares 4" xfId="260" xr:uid="{00000000-0005-0000-0000-0000ED000000}"/>
    <cellStyle name="Millares 5" xfId="261" xr:uid="{00000000-0005-0000-0000-0000EE000000}"/>
    <cellStyle name="Millares 6" xfId="262" xr:uid="{00000000-0005-0000-0000-0000EF000000}"/>
    <cellStyle name="Millares 7" xfId="263" xr:uid="{00000000-0005-0000-0000-0000F0000000}"/>
    <cellStyle name="Millares 8" xfId="264" xr:uid="{00000000-0005-0000-0000-0000F1000000}"/>
    <cellStyle name="Millares 9" xfId="265" xr:uid="{00000000-0005-0000-0000-0000F2000000}"/>
    <cellStyle name="Millones" xfId="168" xr:uid="{00000000-0005-0000-0000-0000F3000000}"/>
    <cellStyle name="Millones (0)" xfId="169" xr:uid="{00000000-0005-0000-0000-0000F4000000}"/>
    <cellStyle name="Millones (0) 2" xfId="170" xr:uid="{00000000-0005-0000-0000-0000F5000000}"/>
    <cellStyle name="Millones 2" xfId="171" xr:uid="{00000000-0005-0000-0000-0000F6000000}"/>
    <cellStyle name="Millones 3" xfId="323" xr:uid="{00000000-0005-0000-0000-0000F7000000}"/>
    <cellStyle name="Millones 4" xfId="288" xr:uid="{00000000-0005-0000-0000-0000F8000000}"/>
    <cellStyle name="Moneda centrado" xfId="172" xr:uid="{00000000-0005-0000-0000-0000F9000000}"/>
    <cellStyle name="Moneda centrado 2" xfId="173" xr:uid="{00000000-0005-0000-0000-0000FA000000}"/>
    <cellStyle name="Neutral" xfId="174" builtinId="28" customBuiltin="1"/>
    <cellStyle name="Neutral 2" xfId="175" xr:uid="{00000000-0005-0000-0000-0000FC000000}"/>
    <cellStyle name="Neutral 2 2" xfId="176" xr:uid="{00000000-0005-0000-0000-0000FD000000}"/>
    <cellStyle name="Neutral 3" xfId="325" xr:uid="{00000000-0005-0000-0000-0000FE000000}"/>
    <cellStyle name="Normal" xfId="0" builtinId="0"/>
    <cellStyle name="Normal 10" xfId="275" xr:uid="{00000000-0005-0000-0000-000000010000}"/>
    <cellStyle name="Normal 10 2" xfId="343" xr:uid="{00000000-0005-0000-0000-000001010000}"/>
    <cellStyle name="Normal 11" xfId="278" xr:uid="{00000000-0005-0000-0000-000002010000}"/>
    <cellStyle name="Normal 11 2" xfId="331" xr:uid="{00000000-0005-0000-0000-000003010000}"/>
    <cellStyle name="Normal 12" xfId="276" xr:uid="{00000000-0005-0000-0000-000004010000}"/>
    <cellStyle name="Normal 13" xfId="345" xr:uid="{00000000-0005-0000-0000-000005010000}"/>
    <cellStyle name="Normal 14" xfId="348" xr:uid="{00000000-0005-0000-0000-000006010000}"/>
    <cellStyle name="Normal 15" xfId="350" xr:uid="{00000000-0005-0000-0000-000007010000}"/>
    <cellStyle name="Normal 16" xfId="353" xr:uid="{00000000-0005-0000-0000-000008010000}"/>
    <cellStyle name="Normal 17" xfId="355" xr:uid="{00000000-0005-0000-0000-000009010000}"/>
    <cellStyle name="Normal 18" xfId="362" xr:uid="{00000000-0005-0000-0000-00000A010000}"/>
    <cellStyle name="Normal 19" xfId="358" xr:uid="{00000000-0005-0000-0000-00000B010000}"/>
    <cellStyle name="Normal 2" xfId="177" xr:uid="{00000000-0005-0000-0000-00000C010000}"/>
    <cellStyle name="Normal 2 10" xfId="347" xr:uid="{00000000-0005-0000-0000-00000D010000}"/>
    <cellStyle name="Normal 2 11" xfId="349" xr:uid="{00000000-0005-0000-0000-00000E010000}"/>
    <cellStyle name="Normal 2 12" xfId="354" xr:uid="{00000000-0005-0000-0000-00000F010000}"/>
    <cellStyle name="Normal 2 13" xfId="356" xr:uid="{00000000-0005-0000-0000-000010010000}"/>
    <cellStyle name="Normal 2 14" xfId="357" xr:uid="{00000000-0005-0000-0000-000011010000}"/>
    <cellStyle name="Normal 2 15" xfId="359" xr:uid="{00000000-0005-0000-0000-000012010000}"/>
    <cellStyle name="Normal 2 16" xfId="361" xr:uid="{00000000-0005-0000-0000-000013010000}"/>
    <cellStyle name="Normal 2 2" xfId="178" xr:uid="{00000000-0005-0000-0000-000014010000}"/>
    <cellStyle name="Normal 2 2 2" xfId="179" xr:uid="{00000000-0005-0000-0000-000015010000}"/>
    <cellStyle name="Normal 2 2 2 2" xfId="180" xr:uid="{00000000-0005-0000-0000-000016010000}"/>
    <cellStyle name="Normal 2 2 2_Camion y Tracto" xfId="251" xr:uid="{00000000-0005-0000-0000-000017010000}"/>
    <cellStyle name="Normal 2 3" xfId="181" xr:uid="{00000000-0005-0000-0000-000018010000}"/>
    <cellStyle name="Normal 2 3 2" xfId="182" xr:uid="{00000000-0005-0000-0000-000019010000}"/>
    <cellStyle name="Normal 2 3_Camion y Tracto" xfId="252" xr:uid="{00000000-0005-0000-0000-00001A010000}"/>
    <cellStyle name="Normal 2 4" xfId="258" xr:uid="{00000000-0005-0000-0000-00001B010000}"/>
    <cellStyle name="Normal 2 5" xfId="271" xr:uid="{00000000-0005-0000-0000-00001C010000}"/>
    <cellStyle name="Normal 2 6" xfId="273" xr:uid="{00000000-0005-0000-0000-00001D010000}"/>
    <cellStyle name="Normal 2 7" xfId="274" xr:uid="{00000000-0005-0000-0000-00001E010000}"/>
    <cellStyle name="Normal 2 8" xfId="344" xr:uid="{00000000-0005-0000-0000-00001F010000}"/>
    <cellStyle name="Normal 2 9" xfId="346" xr:uid="{00000000-0005-0000-0000-000020010000}"/>
    <cellStyle name="Normal 2_1" xfId="183" xr:uid="{00000000-0005-0000-0000-000021010000}"/>
    <cellStyle name="Normal 20" xfId="360" xr:uid="{00000000-0005-0000-0000-000022010000}"/>
    <cellStyle name="Normal 21" xfId="364" xr:uid="{00000000-0005-0000-0000-000023010000}"/>
    <cellStyle name="Normal 29" xfId="370" xr:uid="{00000000-0005-0000-0000-000024010000}"/>
    <cellStyle name="Normal 3" xfId="184" xr:uid="{00000000-0005-0000-0000-000025010000}"/>
    <cellStyle name="Normal 3 2" xfId="185" xr:uid="{00000000-0005-0000-0000-000026010000}"/>
    <cellStyle name="Normal 3 3" xfId="351" xr:uid="{00000000-0005-0000-0000-000027010000}"/>
    <cellStyle name="Normal 3_Camion y Tracto" xfId="253" xr:uid="{00000000-0005-0000-0000-000028010000}"/>
    <cellStyle name="Normal 4" xfId="186" xr:uid="{00000000-0005-0000-0000-000029010000}"/>
    <cellStyle name="Normal 4 2" xfId="269" xr:uid="{00000000-0005-0000-0000-00002A010000}"/>
    <cellStyle name="Normal 4 3" xfId="366" xr:uid="{00000000-0005-0000-0000-00002B010000}"/>
    <cellStyle name="Normal 5" xfId="187" xr:uid="{00000000-0005-0000-0000-00002C010000}"/>
    <cellStyle name="Normal 6" xfId="238" xr:uid="{00000000-0005-0000-0000-00002D010000}"/>
    <cellStyle name="Normal 7" xfId="256" xr:uid="{00000000-0005-0000-0000-00002E010000}"/>
    <cellStyle name="Normal 7 2" xfId="339" xr:uid="{00000000-0005-0000-0000-00002F010000}"/>
    <cellStyle name="Normal 8" xfId="270" xr:uid="{00000000-0005-0000-0000-000030010000}"/>
    <cellStyle name="Normal 8 2" xfId="341" xr:uid="{00000000-0005-0000-0000-000031010000}"/>
    <cellStyle name="Normal 9" xfId="272" xr:uid="{00000000-0005-0000-0000-000032010000}"/>
    <cellStyle name="Normal 9 2" xfId="342" xr:uid="{00000000-0005-0000-0000-000033010000}"/>
    <cellStyle name="Normal_Hoja1 2" xfId="368" xr:uid="{00000000-0005-0000-0000-000035010000}"/>
    <cellStyle name="Normal_Hoja2 2" xfId="367" xr:uid="{00000000-0005-0000-0000-000037010000}"/>
    <cellStyle name="Normal_Hoja2_Marca y mes" xfId="372" xr:uid="{6CAC4FC7-E4FD-474B-AC7C-6B8C6DD6E2CC}"/>
    <cellStyle name="Normal_Hoja6 2" xfId="373" xr:uid="{08614DA6-469E-45E0-8FE3-8FDDC6249D35}"/>
    <cellStyle name="Normal_Hoja7 2" xfId="371" xr:uid="{D34BC6FD-615E-4352-95B2-6D2CF9D7B18C}"/>
    <cellStyle name="Normal_Hoja9" xfId="374" xr:uid="{E3A3621E-355F-48EC-9161-C145FD5D2434}"/>
    <cellStyle name="Notas" xfId="188" builtinId="10" customBuiltin="1"/>
    <cellStyle name="Notas 2" xfId="189" xr:uid="{00000000-0005-0000-0000-00003E010000}"/>
    <cellStyle name="Notas 2 2" xfId="190" xr:uid="{00000000-0005-0000-0000-00003F010000}"/>
    <cellStyle name="Notas 2 2 2" xfId="191" xr:uid="{00000000-0005-0000-0000-000040010000}"/>
    <cellStyle name="Notas 2 3" xfId="192" xr:uid="{00000000-0005-0000-0000-000041010000}"/>
    <cellStyle name="Notas 2 3 2" xfId="193" xr:uid="{00000000-0005-0000-0000-000042010000}"/>
    <cellStyle name="Notas 3" xfId="327" xr:uid="{00000000-0005-0000-0000-000043010000}"/>
    <cellStyle name="Partida" xfId="194" xr:uid="{00000000-0005-0000-0000-000044010000}"/>
    <cellStyle name="Partida 2" xfId="195" xr:uid="{00000000-0005-0000-0000-000045010000}"/>
    <cellStyle name="Porcentaje 2" xfId="369" xr:uid="{00000000-0005-0000-0000-000046010000}"/>
    <cellStyle name="Porcentual 2" xfId="255" xr:uid="{00000000-0005-0000-0000-000047010000}"/>
    <cellStyle name="PS" xfId="196" xr:uid="{00000000-0005-0000-0000-000048010000}"/>
    <cellStyle name="Relación" xfId="197" xr:uid="{00000000-0005-0000-0000-000049010000}"/>
    <cellStyle name="rpm" xfId="198" xr:uid="{00000000-0005-0000-0000-00004A010000}"/>
    <cellStyle name="rpm 2" xfId="199" xr:uid="{00000000-0005-0000-0000-00004B010000}"/>
    <cellStyle name="Salida" xfId="200" builtinId="21" customBuiltin="1"/>
    <cellStyle name="Salida 2" xfId="201" xr:uid="{00000000-0005-0000-0000-00004D010000}"/>
    <cellStyle name="Salida 2 2" xfId="202" xr:uid="{00000000-0005-0000-0000-00004E010000}"/>
    <cellStyle name="Salida 3" xfId="330" xr:uid="{00000000-0005-0000-0000-00004F010000}"/>
    <cellStyle name="Small 6" xfId="203" xr:uid="{00000000-0005-0000-0000-000050010000}"/>
    <cellStyle name="Soles" xfId="204" xr:uid="{00000000-0005-0000-0000-000051010000}"/>
    <cellStyle name="Soles 2" xfId="205" xr:uid="{00000000-0005-0000-0000-000052010000}"/>
    <cellStyle name="Subscript" xfId="206" xr:uid="{00000000-0005-0000-0000-000053010000}"/>
    <cellStyle name="Superscript" xfId="207" xr:uid="{00000000-0005-0000-0000-000054010000}"/>
    <cellStyle name="Teléfono" xfId="208" xr:uid="{00000000-0005-0000-0000-000055010000}"/>
    <cellStyle name="Teléfono 2" xfId="209" xr:uid="{00000000-0005-0000-0000-000056010000}"/>
    <cellStyle name="Text" xfId="210" xr:uid="{00000000-0005-0000-0000-000057010000}"/>
    <cellStyle name="Text 2" xfId="211" xr:uid="{00000000-0005-0000-0000-000058010000}"/>
    <cellStyle name="Texto de advertencia" xfId="212" builtinId="11" customBuiltin="1"/>
    <cellStyle name="Texto de advertencia 2" xfId="213" xr:uid="{00000000-0005-0000-0000-00005A010000}"/>
    <cellStyle name="Texto de advertencia 2 2" xfId="214" xr:uid="{00000000-0005-0000-0000-00005B010000}"/>
    <cellStyle name="Texto de advertencia 3" xfId="332" xr:uid="{00000000-0005-0000-0000-00005C010000}"/>
    <cellStyle name="Texto explicativo" xfId="215" builtinId="53" customBuiltin="1"/>
    <cellStyle name="Texto explicativo 2" xfId="216" xr:uid="{00000000-0005-0000-0000-00005E010000}"/>
    <cellStyle name="Texto explicativo 2 2" xfId="217" xr:uid="{00000000-0005-0000-0000-00005F010000}"/>
    <cellStyle name="Texto explicativo 3" xfId="333" xr:uid="{00000000-0005-0000-0000-000060010000}"/>
    <cellStyle name="Time" xfId="218" xr:uid="{00000000-0005-0000-0000-000061010000}"/>
    <cellStyle name="Title 10" xfId="219" xr:uid="{00000000-0005-0000-0000-000062010000}"/>
    <cellStyle name="Title 10 2" xfId="220" xr:uid="{00000000-0005-0000-0000-000063010000}"/>
    <cellStyle name="Title 10_Camion y Tracto" xfId="254" xr:uid="{00000000-0005-0000-0000-000064010000}"/>
    <cellStyle name="Título" xfId="221" builtinId="15" customBuiltin="1"/>
    <cellStyle name="Título 1 2" xfId="222" xr:uid="{00000000-0005-0000-0000-000066010000}"/>
    <cellStyle name="Título 1 2 2" xfId="223" xr:uid="{00000000-0005-0000-0000-000067010000}"/>
    <cellStyle name="Título 2" xfId="224" builtinId="17" customBuiltin="1"/>
    <cellStyle name="Título 2 2" xfId="225" xr:uid="{00000000-0005-0000-0000-000069010000}"/>
    <cellStyle name="Título 2 2 2" xfId="226" xr:uid="{00000000-0005-0000-0000-00006A010000}"/>
    <cellStyle name="Título 2 3" xfId="335" xr:uid="{00000000-0005-0000-0000-00006B010000}"/>
    <cellStyle name="Título 3" xfId="227" builtinId="18" customBuiltin="1"/>
    <cellStyle name="Título 3 2" xfId="228" xr:uid="{00000000-0005-0000-0000-00006D010000}"/>
    <cellStyle name="Título 3 2 2" xfId="229" xr:uid="{00000000-0005-0000-0000-00006E010000}"/>
    <cellStyle name="Título 3 3" xfId="336" xr:uid="{00000000-0005-0000-0000-00006F010000}"/>
    <cellStyle name="Título 4" xfId="230" xr:uid="{00000000-0005-0000-0000-000070010000}"/>
    <cellStyle name="Título 4 2" xfId="231" xr:uid="{00000000-0005-0000-0000-000071010000}"/>
    <cellStyle name="Título 5" xfId="334" xr:uid="{00000000-0005-0000-0000-000072010000}"/>
    <cellStyle name="Ton" xfId="232" xr:uid="{00000000-0005-0000-0000-000073010000}"/>
    <cellStyle name="Ton 2" xfId="233" xr:uid="{00000000-0005-0000-0000-000074010000}"/>
    <cellStyle name="Total" xfId="234" builtinId="25" customBuiltin="1"/>
    <cellStyle name="Total 2" xfId="235" xr:uid="{00000000-0005-0000-0000-000076010000}"/>
    <cellStyle name="Total 2 2" xfId="236" xr:uid="{00000000-0005-0000-0000-000077010000}"/>
    <cellStyle name="Total 3" xfId="337" xr:uid="{00000000-0005-0000-0000-000078010000}"/>
    <cellStyle name="Wrap Text 8" xfId="237" xr:uid="{00000000-0005-0000-0000-0000790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76E24DE6-B58A-45BA-9745-AABAF62C81EA}">
      <tableStyleElement type="wholeTable" dxfId="8"/>
      <tableStyleElement type="headerRow" dxfId="7"/>
    </tableStyle>
  </tableStyles>
  <colors>
    <mruColors>
      <color rgb="FF99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6757</xdr:colOff>
      <xdr:row>40</xdr:row>
      <xdr:rowOff>154996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BC15D0-0A86-5D25-8345-89AB0B55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6757" cy="6504996"/>
        </a:xfrm>
        <a:prstGeom prst="rect">
          <a:avLst/>
        </a:prstGeom>
      </xdr:spPr>
    </xdr:pic>
    <xdr:clientData/>
  </xdr:twoCellAnchor>
  <xdr:oneCellAnchor>
    <xdr:from>
      <xdr:col>7</xdr:col>
      <xdr:colOff>508000</xdr:colOff>
      <xdr:row>9</xdr:row>
      <xdr:rowOff>111125</xdr:rowOff>
    </xdr:from>
    <xdr:ext cx="1499513" cy="405432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41C0450-45CA-2187-FD6C-E91BAABC7086}"/>
            </a:ext>
          </a:extLst>
        </xdr:cNvPr>
        <xdr:cNvSpPr txBox="1"/>
      </xdr:nvSpPr>
      <xdr:spPr>
        <a:xfrm>
          <a:off x="5842000" y="1539875"/>
          <a:ext cx="149951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000" b="1" baseline="0">
              <a:solidFill>
                <a:schemeClr val="accent1">
                  <a:lumMod val="75000"/>
                </a:schemeClr>
              </a:solidFill>
            </a:rPr>
            <a:t>ENERO 2025</a:t>
          </a:r>
          <a:endParaRPr lang="es-PE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9F2F-EF2E-4637-8EDF-3B0F76885F89}">
  <dimension ref="A1"/>
  <sheetViews>
    <sheetView showGridLines="0" zoomScale="60" zoomScaleNormal="60"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2"/>
  </sheetPr>
  <dimension ref="A1:AA43"/>
  <sheetViews>
    <sheetView tabSelected="1" zoomScale="80" zoomScaleNormal="80" workbookViewId="0"/>
  </sheetViews>
  <sheetFormatPr baseColWidth="10" defaultRowHeight="18" outlineLevelCol="1" x14ac:dyDescent="0.25"/>
  <cols>
    <col min="1" max="1" width="24.5703125" style="8" customWidth="1"/>
    <col min="2" max="2" width="9.5703125" style="10" customWidth="1"/>
    <col min="3" max="3" width="8" style="10" hidden="1" customWidth="1" outlineLevel="1"/>
    <col min="4" max="4" width="8.42578125" style="6" hidden="1" customWidth="1" outlineLevel="1"/>
    <col min="5" max="5" width="8" style="10" hidden="1" customWidth="1" outlineLevel="1"/>
    <col min="6" max="6" width="8.5703125" style="10" hidden="1" customWidth="1" outlineLevel="1"/>
    <col min="7" max="8" width="7.7109375" style="10" hidden="1" customWidth="1" outlineLevel="1"/>
    <col min="9" max="9" width="8.140625" style="10" hidden="1" customWidth="1" outlineLevel="1"/>
    <col min="10" max="10" width="7.7109375" style="10" hidden="1" customWidth="1" outlineLevel="1"/>
    <col min="11" max="11" width="7.85546875" style="10" hidden="1" customWidth="1" outlineLevel="1"/>
    <col min="12" max="12" width="8.42578125" style="10" hidden="1" customWidth="1" outlineLevel="1"/>
    <col min="13" max="13" width="10.85546875" style="10" hidden="1" customWidth="1" outlineLevel="1"/>
    <col min="14" max="14" width="12.42578125" style="9" customWidth="1" collapsed="1"/>
    <col min="15" max="15" width="14.5703125" style="8" customWidth="1"/>
    <col min="16" max="16" width="17" style="8" customWidth="1"/>
    <col min="17" max="17" width="0.42578125" style="7" customWidth="1"/>
    <col min="18" max="19" width="9.85546875" style="6" customWidth="1"/>
    <col min="20" max="21" width="17.42578125" style="5" customWidth="1"/>
    <col min="22" max="22" width="1" style="1" customWidth="1"/>
    <col min="23" max="23" width="15.5703125" style="3" customWidth="1"/>
    <col min="24" max="24" width="14.7109375" style="2" customWidth="1"/>
    <col min="25" max="258" width="11.5703125" style="1"/>
    <col min="259" max="259" width="37.7109375" style="1" customWidth="1"/>
    <col min="260" max="260" width="15.85546875" style="1" customWidth="1"/>
    <col min="261" max="262" width="10.85546875" style="1" customWidth="1"/>
    <col min="263" max="271" width="0" style="1" hidden="1" customWidth="1"/>
    <col min="272" max="272" width="13.7109375" style="1" customWidth="1"/>
    <col min="273" max="273" width="17.28515625" style="1" customWidth="1"/>
    <col min="274" max="274" width="16" style="1" customWidth="1"/>
    <col min="275" max="275" width="0.7109375" style="1" customWidth="1"/>
    <col min="276" max="276" width="12" style="1" customWidth="1"/>
    <col min="277" max="277" width="10.5703125" style="1" customWidth="1"/>
    <col min="278" max="278" width="1.140625" style="1" customWidth="1"/>
    <col min="279" max="279" width="14.42578125" style="1" customWidth="1"/>
    <col min="280" max="280" width="11.5703125" style="1" customWidth="1"/>
    <col min="281" max="514" width="11.5703125" style="1"/>
    <col min="515" max="515" width="37.7109375" style="1" customWidth="1"/>
    <col min="516" max="516" width="15.85546875" style="1" customWidth="1"/>
    <col min="517" max="518" width="10.85546875" style="1" customWidth="1"/>
    <col min="519" max="527" width="0" style="1" hidden="1" customWidth="1"/>
    <col min="528" max="528" width="13.7109375" style="1" customWidth="1"/>
    <col min="529" max="529" width="17.28515625" style="1" customWidth="1"/>
    <col min="530" max="530" width="16" style="1" customWidth="1"/>
    <col min="531" max="531" width="0.7109375" style="1" customWidth="1"/>
    <col min="532" max="532" width="12" style="1" customWidth="1"/>
    <col min="533" max="533" width="10.5703125" style="1" customWidth="1"/>
    <col min="534" max="534" width="1.140625" style="1" customWidth="1"/>
    <col min="535" max="535" width="14.42578125" style="1" customWidth="1"/>
    <col min="536" max="536" width="11.5703125" style="1" customWidth="1"/>
    <col min="537" max="770" width="11.5703125" style="1"/>
    <col min="771" max="771" width="37.7109375" style="1" customWidth="1"/>
    <col min="772" max="772" width="15.85546875" style="1" customWidth="1"/>
    <col min="773" max="774" width="10.85546875" style="1" customWidth="1"/>
    <col min="775" max="783" width="0" style="1" hidden="1" customWidth="1"/>
    <col min="784" max="784" width="13.7109375" style="1" customWidth="1"/>
    <col min="785" max="785" width="17.28515625" style="1" customWidth="1"/>
    <col min="786" max="786" width="16" style="1" customWidth="1"/>
    <col min="787" max="787" width="0.7109375" style="1" customWidth="1"/>
    <col min="788" max="788" width="12" style="1" customWidth="1"/>
    <col min="789" max="789" width="10.5703125" style="1" customWidth="1"/>
    <col min="790" max="790" width="1.140625" style="1" customWidth="1"/>
    <col min="791" max="791" width="14.42578125" style="1" customWidth="1"/>
    <col min="792" max="792" width="11.5703125" style="1" customWidth="1"/>
    <col min="793" max="1026" width="11.5703125" style="1"/>
    <col min="1027" max="1027" width="37.7109375" style="1" customWidth="1"/>
    <col min="1028" max="1028" width="15.85546875" style="1" customWidth="1"/>
    <col min="1029" max="1030" width="10.85546875" style="1" customWidth="1"/>
    <col min="1031" max="1039" width="0" style="1" hidden="1" customWidth="1"/>
    <col min="1040" max="1040" width="13.7109375" style="1" customWidth="1"/>
    <col min="1041" max="1041" width="17.28515625" style="1" customWidth="1"/>
    <col min="1042" max="1042" width="16" style="1" customWidth="1"/>
    <col min="1043" max="1043" width="0.7109375" style="1" customWidth="1"/>
    <col min="1044" max="1044" width="12" style="1" customWidth="1"/>
    <col min="1045" max="1045" width="10.5703125" style="1" customWidth="1"/>
    <col min="1046" max="1046" width="1.140625" style="1" customWidth="1"/>
    <col min="1047" max="1047" width="14.42578125" style="1" customWidth="1"/>
    <col min="1048" max="1048" width="11.5703125" style="1" customWidth="1"/>
    <col min="1049" max="1282" width="11.5703125" style="1"/>
    <col min="1283" max="1283" width="37.7109375" style="1" customWidth="1"/>
    <col min="1284" max="1284" width="15.85546875" style="1" customWidth="1"/>
    <col min="1285" max="1286" width="10.85546875" style="1" customWidth="1"/>
    <col min="1287" max="1295" width="0" style="1" hidden="1" customWidth="1"/>
    <col min="1296" max="1296" width="13.7109375" style="1" customWidth="1"/>
    <col min="1297" max="1297" width="17.28515625" style="1" customWidth="1"/>
    <col min="1298" max="1298" width="16" style="1" customWidth="1"/>
    <col min="1299" max="1299" width="0.7109375" style="1" customWidth="1"/>
    <col min="1300" max="1300" width="12" style="1" customWidth="1"/>
    <col min="1301" max="1301" width="10.5703125" style="1" customWidth="1"/>
    <col min="1302" max="1302" width="1.140625" style="1" customWidth="1"/>
    <col min="1303" max="1303" width="14.42578125" style="1" customWidth="1"/>
    <col min="1304" max="1304" width="11.5703125" style="1" customWidth="1"/>
    <col min="1305" max="1538" width="11.5703125" style="1"/>
    <col min="1539" max="1539" width="37.7109375" style="1" customWidth="1"/>
    <col min="1540" max="1540" width="15.85546875" style="1" customWidth="1"/>
    <col min="1541" max="1542" width="10.85546875" style="1" customWidth="1"/>
    <col min="1543" max="1551" width="0" style="1" hidden="1" customWidth="1"/>
    <col min="1552" max="1552" width="13.7109375" style="1" customWidth="1"/>
    <col min="1553" max="1553" width="17.28515625" style="1" customWidth="1"/>
    <col min="1554" max="1554" width="16" style="1" customWidth="1"/>
    <col min="1555" max="1555" width="0.7109375" style="1" customWidth="1"/>
    <col min="1556" max="1556" width="12" style="1" customWidth="1"/>
    <col min="1557" max="1557" width="10.5703125" style="1" customWidth="1"/>
    <col min="1558" max="1558" width="1.140625" style="1" customWidth="1"/>
    <col min="1559" max="1559" width="14.42578125" style="1" customWidth="1"/>
    <col min="1560" max="1560" width="11.5703125" style="1" customWidth="1"/>
    <col min="1561" max="1794" width="11.5703125" style="1"/>
    <col min="1795" max="1795" width="37.7109375" style="1" customWidth="1"/>
    <col min="1796" max="1796" width="15.85546875" style="1" customWidth="1"/>
    <col min="1797" max="1798" width="10.85546875" style="1" customWidth="1"/>
    <col min="1799" max="1807" width="0" style="1" hidden="1" customWidth="1"/>
    <col min="1808" max="1808" width="13.7109375" style="1" customWidth="1"/>
    <col min="1809" max="1809" width="17.28515625" style="1" customWidth="1"/>
    <col min="1810" max="1810" width="16" style="1" customWidth="1"/>
    <col min="1811" max="1811" width="0.7109375" style="1" customWidth="1"/>
    <col min="1812" max="1812" width="12" style="1" customWidth="1"/>
    <col min="1813" max="1813" width="10.5703125" style="1" customWidth="1"/>
    <col min="1814" max="1814" width="1.140625" style="1" customWidth="1"/>
    <col min="1815" max="1815" width="14.42578125" style="1" customWidth="1"/>
    <col min="1816" max="1816" width="11.5703125" style="1" customWidth="1"/>
    <col min="1817" max="2050" width="11.5703125" style="1"/>
    <col min="2051" max="2051" width="37.7109375" style="1" customWidth="1"/>
    <col min="2052" max="2052" width="15.85546875" style="1" customWidth="1"/>
    <col min="2053" max="2054" width="10.85546875" style="1" customWidth="1"/>
    <col min="2055" max="2063" width="0" style="1" hidden="1" customWidth="1"/>
    <col min="2064" max="2064" width="13.7109375" style="1" customWidth="1"/>
    <col min="2065" max="2065" width="17.28515625" style="1" customWidth="1"/>
    <col min="2066" max="2066" width="16" style="1" customWidth="1"/>
    <col min="2067" max="2067" width="0.7109375" style="1" customWidth="1"/>
    <col min="2068" max="2068" width="12" style="1" customWidth="1"/>
    <col min="2069" max="2069" width="10.5703125" style="1" customWidth="1"/>
    <col min="2070" max="2070" width="1.140625" style="1" customWidth="1"/>
    <col min="2071" max="2071" width="14.42578125" style="1" customWidth="1"/>
    <col min="2072" max="2072" width="11.5703125" style="1" customWidth="1"/>
    <col min="2073" max="2306" width="11.5703125" style="1"/>
    <col min="2307" max="2307" width="37.7109375" style="1" customWidth="1"/>
    <col min="2308" max="2308" width="15.85546875" style="1" customWidth="1"/>
    <col min="2309" max="2310" width="10.85546875" style="1" customWidth="1"/>
    <col min="2311" max="2319" width="0" style="1" hidden="1" customWidth="1"/>
    <col min="2320" max="2320" width="13.7109375" style="1" customWidth="1"/>
    <col min="2321" max="2321" width="17.28515625" style="1" customWidth="1"/>
    <col min="2322" max="2322" width="16" style="1" customWidth="1"/>
    <col min="2323" max="2323" width="0.7109375" style="1" customWidth="1"/>
    <col min="2324" max="2324" width="12" style="1" customWidth="1"/>
    <col min="2325" max="2325" width="10.5703125" style="1" customWidth="1"/>
    <col min="2326" max="2326" width="1.140625" style="1" customWidth="1"/>
    <col min="2327" max="2327" width="14.42578125" style="1" customWidth="1"/>
    <col min="2328" max="2328" width="11.5703125" style="1" customWidth="1"/>
    <col min="2329" max="2562" width="11.5703125" style="1"/>
    <col min="2563" max="2563" width="37.7109375" style="1" customWidth="1"/>
    <col min="2564" max="2564" width="15.85546875" style="1" customWidth="1"/>
    <col min="2565" max="2566" width="10.85546875" style="1" customWidth="1"/>
    <col min="2567" max="2575" width="0" style="1" hidden="1" customWidth="1"/>
    <col min="2576" max="2576" width="13.7109375" style="1" customWidth="1"/>
    <col min="2577" max="2577" width="17.28515625" style="1" customWidth="1"/>
    <col min="2578" max="2578" width="16" style="1" customWidth="1"/>
    <col min="2579" max="2579" width="0.7109375" style="1" customWidth="1"/>
    <col min="2580" max="2580" width="12" style="1" customWidth="1"/>
    <col min="2581" max="2581" width="10.5703125" style="1" customWidth="1"/>
    <col min="2582" max="2582" width="1.140625" style="1" customWidth="1"/>
    <col min="2583" max="2583" width="14.42578125" style="1" customWidth="1"/>
    <col min="2584" max="2584" width="11.5703125" style="1" customWidth="1"/>
    <col min="2585" max="2818" width="11.5703125" style="1"/>
    <col min="2819" max="2819" width="37.7109375" style="1" customWidth="1"/>
    <col min="2820" max="2820" width="15.85546875" style="1" customWidth="1"/>
    <col min="2821" max="2822" width="10.85546875" style="1" customWidth="1"/>
    <col min="2823" max="2831" width="0" style="1" hidden="1" customWidth="1"/>
    <col min="2832" max="2832" width="13.7109375" style="1" customWidth="1"/>
    <col min="2833" max="2833" width="17.28515625" style="1" customWidth="1"/>
    <col min="2834" max="2834" width="16" style="1" customWidth="1"/>
    <col min="2835" max="2835" width="0.7109375" style="1" customWidth="1"/>
    <col min="2836" max="2836" width="12" style="1" customWidth="1"/>
    <col min="2837" max="2837" width="10.5703125" style="1" customWidth="1"/>
    <col min="2838" max="2838" width="1.140625" style="1" customWidth="1"/>
    <col min="2839" max="2839" width="14.42578125" style="1" customWidth="1"/>
    <col min="2840" max="2840" width="11.5703125" style="1" customWidth="1"/>
    <col min="2841" max="3074" width="11.5703125" style="1"/>
    <col min="3075" max="3075" width="37.7109375" style="1" customWidth="1"/>
    <col min="3076" max="3076" width="15.85546875" style="1" customWidth="1"/>
    <col min="3077" max="3078" width="10.85546875" style="1" customWidth="1"/>
    <col min="3079" max="3087" width="0" style="1" hidden="1" customWidth="1"/>
    <col min="3088" max="3088" width="13.7109375" style="1" customWidth="1"/>
    <col min="3089" max="3089" width="17.28515625" style="1" customWidth="1"/>
    <col min="3090" max="3090" width="16" style="1" customWidth="1"/>
    <col min="3091" max="3091" width="0.7109375" style="1" customWidth="1"/>
    <col min="3092" max="3092" width="12" style="1" customWidth="1"/>
    <col min="3093" max="3093" width="10.5703125" style="1" customWidth="1"/>
    <col min="3094" max="3094" width="1.140625" style="1" customWidth="1"/>
    <col min="3095" max="3095" width="14.42578125" style="1" customWidth="1"/>
    <col min="3096" max="3096" width="11.5703125" style="1" customWidth="1"/>
    <col min="3097" max="3330" width="11.5703125" style="1"/>
    <col min="3331" max="3331" width="37.7109375" style="1" customWidth="1"/>
    <col min="3332" max="3332" width="15.85546875" style="1" customWidth="1"/>
    <col min="3333" max="3334" width="10.85546875" style="1" customWidth="1"/>
    <col min="3335" max="3343" width="0" style="1" hidden="1" customWidth="1"/>
    <col min="3344" max="3344" width="13.7109375" style="1" customWidth="1"/>
    <col min="3345" max="3345" width="17.28515625" style="1" customWidth="1"/>
    <col min="3346" max="3346" width="16" style="1" customWidth="1"/>
    <col min="3347" max="3347" width="0.7109375" style="1" customWidth="1"/>
    <col min="3348" max="3348" width="12" style="1" customWidth="1"/>
    <col min="3349" max="3349" width="10.5703125" style="1" customWidth="1"/>
    <col min="3350" max="3350" width="1.140625" style="1" customWidth="1"/>
    <col min="3351" max="3351" width="14.42578125" style="1" customWidth="1"/>
    <col min="3352" max="3352" width="11.5703125" style="1" customWidth="1"/>
    <col min="3353" max="3586" width="11.5703125" style="1"/>
    <col min="3587" max="3587" width="37.7109375" style="1" customWidth="1"/>
    <col min="3588" max="3588" width="15.85546875" style="1" customWidth="1"/>
    <col min="3589" max="3590" width="10.85546875" style="1" customWidth="1"/>
    <col min="3591" max="3599" width="0" style="1" hidden="1" customWidth="1"/>
    <col min="3600" max="3600" width="13.7109375" style="1" customWidth="1"/>
    <col min="3601" max="3601" width="17.28515625" style="1" customWidth="1"/>
    <col min="3602" max="3602" width="16" style="1" customWidth="1"/>
    <col min="3603" max="3603" width="0.7109375" style="1" customWidth="1"/>
    <col min="3604" max="3604" width="12" style="1" customWidth="1"/>
    <col min="3605" max="3605" width="10.5703125" style="1" customWidth="1"/>
    <col min="3606" max="3606" width="1.140625" style="1" customWidth="1"/>
    <col min="3607" max="3607" width="14.42578125" style="1" customWidth="1"/>
    <col min="3608" max="3608" width="11.5703125" style="1" customWidth="1"/>
    <col min="3609" max="3842" width="11.5703125" style="1"/>
    <col min="3843" max="3843" width="37.7109375" style="1" customWidth="1"/>
    <col min="3844" max="3844" width="15.85546875" style="1" customWidth="1"/>
    <col min="3845" max="3846" width="10.85546875" style="1" customWidth="1"/>
    <col min="3847" max="3855" width="0" style="1" hidden="1" customWidth="1"/>
    <col min="3856" max="3856" width="13.7109375" style="1" customWidth="1"/>
    <col min="3857" max="3857" width="17.28515625" style="1" customWidth="1"/>
    <col min="3858" max="3858" width="16" style="1" customWidth="1"/>
    <col min="3859" max="3859" width="0.7109375" style="1" customWidth="1"/>
    <col min="3860" max="3860" width="12" style="1" customWidth="1"/>
    <col min="3861" max="3861" width="10.5703125" style="1" customWidth="1"/>
    <col min="3862" max="3862" width="1.140625" style="1" customWidth="1"/>
    <col min="3863" max="3863" width="14.42578125" style="1" customWidth="1"/>
    <col min="3864" max="3864" width="11.5703125" style="1" customWidth="1"/>
    <col min="3865" max="4098" width="11.5703125" style="1"/>
    <col min="4099" max="4099" width="37.7109375" style="1" customWidth="1"/>
    <col min="4100" max="4100" width="15.85546875" style="1" customWidth="1"/>
    <col min="4101" max="4102" width="10.85546875" style="1" customWidth="1"/>
    <col min="4103" max="4111" width="0" style="1" hidden="1" customWidth="1"/>
    <col min="4112" max="4112" width="13.7109375" style="1" customWidth="1"/>
    <col min="4113" max="4113" width="17.28515625" style="1" customWidth="1"/>
    <col min="4114" max="4114" width="16" style="1" customWidth="1"/>
    <col min="4115" max="4115" width="0.7109375" style="1" customWidth="1"/>
    <col min="4116" max="4116" width="12" style="1" customWidth="1"/>
    <col min="4117" max="4117" width="10.5703125" style="1" customWidth="1"/>
    <col min="4118" max="4118" width="1.140625" style="1" customWidth="1"/>
    <col min="4119" max="4119" width="14.42578125" style="1" customWidth="1"/>
    <col min="4120" max="4120" width="11.5703125" style="1" customWidth="1"/>
    <col min="4121" max="4354" width="11.5703125" style="1"/>
    <col min="4355" max="4355" width="37.7109375" style="1" customWidth="1"/>
    <col min="4356" max="4356" width="15.85546875" style="1" customWidth="1"/>
    <col min="4357" max="4358" width="10.85546875" style="1" customWidth="1"/>
    <col min="4359" max="4367" width="0" style="1" hidden="1" customWidth="1"/>
    <col min="4368" max="4368" width="13.7109375" style="1" customWidth="1"/>
    <col min="4369" max="4369" width="17.28515625" style="1" customWidth="1"/>
    <col min="4370" max="4370" width="16" style="1" customWidth="1"/>
    <col min="4371" max="4371" width="0.7109375" style="1" customWidth="1"/>
    <col min="4372" max="4372" width="12" style="1" customWidth="1"/>
    <col min="4373" max="4373" width="10.5703125" style="1" customWidth="1"/>
    <col min="4374" max="4374" width="1.140625" style="1" customWidth="1"/>
    <col min="4375" max="4375" width="14.42578125" style="1" customWidth="1"/>
    <col min="4376" max="4376" width="11.5703125" style="1" customWidth="1"/>
    <col min="4377" max="4610" width="11.5703125" style="1"/>
    <col min="4611" max="4611" width="37.7109375" style="1" customWidth="1"/>
    <col min="4612" max="4612" width="15.85546875" style="1" customWidth="1"/>
    <col min="4613" max="4614" width="10.85546875" style="1" customWidth="1"/>
    <col min="4615" max="4623" width="0" style="1" hidden="1" customWidth="1"/>
    <col min="4624" max="4624" width="13.7109375" style="1" customWidth="1"/>
    <col min="4625" max="4625" width="17.28515625" style="1" customWidth="1"/>
    <col min="4626" max="4626" width="16" style="1" customWidth="1"/>
    <col min="4627" max="4627" width="0.7109375" style="1" customWidth="1"/>
    <col min="4628" max="4628" width="12" style="1" customWidth="1"/>
    <col min="4629" max="4629" width="10.5703125" style="1" customWidth="1"/>
    <col min="4630" max="4630" width="1.140625" style="1" customWidth="1"/>
    <col min="4631" max="4631" width="14.42578125" style="1" customWidth="1"/>
    <col min="4632" max="4632" width="11.5703125" style="1" customWidth="1"/>
    <col min="4633" max="4866" width="11.5703125" style="1"/>
    <col min="4867" max="4867" width="37.7109375" style="1" customWidth="1"/>
    <col min="4868" max="4868" width="15.85546875" style="1" customWidth="1"/>
    <col min="4869" max="4870" width="10.85546875" style="1" customWidth="1"/>
    <col min="4871" max="4879" width="0" style="1" hidden="1" customWidth="1"/>
    <col min="4880" max="4880" width="13.7109375" style="1" customWidth="1"/>
    <col min="4881" max="4881" width="17.28515625" style="1" customWidth="1"/>
    <col min="4882" max="4882" width="16" style="1" customWidth="1"/>
    <col min="4883" max="4883" width="0.7109375" style="1" customWidth="1"/>
    <col min="4884" max="4884" width="12" style="1" customWidth="1"/>
    <col min="4885" max="4885" width="10.5703125" style="1" customWidth="1"/>
    <col min="4886" max="4886" width="1.140625" style="1" customWidth="1"/>
    <col min="4887" max="4887" width="14.42578125" style="1" customWidth="1"/>
    <col min="4888" max="4888" width="11.5703125" style="1" customWidth="1"/>
    <col min="4889" max="5122" width="11.5703125" style="1"/>
    <col min="5123" max="5123" width="37.7109375" style="1" customWidth="1"/>
    <col min="5124" max="5124" width="15.85546875" style="1" customWidth="1"/>
    <col min="5125" max="5126" width="10.85546875" style="1" customWidth="1"/>
    <col min="5127" max="5135" width="0" style="1" hidden="1" customWidth="1"/>
    <col min="5136" max="5136" width="13.7109375" style="1" customWidth="1"/>
    <col min="5137" max="5137" width="17.28515625" style="1" customWidth="1"/>
    <col min="5138" max="5138" width="16" style="1" customWidth="1"/>
    <col min="5139" max="5139" width="0.7109375" style="1" customWidth="1"/>
    <col min="5140" max="5140" width="12" style="1" customWidth="1"/>
    <col min="5141" max="5141" width="10.5703125" style="1" customWidth="1"/>
    <col min="5142" max="5142" width="1.140625" style="1" customWidth="1"/>
    <col min="5143" max="5143" width="14.42578125" style="1" customWidth="1"/>
    <col min="5144" max="5144" width="11.5703125" style="1" customWidth="1"/>
    <col min="5145" max="5378" width="11.5703125" style="1"/>
    <col min="5379" max="5379" width="37.7109375" style="1" customWidth="1"/>
    <col min="5380" max="5380" width="15.85546875" style="1" customWidth="1"/>
    <col min="5381" max="5382" width="10.85546875" style="1" customWidth="1"/>
    <col min="5383" max="5391" width="0" style="1" hidden="1" customWidth="1"/>
    <col min="5392" max="5392" width="13.7109375" style="1" customWidth="1"/>
    <col min="5393" max="5393" width="17.28515625" style="1" customWidth="1"/>
    <col min="5394" max="5394" width="16" style="1" customWidth="1"/>
    <col min="5395" max="5395" width="0.7109375" style="1" customWidth="1"/>
    <col min="5396" max="5396" width="12" style="1" customWidth="1"/>
    <col min="5397" max="5397" width="10.5703125" style="1" customWidth="1"/>
    <col min="5398" max="5398" width="1.140625" style="1" customWidth="1"/>
    <col min="5399" max="5399" width="14.42578125" style="1" customWidth="1"/>
    <col min="5400" max="5400" width="11.5703125" style="1" customWidth="1"/>
    <col min="5401" max="5634" width="11.5703125" style="1"/>
    <col min="5635" max="5635" width="37.7109375" style="1" customWidth="1"/>
    <col min="5636" max="5636" width="15.85546875" style="1" customWidth="1"/>
    <col min="5637" max="5638" width="10.85546875" style="1" customWidth="1"/>
    <col min="5639" max="5647" width="0" style="1" hidden="1" customWidth="1"/>
    <col min="5648" max="5648" width="13.7109375" style="1" customWidth="1"/>
    <col min="5649" max="5649" width="17.28515625" style="1" customWidth="1"/>
    <col min="5650" max="5650" width="16" style="1" customWidth="1"/>
    <col min="5651" max="5651" width="0.7109375" style="1" customWidth="1"/>
    <col min="5652" max="5652" width="12" style="1" customWidth="1"/>
    <col min="5653" max="5653" width="10.5703125" style="1" customWidth="1"/>
    <col min="5654" max="5654" width="1.140625" style="1" customWidth="1"/>
    <col min="5655" max="5655" width="14.42578125" style="1" customWidth="1"/>
    <col min="5656" max="5656" width="11.5703125" style="1" customWidth="1"/>
    <col min="5657" max="5890" width="11.5703125" style="1"/>
    <col min="5891" max="5891" width="37.7109375" style="1" customWidth="1"/>
    <col min="5892" max="5892" width="15.85546875" style="1" customWidth="1"/>
    <col min="5893" max="5894" width="10.85546875" style="1" customWidth="1"/>
    <col min="5895" max="5903" width="0" style="1" hidden="1" customWidth="1"/>
    <col min="5904" max="5904" width="13.7109375" style="1" customWidth="1"/>
    <col min="5905" max="5905" width="17.28515625" style="1" customWidth="1"/>
    <col min="5906" max="5906" width="16" style="1" customWidth="1"/>
    <col min="5907" max="5907" width="0.7109375" style="1" customWidth="1"/>
    <col min="5908" max="5908" width="12" style="1" customWidth="1"/>
    <col min="5909" max="5909" width="10.5703125" style="1" customWidth="1"/>
    <col min="5910" max="5910" width="1.140625" style="1" customWidth="1"/>
    <col min="5911" max="5911" width="14.42578125" style="1" customWidth="1"/>
    <col min="5912" max="5912" width="11.5703125" style="1" customWidth="1"/>
    <col min="5913" max="6146" width="11.5703125" style="1"/>
    <col min="6147" max="6147" width="37.7109375" style="1" customWidth="1"/>
    <col min="6148" max="6148" width="15.85546875" style="1" customWidth="1"/>
    <col min="6149" max="6150" width="10.85546875" style="1" customWidth="1"/>
    <col min="6151" max="6159" width="0" style="1" hidden="1" customWidth="1"/>
    <col min="6160" max="6160" width="13.7109375" style="1" customWidth="1"/>
    <col min="6161" max="6161" width="17.28515625" style="1" customWidth="1"/>
    <col min="6162" max="6162" width="16" style="1" customWidth="1"/>
    <col min="6163" max="6163" width="0.7109375" style="1" customWidth="1"/>
    <col min="6164" max="6164" width="12" style="1" customWidth="1"/>
    <col min="6165" max="6165" width="10.5703125" style="1" customWidth="1"/>
    <col min="6166" max="6166" width="1.140625" style="1" customWidth="1"/>
    <col min="6167" max="6167" width="14.42578125" style="1" customWidth="1"/>
    <col min="6168" max="6168" width="11.5703125" style="1" customWidth="1"/>
    <col min="6169" max="6402" width="11.5703125" style="1"/>
    <col min="6403" max="6403" width="37.7109375" style="1" customWidth="1"/>
    <col min="6404" max="6404" width="15.85546875" style="1" customWidth="1"/>
    <col min="6405" max="6406" width="10.85546875" style="1" customWidth="1"/>
    <col min="6407" max="6415" width="0" style="1" hidden="1" customWidth="1"/>
    <col min="6416" max="6416" width="13.7109375" style="1" customWidth="1"/>
    <col min="6417" max="6417" width="17.28515625" style="1" customWidth="1"/>
    <col min="6418" max="6418" width="16" style="1" customWidth="1"/>
    <col min="6419" max="6419" width="0.7109375" style="1" customWidth="1"/>
    <col min="6420" max="6420" width="12" style="1" customWidth="1"/>
    <col min="6421" max="6421" width="10.5703125" style="1" customWidth="1"/>
    <col min="6422" max="6422" width="1.140625" style="1" customWidth="1"/>
    <col min="6423" max="6423" width="14.42578125" style="1" customWidth="1"/>
    <col min="6424" max="6424" width="11.5703125" style="1" customWidth="1"/>
    <col min="6425" max="6658" width="11.5703125" style="1"/>
    <col min="6659" max="6659" width="37.7109375" style="1" customWidth="1"/>
    <col min="6660" max="6660" width="15.85546875" style="1" customWidth="1"/>
    <col min="6661" max="6662" width="10.85546875" style="1" customWidth="1"/>
    <col min="6663" max="6671" width="0" style="1" hidden="1" customWidth="1"/>
    <col min="6672" max="6672" width="13.7109375" style="1" customWidth="1"/>
    <col min="6673" max="6673" width="17.28515625" style="1" customWidth="1"/>
    <col min="6674" max="6674" width="16" style="1" customWidth="1"/>
    <col min="6675" max="6675" width="0.7109375" style="1" customWidth="1"/>
    <col min="6676" max="6676" width="12" style="1" customWidth="1"/>
    <col min="6677" max="6677" width="10.5703125" style="1" customWidth="1"/>
    <col min="6678" max="6678" width="1.140625" style="1" customWidth="1"/>
    <col min="6679" max="6679" width="14.42578125" style="1" customWidth="1"/>
    <col min="6680" max="6680" width="11.5703125" style="1" customWidth="1"/>
    <col min="6681" max="6914" width="11.5703125" style="1"/>
    <col min="6915" max="6915" width="37.7109375" style="1" customWidth="1"/>
    <col min="6916" max="6916" width="15.85546875" style="1" customWidth="1"/>
    <col min="6917" max="6918" width="10.85546875" style="1" customWidth="1"/>
    <col min="6919" max="6927" width="0" style="1" hidden="1" customWidth="1"/>
    <col min="6928" max="6928" width="13.7109375" style="1" customWidth="1"/>
    <col min="6929" max="6929" width="17.28515625" style="1" customWidth="1"/>
    <col min="6930" max="6930" width="16" style="1" customWidth="1"/>
    <col min="6931" max="6931" width="0.7109375" style="1" customWidth="1"/>
    <col min="6932" max="6932" width="12" style="1" customWidth="1"/>
    <col min="6933" max="6933" width="10.5703125" style="1" customWidth="1"/>
    <col min="6934" max="6934" width="1.140625" style="1" customWidth="1"/>
    <col min="6935" max="6935" width="14.42578125" style="1" customWidth="1"/>
    <col min="6936" max="6936" width="11.5703125" style="1" customWidth="1"/>
    <col min="6937" max="7170" width="11.5703125" style="1"/>
    <col min="7171" max="7171" width="37.7109375" style="1" customWidth="1"/>
    <col min="7172" max="7172" width="15.85546875" style="1" customWidth="1"/>
    <col min="7173" max="7174" width="10.85546875" style="1" customWidth="1"/>
    <col min="7175" max="7183" width="0" style="1" hidden="1" customWidth="1"/>
    <col min="7184" max="7184" width="13.7109375" style="1" customWidth="1"/>
    <col min="7185" max="7185" width="17.28515625" style="1" customWidth="1"/>
    <col min="7186" max="7186" width="16" style="1" customWidth="1"/>
    <col min="7187" max="7187" width="0.7109375" style="1" customWidth="1"/>
    <col min="7188" max="7188" width="12" style="1" customWidth="1"/>
    <col min="7189" max="7189" width="10.5703125" style="1" customWidth="1"/>
    <col min="7190" max="7190" width="1.140625" style="1" customWidth="1"/>
    <col min="7191" max="7191" width="14.42578125" style="1" customWidth="1"/>
    <col min="7192" max="7192" width="11.5703125" style="1" customWidth="1"/>
    <col min="7193" max="7426" width="11.5703125" style="1"/>
    <col min="7427" max="7427" width="37.7109375" style="1" customWidth="1"/>
    <col min="7428" max="7428" width="15.85546875" style="1" customWidth="1"/>
    <col min="7429" max="7430" width="10.85546875" style="1" customWidth="1"/>
    <col min="7431" max="7439" width="0" style="1" hidden="1" customWidth="1"/>
    <col min="7440" max="7440" width="13.7109375" style="1" customWidth="1"/>
    <col min="7441" max="7441" width="17.28515625" style="1" customWidth="1"/>
    <col min="7442" max="7442" width="16" style="1" customWidth="1"/>
    <col min="7443" max="7443" width="0.7109375" style="1" customWidth="1"/>
    <col min="7444" max="7444" width="12" style="1" customWidth="1"/>
    <col min="7445" max="7445" width="10.5703125" style="1" customWidth="1"/>
    <col min="7446" max="7446" width="1.140625" style="1" customWidth="1"/>
    <col min="7447" max="7447" width="14.42578125" style="1" customWidth="1"/>
    <col min="7448" max="7448" width="11.5703125" style="1" customWidth="1"/>
    <col min="7449" max="7682" width="11.5703125" style="1"/>
    <col min="7683" max="7683" width="37.7109375" style="1" customWidth="1"/>
    <col min="7684" max="7684" width="15.85546875" style="1" customWidth="1"/>
    <col min="7685" max="7686" width="10.85546875" style="1" customWidth="1"/>
    <col min="7687" max="7695" width="0" style="1" hidden="1" customWidth="1"/>
    <col min="7696" max="7696" width="13.7109375" style="1" customWidth="1"/>
    <col min="7697" max="7697" width="17.28515625" style="1" customWidth="1"/>
    <col min="7698" max="7698" width="16" style="1" customWidth="1"/>
    <col min="7699" max="7699" width="0.7109375" style="1" customWidth="1"/>
    <col min="7700" max="7700" width="12" style="1" customWidth="1"/>
    <col min="7701" max="7701" width="10.5703125" style="1" customWidth="1"/>
    <col min="7702" max="7702" width="1.140625" style="1" customWidth="1"/>
    <col min="7703" max="7703" width="14.42578125" style="1" customWidth="1"/>
    <col min="7704" max="7704" width="11.5703125" style="1" customWidth="1"/>
    <col min="7705" max="7938" width="11.5703125" style="1"/>
    <col min="7939" max="7939" width="37.7109375" style="1" customWidth="1"/>
    <col min="7940" max="7940" width="15.85546875" style="1" customWidth="1"/>
    <col min="7941" max="7942" width="10.85546875" style="1" customWidth="1"/>
    <col min="7943" max="7951" width="0" style="1" hidden="1" customWidth="1"/>
    <col min="7952" max="7952" width="13.7109375" style="1" customWidth="1"/>
    <col min="7953" max="7953" width="17.28515625" style="1" customWidth="1"/>
    <col min="7954" max="7954" width="16" style="1" customWidth="1"/>
    <col min="7955" max="7955" width="0.7109375" style="1" customWidth="1"/>
    <col min="7956" max="7956" width="12" style="1" customWidth="1"/>
    <col min="7957" max="7957" width="10.5703125" style="1" customWidth="1"/>
    <col min="7958" max="7958" width="1.140625" style="1" customWidth="1"/>
    <col min="7959" max="7959" width="14.42578125" style="1" customWidth="1"/>
    <col min="7960" max="7960" width="11.5703125" style="1" customWidth="1"/>
    <col min="7961" max="8194" width="11.5703125" style="1"/>
    <col min="8195" max="8195" width="37.7109375" style="1" customWidth="1"/>
    <col min="8196" max="8196" width="15.85546875" style="1" customWidth="1"/>
    <col min="8197" max="8198" width="10.85546875" style="1" customWidth="1"/>
    <col min="8199" max="8207" width="0" style="1" hidden="1" customWidth="1"/>
    <col min="8208" max="8208" width="13.7109375" style="1" customWidth="1"/>
    <col min="8209" max="8209" width="17.28515625" style="1" customWidth="1"/>
    <col min="8210" max="8210" width="16" style="1" customWidth="1"/>
    <col min="8211" max="8211" width="0.7109375" style="1" customWidth="1"/>
    <col min="8212" max="8212" width="12" style="1" customWidth="1"/>
    <col min="8213" max="8213" width="10.5703125" style="1" customWidth="1"/>
    <col min="8214" max="8214" width="1.140625" style="1" customWidth="1"/>
    <col min="8215" max="8215" width="14.42578125" style="1" customWidth="1"/>
    <col min="8216" max="8216" width="11.5703125" style="1" customWidth="1"/>
    <col min="8217" max="8450" width="11.5703125" style="1"/>
    <col min="8451" max="8451" width="37.7109375" style="1" customWidth="1"/>
    <col min="8452" max="8452" width="15.85546875" style="1" customWidth="1"/>
    <col min="8453" max="8454" width="10.85546875" style="1" customWidth="1"/>
    <col min="8455" max="8463" width="0" style="1" hidden="1" customWidth="1"/>
    <col min="8464" max="8464" width="13.7109375" style="1" customWidth="1"/>
    <col min="8465" max="8465" width="17.28515625" style="1" customWidth="1"/>
    <col min="8466" max="8466" width="16" style="1" customWidth="1"/>
    <col min="8467" max="8467" width="0.7109375" style="1" customWidth="1"/>
    <col min="8468" max="8468" width="12" style="1" customWidth="1"/>
    <col min="8469" max="8469" width="10.5703125" style="1" customWidth="1"/>
    <col min="8470" max="8470" width="1.140625" style="1" customWidth="1"/>
    <col min="8471" max="8471" width="14.42578125" style="1" customWidth="1"/>
    <col min="8472" max="8472" width="11.5703125" style="1" customWidth="1"/>
    <col min="8473" max="8706" width="11.5703125" style="1"/>
    <col min="8707" max="8707" width="37.7109375" style="1" customWidth="1"/>
    <col min="8708" max="8708" width="15.85546875" style="1" customWidth="1"/>
    <col min="8709" max="8710" width="10.85546875" style="1" customWidth="1"/>
    <col min="8711" max="8719" width="0" style="1" hidden="1" customWidth="1"/>
    <col min="8720" max="8720" width="13.7109375" style="1" customWidth="1"/>
    <col min="8721" max="8721" width="17.28515625" style="1" customWidth="1"/>
    <col min="8722" max="8722" width="16" style="1" customWidth="1"/>
    <col min="8723" max="8723" width="0.7109375" style="1" customWidth="1"/>
    <col min="8724" max="8724" width="12" style="1" customWidth="1"/>
    <col min="8725" max="8725" width="10.5703125" style="1" customWidth="1"/>
    <col min="8726" max="8726" width="1.140625" style="1" customWidth="1"/>
    <col min="8727" max="8727" width="14.42578125" style="1" customWidth="1"/>
    <col min="8728" max="8728" width="11.5703125" style="1" customWidth="1"/>
    <col min="8729" max="8962" width="11.5703125" style="1"/>
    <col min="8963" max="8963" width="37.7109375" style="1" customWidth="1"/>
    <col min="8964" max="8964" width="15.85546875" style="1" customWidth="1"/>
    <col min="8965" max="8966" width="10.85546875" style="1" customWidth="1"/>
    <col min="8967" max="8975" width="0" style="1" hidden="1" customWidth="1"/>
    <col min="8976" max="8976" width="13.7109375" style="1" customWidth="1"/>
    <col min="8977" max="8977" width="17.28515625" style="1" customWidth="1"/>
    <col min="8978" max="8978" width="16" style="1" customWidth="1"/>
    <col min="8979" max="8979" width="0.7109375" style="1" customWidth="1"/>
    <col min="8980" max="8980" width="12" style="1" customWidth="1"/>
    <col min="8981" max="8981" width="10.5703125" style="1" customWidth="1"/>
    <col min="8982" max="8982" width="1.140625" style="1" customWidth="1"/>
    <col min="8983" max="8983" width="14.42578125" style="1" customWidth="1"/>
    <col min="8984" max="8984" width="11.5703125" style="1" customWidth="1"/>
    <col min="8985" max="9218" width="11.5703125" style="1"/>
    <col min="9219" max="9219" width="37.7109375" style="1" customWidth="1"/>
    <col min="9220" max="9220" width="15.85546875" style="1" customWidth="1"/>
    <col min="9221" max="9222" width="10.85546875" style="1" customWidth="1"/>
    <col min="9223" max="9231" width="0" style="1" hidden="1" customWidth="1"/>
    <col min="9232" max="9232" width="13.7109375" style="1" customWidth="1"/>
    <col min="9233" max="9233" width="17.28515625" style="1" customWidth="1"/>
    <col min="9234" max="9234" width="16" style="1" customWidth="1"/>
    <col min="9235" max="9235" width="0.7109375" style="1" customWidth="1"/>
    <col min="9236" max="9236" width="12" style="1" customWidth="1"/>
    <col min="9237" max="9237" width="10.5703125" style="1" customWidth="1"/>
    <col min="9238" max="9238" width="1.140625" style="1" customWidth="1"/>
    <col min="9239" max="9239" width="14.42578125" style="1" customWidth="1"/>
    <col min="9240" max="9240" width="11.5703125" style="1" customWidth="1"/>
    <col min="9241" max="9474" width="11.5703125" style="1"/>
    <col min="9475" max="9475" width="37.7109375" style="1" customWidth="1"/>
    <col min="9476" max="9476" width="15.85546875" style="1" customWidth="1"/>
    <col min="9477" max="9478" width="10.85546875" style="1" customWidth="1"/>
    <col min="9479" max="9487" width="0" style="1" hidden="1" customWidth="1"/>
    <col min="9488" max="9488" width="13.7109375" style="1" customWidth="1"/>
    <col min="9489" max="9489" width="17.28515625" style="1" customWidth="1"/>
    <col min="9490" max="9490" width="16" style="1" customWidth="1"/>
    <col min="9491" max="9491" width="0.7109375" style="1" customWidth="1"/>
    <col min="9492" max="9492" width="12" style="1" customWidth="1"/>
    <col min="9493" max="9493" width="10.5703125" style="1" customWidth="1"/>
    <col min="9494" max="9494" width="1.140625" style="1" customWidth="1"/>
    <col min="9495" max="9495" width="14.42578125" style="1" customWidth="1"/>
    <col min="9496" max="9496" width="11.5703125" style="1" customWidth="1"/>
    <col min="9497" max="9730" width="11.5703125" style="1"/>
    <col min="9731" max="9731" width="37.7109375" style="1" customWidth="1"/>
    <col min="9732" max="9732" width="15.85546875" style="1" customWidth="1"/>
    <col min="9733" max="9734" width="10.85546875" style="1" customWidth="1"/>
    <col min="9735" max="9743" width="0" style="1" hidden="1" customWidth="1"/>
    <col min="9744" max="9744" width="13.7109375" style="1" customWidth="1"/>
    <col min="9745" max="9745" width="17.28515625" style="1" customWidth="1"/>
    <col min="9746" max="9746" width="16" style="1" customWidth="1"/>
    <col min="9747" max="9747" width="0.7109375" style="1" customWidth="1"/>
    <col min="9748" max="9748" width="12" style="1" customWidth="1"/>
    <col min="9749" max="9749" width="10.5703125" style="1" customWidth="1"/>
    <col min="9750" max="9750" width="1.140625" style="1" customWidth="1"/>
    <col min="9751" max="9751" width="14.42578125" style="1" customWidth="1"/>
    <col min="9752" max="9752" width="11.5703125" style="1" customWidth="1"/>
    <col min="9753" max="9986" width="11.5703125" style="1"/>
    <col min="9987" max="9987" width="37.7109375" style="1" customWidth="1"/>
    <col min="9988" max="9988" width="15.85546875" style="1" customWidth="1"/>
    <col min="9989" max="9990" width="10.85546875" style="1" customWidth="1"/>
    <col min="9991" max="9999" width="0" style="1" hidden="1" customWidth="1"/>
    <col min="10000" max="10000" width="13.7109375" style="1" customWidth="1"/>
    <col min="10001" max="10001" width="17.28515625" style="1" customWidth="1"/>
    <col min="10002" max="10002" width="16" style="1" customWidth="1"/>
    <col min="10003" max="10003" width="0.7109375" style="1" customWidth="1"/>
    <col min="10004" max="10004" width="12" style="1" customWidth="1"/>
    <col min="10005" max="10005" width="10.5703125" style="1" customWidth="1"/>
    <col min="10006" max="10006" width="1.140625" style="1" customWidth="1"/>
    <col min="10007" max="10007" width="14.42578125" style="1" customWidth="1"/>
    <col min="10008" max="10008" width="11.5703125" style="1" customWidth="1"/>
    <col min="10009" max="10242" width="11.5703125" style="1"/>
    <col min="10243" max="10243" width="37.7109375" style="1" customWidth="1"/>
    <col min="10244" max="10244" width="15.85546875" style="1" customWidth="1"/>
    <col min="10245" max="10246" width="10.85546875" style="1" customWidth="1"/>
    <col min="10247" max="10255" width="0" style="1" hidden="1" customWidth="1"/>
    <col min="10256" max="10256" width="13.7109375" style="1" customWidth="1"/>
    <col min="10257" max="10257" width="17.28515625" style="1" customWidth="1"/>
    <col min="10258" max="10258" width="16" style="1" customWidth="1"/>
    <col min="10259" max="10259" width="0.7109375" style="1" customWidth="1"/>
    <col min="10260" max="10260" width="12" style="1" customWidth="1"/>
    <col min="10261" max="10261" width="10.5703125" style="1" customWidth="1"/>
    <col min="10262" max="10262" width="1.140625" style="1" customWidth="1"/>
    <col min="10263" max="10263" width="14.42578125" style="1" customWidth="1"/>
    <col min="10264" max="10264" width="11.5703125" style="1" customWidth="1"/>
    <col min="10265" max="10498" width="11.5703125" style="1"/>
    <col min="10499" max="10499" width="37.7109375" style="1" customWidth="1"/>
    <col min="10500" max="10500" width="15.85546875" style="1" customWidth="1"/>
    <col min="10501" max="10502" width="10.85546875" style="1" customWidth="1"/>
    <col min="10503" max="10511" width="0" style="1" hidden="1" customWidth="1"/>
    <col min="10512" max="10512" width="13.7109375" style="1" customWidth="1"/>
    <col min="10513" max="10513" width="17.28515625" style="1" customWidth="1"/>
    <col min="10514" max="10514" width="16" style="1" customWidth="1"/>
    <col min="10515" max="10515" width="0.7109375" style="1" customWidth="1"/>
    <col min="10516" max="10516" width="12" style="1" customWidth="1"/>
    <col min="10517" max="10517" width="10.5703125" style="1" customWidth="1"/>
    <col min="10518" max="10518" width="1.140625" style="1" customWidth="1"/>
    <col min="10519" max="10519" width="14.42578125" style="1" customWidth="1"/>
    <col min="10520" max="10520" width="11.5703125" style="1" customWidth="1"/>
    <col min="10521" max="10754" width="11.5703125" style="1"/>
    <col min="10755" max="10755" width="37.7109375" style="1" customWidth="1"/>
    <col min="10756" max="10756" width="15.85546875" style="1" customWidth="1"/>
    <col min="10757" max="10758" width="10.85546875" style="1" customWidth="1"/>
    <col min="10759" max="10767" width="0" style="1" hidden="1" customWidth="1"/>
    <col min="10768" max="10768" width="13.7109375" style="1" customWidth="1"/>
    <col min="10769" max="10769" width="17.28515625" style="1" customWidth="1"/>
    <col min="10770" max="10770" width="16" style="1" customWidth="1"/>
    <col min="10771" max="10771" width="0.7109375" style="1" customWidth="1"/>
    <col min="10772" max="10772" width="12" style="1" customWidth="1"/>
    <col min="10773" max="10773" width="10.5703125" style="1" customWidth="1"/>
    <col min="10774" max="10774" width="1.140625" style="1" customWidth="1"/>
    <col min="10775" max="10775" width="14.42578125" style="1" customWidth="1"/>
    <col min="10776" max="10776" width="11.5703125" style="1" customWidth="1"/>
    <col min="10777" max="11010" width="11.5703125" style="1"/>
    <col min="11011" max="11011" width="37.7109375" style="1" customWidth="1"/>
    <col min="11012" max="11012" width="15.85546875" style="1" customWidth="1"/>
    <col min="11013" max="11014" width="10.85546875" style="1" customWidth="1"/>
    <col min="11015" max="11023" width="0" style="1" hidden="1" customWidth="1"/>
    <col min="11024" max="11024" width="13.7109375" style="1" customWidth="1"/>
    <col min="11025" max="11025" width="17.28515625" style="1" customWidth="1"/>
    <col min="11026" max="11026" width="16" style="1" customWidth="1"/>
    <col min="11027" max="11027" width="0.7109375" style="1" customWidth="1"/>
    <col min="11028" max="11028" width="12" style="1" customWidth="1"/>
    <col min="11029" max="11029" width="10.5703125" style="1" customWidth="1"/>
    <col min="11030" max="11030" width="1.140625" style="1" customWidth="1"/>
    <col min="11031" max="11031" width="14.42578125" style="1" customWidth="1"/>
    <col min="11032" max="11032" width="11.5703125" style="1" customWidth="1"/>
    <col min="11033" max="11266" width="11.5703125" style="1"/>
    <col min="11267" max="11267" width="37.7109375" style="1" customWidth="1"/>
    <col min="11268" max="11268" width="15.85546875" style="1" customWidth="1"/>
    <col min="11269" max="11270" width="10.85546875" style="1" customWidth="1"/>
    <col min="11271" max="11279" width="0" style="1" hidden="1" customWidth="1"/>
    <col min="11280" max="11280" width="13.7109375" style="1" customWidth="1"/>
    <col min="11281" max="11281" width="17.28515625" style="1" customWidth="1"/>
    <col min="11282" max="11282" width="16" style="1" customWidth="1"/>
    <col min="11283" max="11283" width="0.7109375" style="1" customWidth="1"/>
    <col min="11284" max="11284" width="12" style="1" customWidth="1"/>
    <col min="11285" max="11285" width="10.5703125" style="1" customWidth="1"/>
    <col min="11286" max="11286" width="1.140625" style="1" customWidth="1"/>
    <col min="11287" max="11287" width="14.42578125" style="1" customWidth="1"/>
    <col min="11288" max="11288" width="11.5703125" style="1" customWidth="1"/>
    <col min="11289" max="11522" width="11.5703125" style="1"/>
    <col min="11523" max="11523" width="37.7109375" style="1" customWidth="1"/>
    <col min="11524" max="11524" width="15.85546875" style="1" customWidth="1"/>
    <col min="11525" max="11526" width="10.85546875" style="1" customWidth="1"/>
    <col min="11527" max="11535" width="0" style="1" hidden="1" customWidth="1"/>
    <col min="11536" max="11536" width="13.7109375" style="1" customWidth="1"/>
    <col min="11537" max="11537" width="17.28515625" style="1" customWidth="1"/>
    <col min="11538" max="11538" width="16" style="1" customWidth="1"/>
    <col min="11539" max="11539" width="0.7109375" style="1" customWidth="1"/>
    <col min="11540" max="11540" width="12" style="1" customWidth="1"/>
    <col min="11541" max="11541" width="10.5703125" style="1" customWidth="1"/>
    <col min="11542" max="11542" width="1.140625" style="1" customWidth="1"/>
    <col min="11543" max="11543" width="14.42578125" style="1" customWidth="1"/>
    <col min="11544" max="11544" width="11.5703125" style="1" customWidth="1"/>
    <col min="11545" max="11778" width="11.5703125" style="1"/>
    <col min="11779" max="11779" width="37.7109375" style="1" customWidth="1"/>
    <col min="11780" max="11780" width="15.85546875" style="1" customWidth="1"/>
    <col min="11781" max="11782" width="10.85546875" style="1" customWidth="1"/>
    <col min="11783" max="11791" width="0" style="1" hidden="1" customWidth="1"/>
    <col min="11792" max="11792" width="13.7109375" style="1" customWidth="1"/>
    <col min="11793" max="11793" width="17.28515625" style="1" customWidth="1"/>
    <col min="11794" max="11794" width="16" style="1" customWidth="1"/>
    <col min="11795" max="11795" width="0.7109375" style="1" customWidth="1"/>
    <col min="11796" max="11796" width="12" style="1" customWidth="1"/>
    <col min="11797" max="11797" width="10.5703125" style="1" customWidth="1"/>
    <col min="11798" max="11798" width="1.140625" style="1" customWidth="1"/>
    <col min="11799" max="11799" width="14.42578125" style="1" customWidth="1"/>
    <col min="11800" max="11800" width="11.5703125" style="1" customWidth="1"/>
    <col min="11801" max="12034" width="11.5703125" style="1"/>
    <col min="12035" max="12035" width="37.7109375" style="1" customWidth="1"/>
    <col min="12036" max="12036" width="15.85546875" style="1" customWidth="1"/>
    <col min="12037" max="12038" width="10.85546875" style="1" customWidth="1"/>
    <col min="12039" max="12047" width="0" style="1" hidden="1" customWidth="1"/>
    <col min="12048" max="12048" width="13.7109375" style="1" customWidth="1"/>
    <col min="12049" max="12049" width="17.28515625" style="1" customWidth="1"/>
    <col min="12050" max="12050" width="16" style="1" customWidth="1"/>
    <col min="12051" max="12051" width="0.7109375" style="1" customWidth="1"/>
    <col min="12052" max="12052" width="12" style="1" customWidth="1"/>
    <col min="12053" max="12053" width="10.5703125" style="1" customWidth="1"/>
    <col min="12054" max="12054" width="1.140625" style="1" customWidth="1"/>
    <col min="12055" max="12055" width="14.42578125" style="1" customWidth="1"/>
    <col min="12056" max="12056" width="11.5703125" style="1" customWidth="1"/>
    <col min="12057" max="12290" width="11.5703125" style="1"/>
    <col min="12291" max="12291" width="37.7109375" style="1" customWidth="1"/>
    <col min="12292" max="12292" width="15.85546875" style="1" customWidth="1"/>
    <col min="12293" max="12294" width="10.85546875" style="1" customWidth="1"/>
    <col min="12295" max="12303" width="0" style="1" hidden="1" customWidth="1"/>
    <col min="12304" max="12304" width="13.7109375" style="1" customWidth="1"/>
    <col min="12305" max="12305" width="17.28515625" style="1" customWidth="1"/>
    <col min="12306" max="12306" width="16" style="1" customWidth="1"/>
    <col min="12307" max="12307" width="0.7109375" style="1" customWidth="1"/>
    <col min="12308" max="12308" width="12" style="1" customWidth="1"/>
    <col min="12309" max="12309" width="10.5703125" style="1" customWidth="1"/>
    <col min="12310" max="12310" width="1.140625" style="1" customWidth="1"/>
    <col min="12311" max="12311" width="14.42578125" style="1" customWidth="1"/>
    <col min="12312" max="12312" width="11.5703125" style="1" customWidth="1"/>
    <col min="12313" max="12546" width="11.5703125" style="1"/>
    <col min="12547" max="12547" width="37.7109375" style="1" customWidth="1"/>
    <col min="12548" max="12548" width="15.85546875" style="1" customWidth="1"/>
    <col min="12549" max="12550" width="10.85546875" style="1" customWidth="1"/>
    <col min="12551" max="12559" width="0" style="1" hidden="1" customWidth="1"/>
    <col min="12560" max="12560" width="13.7109375" style="1" customWidth="1"/>
    <col min="12561" max="12561" width="17.28515625" style="1" customWidth="1"/>
    <col min="12562" max="12562" width="16" style="1" customWidth="1"/>
    <col min="12563" max="12563" width="0.7109375" style="1" customWidth="1"/>
    <col min="12564" max="12564" width="12" style="1" customWidth="1"/>
    <col min="12565" max="12565" width="10.5703125" style="1" customWidth="1"/>
    <col min="12566" max="12566" width="1.140625" style="1" customWidth="1"/>
    <col min="12567" max="12567" width="14.42578125" style="1" customWidth="1"/>
    <col min="12568" max="12568" width="11.5703125" style="1" customWidth="1"/>
    <col min="12569" max="12802" width="11.5703125" style="1"/>
    <col min="12803" max="12803" width="37.7109375" style="1" customWidth="1"/>
    <col min="12804" max="12804" width="15.85546875" style="1" customWidth="1"/>
    <col min="12805" max="12806" width="10.85546875" style="1" customWidth="1"/>
    <col min="12807" max="12815" width="0" style="1" hidden="1" customWidth="1"/>
    <col min="12816" max="12816" width="13.7109375" style="1" customWidth="1"/>
    <col min="12817" max="12817" width="17.28515625" style="1" customWidth="1"/>
    <col min="12818" max="12818" width="16" style="1" customWidth="1"/>
    <col min="12819" max="12819" width="0.7109375" style="1" customWidth="1"/>
    <col min="12820" max="12820" width="12" style="1" customWidth="1"/>
    <col min="12821" max="12821" width="10.5703125" style="1" customWidth="1"/>
    <col min="12822" max="12822" width="1.140625" style="1" customWidth="1"/>
    <col min="12823" max="12823" width="14.42578125" style="1" customWidth="1"/>
    <col min="12824" max="12824" width="11.5703125" style="1" customWidth="1"/>
    <col min="12825" max="13058" width="11.5703125" style="1"/>
    <col min="13059" max="13059" width="37.7109375" style="1" customWidth="1"/>
    <col min="13060" max="13060" width="15.85546875" style="1" customWidth="1"/>
    <col min="13061" max="13062" width="10.85546875" style="1" customWidth="1"/>
    <col min="13063" max="13071" width="0" style="1" hidden="1" customWidth="1"/>
    <col min="13072" max="13072" width="13.7109375" style="1" customWidth="1"/>
    <col min="13073" max="13073" width="17.28515625" style="1" customWidth="1"/>
    <col min="13074" max="13074" width="16" style="1" customWidth="1"/>
    <col min="13075" max="13075" width="0.7109375" style="1" customWidth="1"/>
    <col min="13076" max="13076" width="12" style="1" customWidth="1"/>
    <col min="13077" max="13077" width="10.5703125" style="1" customWidth="1"/>
    <col min="13078" max="13078" width="1.140625" style="1" customWidth="1"/>
    <col min="13079" max="13079" width="14.42578125" style="1" customWidth="1"/>
    <col min="13080" max="13080" width="11.5703125" style="1" customWidth="1"/>
    <col min="13081" max="13314" width="11.5703125" style="1"/>
    <col min="13315" max="13315" width="37.7109375" style="1" customWidth="1"/>
    <col min="13316" max="13316" width="15.85546875" style="1" customWidth="1"/>
    <col min="13317" max="13318" width="10.85546875" style="1" customWidth="1"/>
    <col min="13319" max="13327" width="0" style="1" hidden="1" customWidth="1"/>
    <col min="13328" max="13328" width="13.7109375" style="1" customWidth="1"/>
    <col min="13329" max="13329" width="17.28515625" style="1" customWidth="1"/>
    <col min="13330" max="13330" width="16" style="1" customWidth="1"/>
    <col min="13331" max="13331" width="0.7109375" style="1" customWidth="1"/>
    <col min="13332" max="13332" width="12" style="1" customWidth="1"/>
    <col min="13333" max="13333" width="10.5703125" style="1" customWidth="1"/>
    <col min="13334" max="13334" width="1.140625" style="1" customWidth="1"/>
    <col min="13335" max="13335" width="14.42578125" style="1" customWidth="1"/>
    <col min="13336" max="13336" width="11.5703125" style="1" customWidth="1"/>
    <col min="13337" max="13570" width="11.5703125" style="1"/>
    <col min="13571" max="13571" width="37.7109375" style="1" customWidth="1"/>
    <col min="13572" max="13572" width="15.85546875" style="1" customWidth="1"/>
    <col min="13573" max="13574" width="10.85546875" style="1" customWidth="1"/>
    <col min="13575" max="13583" width="0" style="1" hidden="1" customWidth="1"/>
    <col min="13584" max="13584" width="13.7109375" style="1" customWidth="1"/>
    <col min="13585" max="13585" width="17.28515625" style="1" customWidth="1"/>
    <col min="13586" max="13586" width="16" style="1" customWidth="1"/>
    <col min="13587" max="13587" width="0.7109375" style="1" customWidth="1"/>
    <col min="13588" max="13588" width="12" style="1" customWidth="1"/>
    <col min="13589" max="13589" width="10.5703125" style="1" customWidth="1"/>
    <col min="13590" max="13590" width="1.140625" style="1" customWidth="1"/>
    <col min="13591" max="13591" width="14.42578125" style="1" customWidth="1"/>
    <col min="13592" max="13592" width="11.5703125" style="1" customWidth="1"/>
    <col min="13593" max="13826" width="11.5703125" style="1"/>
    <col min="13827" max="13827" width="37.7109375" style="1" customWidth="1"/>
    <col min="13828" max="13828" width="15.85546875" style="1" customWidth="1"/>
    <col min="13829" max="13830" width="10.85546875" style="1" customWidth="1"/>
    <col min="13831" max="13839" width="0" style="1" hidden="1" customWidth="1"/>
    <col min="13840" max="13840" width="13.7109375" style="1" customWidth="1"/>
    <col min="13841" max="13841" width="17.28515625" style="1" customWidth="1"/>
    <col min="13842" max="13842" width="16" style="1" customWidth="1"/>
    <col min="13843" max="13843" width="0.7109375" style="1" customWidth="1"/>
    <col min="13844" max="13844" width="12" style="1" customWidth="1"/>
    <col min="13845" max="13845" width="10.5703125" style="1" customWidth="1"/>
    <col min="13846" max="13846" width="1.140625" style="1" customWidth="1"/>
    <col min="13847" max="13847" width="14.42578125" style="1" customWidth="1"/>
    <col min="13848" max="13848" width="11.5703125" style="1" customWidth="1"/>
    <col min="13849" max="14082" width="11.5703125" style="1"/>
    <col min="14083" max="14083" width="37.7109375" style="1" customWidth="1"/>
    <col min="14084" max="14084" width="15.85546875" style="1" customWidth="1"/>
    <col min="14085" max="14086" width="10.85546875" style="1" customWidth="1"/>
    <col min="14087" max="14095" width="0" style="1" hidden="1" customWidth="1"/>
    <col min="14096" max="14096" width="13.7109375" style="1" customWidth="1"/>
    <col min="14097" max="14097" width="17.28515625" style="1" customWidth="1"/>
    <col min="14098" max="14098" width="16" style="1" customWidth="1"/>
    <col min="14099" max="14099" width="0.7109375" style="1" customWidth="1"/>
    <col min="14100" max="14100" width="12" style="1" customWidth="1"/>
    <col min="14101" max="14101" width="10.5703125" style="1" customWidth="1"/>
    <col min="14102" max="14102" width="1.140625" style="1" customWidth="1"/>
    <col min="14103" max="14103" width="14.42578125" style="1" customWidth="1"/>
    <col min="14104" max="14104" width="11.5703125" style="1" customWidth="1"/>
    <col min="14105" max="14338" width="11.5703125" style="1"/>
    <col min="14339" max="14339" width="37.7109375" style="1" customWidth="1"/>
    <col min="14340" max="14340" width="15.85546875" style="1" customWidth="1"/>
    <col min="14341" max="14342" width="10.85546875" style="1" customWidth="1"/>
    <col min="14343" max="14351" width="0" style="1" hidden="1" customWidth="1"/>
    <col min="14352" max="14352" width="13.7109375" style="1" customWidth="1"/>
    <col min="14353" max="14353" width="17.28515625" style="1" customWidth="1"/>
    <col min="14354" max="14354" width="16" style="1" customWidth="1"/>
    <col min="14355" max="14355" width="0.7109375" style="1" customWidth="1"/>
    <col min="14356" max="14356" width="12" style="1" customWidth="1"/>
    <col min="14357" max="14357" width="10.5703125" style="1" customWidth="1"/>
    <col min="14358" max="14358" width="1.140625" style="1" customWidth="1"/>
    <col min="14359" max="14359" width="14.42578125" style="1" customWidth="1"/>
    <col min="14360" max="14360" width="11.5703125" style="1" customWidth="1"/>
    <col min="14361" max="14594" width="11.5703125" style="1"/>
    <col min="14595" max="14595" width="37.7109375" style="1" customWidth="1"/>
    <col min="14596" max="14596" width="15.85546875" style="1" customWidth="1"/>
    <col min="14597" max="14598" width="10.85546875" style="1" customWidth="1"/>
    <col min="14599" max="14607" width="0" style="1" hidden="1" customWidth="1"/>
    <col min="14608" max="14608" width="13.7109375" style="1" customWidth="1"/>
    <col min="14609" max="14609" width="17.28515625" style="1" customWidth="1"/>
    <col min="14610" max="14610" width="16" style="1" customWidth="1"/>
    <col min="14611" max="14611" width="0.7109375" style="1" customWidth="1"/>
    <col min="14612" max="14612" width="12" style="1" customWidth="1"/>
    <col min="14613" max="14613" width="10.5703125" style="1" customWidth="1"/>
    <col min="14614" max="14614" width="1.140625" style="1" customWidth="1"/>
    <col min="14615" max="14615" width="14.42578125" style="1" customWidth="1"/>
    <col min="14616" max="14616" width="11.5703125" style="1" customWidth="1"/>
    <col min="14617" max="14850" width="11.5703125" style="1"/>
    <col min="14851" max="14851" width="37.7109375" style="1" customWidth="1"/>
    <col min="14852" max="14852" width="15.85546875" style="1" customWidth="1"/>
    <col min="14853" max="14854" width="10.85546875" style="1" customWidth="1"/>
    <col min="14855" max="14863" width="0" style="1" hidden="1" customWidth="1"/>
    <col min="14864" max="14864" width="13.7109375" style="1" customWidth="1"/>
    <col min="14865" max="14865" width="17.28515625" style="1" customWidth="1"/>
    <col min="14866" max="14866" width="16" style="1" customWidth="1"/>
    <col min="14867" max="14867" width="0.7109375" style="1" customWidth="1"/>
    <col min="14868" max="14868" width="12" style="1" customWidth="1"/>
    <col min="14869" max="14869" width="10.5703125" style="1" customWidth="1"/>
    <col min="14870" max="14870" width="1.140625" style="1" customWidth="1"/>
    <col min="14871" max="14871" width="14.42578125" style="1" customWidth="1"/>
    <col min="14872" max="14872" width="11.5703125" style="1" customWidth="1"/>
    <col min="14873" max="15106" width="11.5703125" style="1"/>
    <col min="15107" max="15107" width="37.7109375" style="1" customWidth="1"/>
    <col min="15108" max="15108" width="15.85546875" style="1" customWidth="1"/>
    <col min="15109" max="15110" width="10.85546875" style="1" customWidth="1"/>
    <col min="15111" max="15119" width="0" style="1" hidden="1" customWidth="1"/>
    <col min="15120" max="15120" width="13.7109375" style="1" customWidth="1"/>
    <col min="15121" max="15121" width="17.28515625" style="1" customWidth="1"/>
    <col min="15122" max="15122" width="16" style="1" customWidth="1"/>
    <col min="15123" max="15123" width="0.7109375" style="1" customWidth="1"/>
    <col min="15124" max="15124" width="12" style="1" customWidth="1"/>
    <col min="15125" max="15125" width="10.5703125" style="1" customWidth="1"/>
    <col min="15126" max="15126" width="1.140625" style="1" customWidth="1"/>
    <col min="15127" max="15127" width="14.42578125" style="1" customWidth="1"/>
    <col min="15128" max="15128" width="11.5703125" style="1" customWidth="1"/>
    <col min="15129" max="15362" width="11.5703125" style="1"/>
    <col min="15363" max="15363" width="37.7109375" style="1" customWidth="1"/>
    <col min="15364" max="15364" width="15.85546875" style="1" customWidth="1"/>
    <col min="15365" max="15366" width="10.85546875" style="1" customWidth="1"/>
    <col min="15367" max="15375" width="0" style="1" hidden="1" customWidth="1"/>
    <col min="15376" max="15376" width="13.7109375" style="1" customWidth="1"/>
    <col min="15377" max="15377" width="17.28515625" style="1" customWidth="1"/>
    <col min="15378" max="15378" width="16" style="1" customWidth="1"/>
    <col min="15379" max="15379" width="0.7109375" style="1" customWidth="1"/>
    <col min="15380" max="15380" width="12" style="1" customWidth="1"/>
    <col min="15381" max="15381" width="10.5703125" style="1" customWidth="1"/>
    <col min="15382" max="15382" width="1.140625" style="1" customWidth="1"/>
    <col min="15383" max="15383" width="14.42578125" style="1" customWidth="1"/>
    <col min="15384" max="15384" width="11.5703125" style="1" customWidth="1"/>
    <col min="15385" max="15618" width="11.5703125" style="1"/>
    <col min="15619" max="15619" width="37.7109375" style="1" customWidth="1"/>
    <col min="15620" max="15620" width="15.85546875" style="1" customWidth="1"/>
    <col min="15621" max="15622" width="10.85546875" style="1" customWidth="1"/>
    <col min="15623" max="15631" width="0" style="1" hidden="1" customWidth="1"/>
    <col min="15632" max="15632" width="13.7109375" style="1" customWidth="1"/>
    <col min="15633" max="15633" width="17.28515625" style="1" customWidth="1"/>
    <col min="15634" max="15634" width="16" style="1" customWidth="1"/>
    <col min="15635" max="15635" width="0.7109375" style="1" customWidth="1"/>
    <col min="15636" max="15636" width="12" style="1" customWidth="1"/>
    <col min="15637" max="15637" width="10.5703125" style="1" customWidth="1"/>
    <col min="15638" max="15638" width="1.140625" style="1" customWidth="1"/>
    <col min="15639" max="15639" width="14.42578125" style="1" customWidth="1"/>
    <col min="15640" max="15640" width="11.5703125" style="1" customWidth="1"/>
    <col min="15641" max="15874" width="11.5703125" style="1"/>
    <col min="15875" max="15875" width="37.7109375" style="1" customWidth="1"/>
    <col min="15876" max="15876" width="15.85546875" style="1" customWidth="1"/>
    <col min="15877" max="15878" width="10.85546875" style="1" customWidth="1"/>
    <col min="15879" max="15887" width="0" style="1" hidden="1" customWidth="1"/>
    <col min="15888" max="15888" width="13.7109375" style="1" customWidth="1"/>
    <col min="15889" max="15889" width="17.28515625" style="1" customWidth="1"/>
    <col min="15890" max="15890" width="16" style="1" customWidth="1"/>
    <col min="15891" max="15891" width="0.7109375" style="1" customWidth="1"/>
    <col min="15892" max="15892" width="12" style="1" customWidth="1"/>
    <col min="15893" max="15893" width="10.5703125" style="1" customWidth="1"/>
    <col min="15894" max="15894" width="1.140625" style="1" customWidth="1"/>
    <col min="15895" max="15895" width="14.42578125" style="1" customWidth="1"/>
    <col min="15896" max="15896" width="11.5703125" style="1" customWidth="1"/>
    <col min="15897" max="16130" width="11.5703125" style="1"/>
    <col min="16131" max="16131" width="37.7109375" style="1" customWidth="1"/>
    <col min="16132" max="16132" width="15.85546875" style="1" customWidth="1"/>
    <col min="16133" max="16134" width="10.85546875" style="1" customWidth="1"/>
    <col min="16135" max="16143" width="0" style="1" hidden="1" customWidth="1"/>
    <col min="16144" max="16144" width="13.7109375" style="1" customWidth="1"/>
    <col min="16145" max="16145" width="17.28515625" style="1" customWidth="1"/>
    <col min="16146" max="16146" width="16" style="1" customWidth="1"/>
    <col min="16147" max="16147" width="0.7109375" style="1" customWidth="1"/>
    <col min="16148" max="16148" width="12" style="1" customWidth="1"/>
    <col min="16149" max="16149" width="10.5703125" style="1" customWidth="1"/>
    <col min="16150" max="16150" width="1.140625" style="1" customWidth="1"/>
    <col min="16151" max="16151" width="14.42578125" style="1" customWidth="1"/>
    <col min="16152" max="16152" width="11.5703125" style="1" customWidth="1"/>
    <col min="16153" max="16384" width="11.5703125" style="1"/>
  </cols>
  <sheetData>
    <row r="1" spans="1:24" ht="8.25" customHeight="1" x14ac:dyDescent="0.25"/>
    <row r="2" spans="1:24" s="80" customFormat="1" ht="18.75" x14ac:dyDescent="0.3">
      <c r="A2" s="76" t="s">
        <v>11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2"/>
      <c r="O2" s="76"/>
      <c r="P2" s="76"/>
      <c r="Q2" s="78"/>
      <c r="R2" s="77"/>
      <c r="S2" s="77"/>
      <c r="T2" s="43"/>
      <c r="U2" s="43"/>
      <c r="W2" s="207" t="s">
        <v>438</v>
      </c>
      <c r="X2" s="208"/>
    </row>
    <row r="3" spans="1:24" s="80" customFormat="1" ht="18.75" x14ac:dyDescent="0.3">
      <c r="A3" s="81" t="s">
        <v>10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7"/>
      <c r="O3" s="81"/>
      <c r="P3" s="81"/>
      <c r="Q3" s="78"/>
      <c r="R3" s="83"/>
      <c r="S3" s="83"/>
      <c r="T3" s="84"/>
      <c r="U3" s="84"/>
      <c r="W3" s="85"/>
      <c r="X3" s="86"/>
    </row>
    <row r="4" spans="1:24" s="96" customFormat="1" ht="30.75" customHeight="1" x14ac:dyDescent="0.2">
      <c r="A4" s="94" t="s">
        <v>0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66</v>
      </c>
      <c r="O4" s="39" t="s">
        <v>457</v>
      </c>
      <c r="P4" s="39" t="s">
        <v>458</v>
      </c>
      <c r="Q4" s="38"/>
      <c r="R4" s="37">
        <v>45292</v>
      </c>
      <c r="S4" s="37">
        <v>45627</v>
      </c>
      <c r="T4" s="36" t="s">
        <v>444</v>
      </c>
      <c r="U4" s="36" t="s">
        <v>445</v>
      </c>
      <c r="W4" s="34" t="s">
        <v>446</v>
      </c>
      <c r="X4" s="33" t="s">
        <v>456</v>
      </c>
    </row>
    <row r="5" spans="1:24" ht="18.75" x14ac:dyDescent="0.3">
      <c r="A5" s="64" t="s">
        <v>4</v>
      </c>
      <c r="B5" s="61">
        <v>1191</v>
      </c>
      <c r="C5" s="57"/>
      <c r="D5" s="57"/>
      <c r="E5" s="57"/>
      <c r="F5" s="57"/>
      <c r="G5" s="57"/>
      <c r="H5" s="57"/>
      <c r="I5" s="57"/>
      <c r="J5" s="27"/>
      <c r="K5" s="27"/>
      <c r="L5" s="27"/>
      <c r="M5" s="27"/>
      <c r="N5" s="63">
        <f>IFERROR(+B5/$B$8,"-")</f>
        <v>0.62585391487125586</v>
      </c>
      <c r="O5" s="60">
        <f>SUM(B5:M5)</f>
        <v>1191</v>
      </c>
      <c r="P5" s="59">
        <f>+O5/$O$8</f>
        <v>0.62585391487125586</v>
      </c>
      <c r="Q5" s="58"/>
      <c r="R5" s="100">
        <v>1050</v>
      </c>
      <c r="S5" s="100">
        <v>1020</v>
      </c>
      <c r="T5" s="102">
        <f>+IFERROR(B5/S5-1,"-")</f>
        <v>0.16764705882352948</v>
      </c>
      <c r="U5" s="102">
        <f>+IFERROR(B5/R5-1,"-")</f>
        <v>0.13428571428571434</v>
      </c>
      <c r="W5" s="55">
        <v>1050</v>
      </c>
      <c r="X5" s="54">
        <f>IFERROR(O5/W5-1,"-")</f>
        <v>0.13428571428571434</v>
      </c>
    </row>
    <row r="6" spans="1:24" ht="18.75" x14ac:dyDescent="0.3">
      <c r="A6" s="62" t="s">
        <v>5</v>
      </c>
      <c r="B6" s="61">
        <v>340</v>
      </c>
      <c r="C6" s="57"/>
      <c r="D6" s="57"/>
      <c r="E6" s="57"/>
      <c r="F6" s="57"/>
      <c r="G6" s="57"/>
      <c r="H6" s="57"/>
      <c r="I6" s="57"/>
      <c r="J6" s="27"/>
      <c r="K6" s="27"/>
      <c r="L6" s="27"/>
      <c r="M6" s="27"/>
      <c r="N6" s="26">
        <f>IFERROR(+B6/$B$8,"-")</f>
        <v>0.17866526537046767</v>
      </c>
      <c r="O6" s="60">
        <f>SUM(B6:M6)</f>
        <v>340</v>
      </c>
      <c r="P6" s="59">
        <f>+O6/$O$8</f>
        <v>0.17866526537046767</v>
      </c>
      <c r="Q6" s="58"/>
      <c r="R6" s="57">
        <v>191</v>
      </c>
      <c r="S6" s="57">
        <v>298</v>
      </c>
      <c r="T6" s="26">
        <f t="shared" ref="T6:T8" si="0">+IFERROR(B6/S6-1,"-")</f>
        <v>0.14093959731543615</v>
      </c>
      <c r="U6" s="26">
        <f t="shared" ref="U6:U8" si="1">+IFERROR(B6/R6-1,"-")</f>
        <v>0.78010471204188492</v>
      </c>
      <c r="W6" s="55">
        <v>191</v>
      </c>
      <c r="X6" s="54">
        <f>IFERROR(O6/W6-1,"-")</f>
        <v>0.78010471204188492</v>
      </c>
    </row>
    <row r="7" spans="1:24" ht="18.75" x14ac:dyDescent="0.3">
      <c r="A7" s="62" t="s">
        <v>6</v>
      </c>
      <c r="B7" s="61">
        <v>372</v>
      </c>
      <c r="C7" s="57"/>
      <c r="D7" s="57"/>
      <c r="E7" s="57"/>
      <c r="F7" s="57"/>
      <c r="G7" s="57"/>
      <c r="H7" s="57"/>
      <c r="I7" s="57"/>
      <c r="J7" s="27"/>
      <c r="K7" s="27"/>
      <c r="L7" s="27"/>
      <c r="M7" s="27"/>
      <c r="N7" s="26">
        <f>IFERROR(+B7/$B$8,"-")</f>
        <v>0.19548081975827641</v>
      </c>
      <c r="O7" s="60">
        <f>SUM(B7:M7)</f>
        <v>372</v>
      </c>
      <c r="P7" s="59">
        <f>+O7/$O$8</f>
        <v>0.19548081975827641</v>
      </c>
      <c r="Q7" s="58"/>
      <c r="R7" s="101">
        <v>254</v>
      </c>
      <c r="S7" s="101">
        <v>253</v>
      </c>
      <c r="T7" s="103">
        <f t="shared" si="0"/>
        <v>0.47035573122529639</v>
      </c>
      <c r="U7" s="103">
        <f t="shared" si="1"/>
        <v>0.46456692913385833</v>
      </c>
      <c r="W7" s="55">
        <v>254</v>
      </c>
      <c r="X7" s="54">
        <f>IFERROR(O7/W7-1,"-")</f>
        <v>0.46456692913385833</v>
      </c>
    </row>
    <row r="8" spans="1:24" s="8" customFormat="1" ht="25.5" customHeight="1" thickBot="1" x14ac:dyDescent="0.35">
      <c r="A8" s="18" t="s">
        <v>1</v>
      </c>
      <c r="B8" s="13">
        <f t="shared" ref="B8:M8" si="2">+B5+B6+B7</f>
        <v>1903</v>
      </c>
      <c r="C8" s="13">
        <f t="shared" si="2"/>
        <v>0</v>
      </c>
      <c r="D8" s="13">
        <f t="shared" si="2"/>
        <v>0</v>
      </c>
      <c r="E8" s="13">
        <f t="shared" si="2"/>
        <v>0</v>
      </c>
      <c r="F8" s="13">
        <f t="shared" si="2"/>
        <v>0</v>
      </c>
      <c r="G8" s="13">
        <f t="shared" si="2"/>
        <v>0</v>
      </c>
      <c r="H8" s="13">
        <f t="shared" si="2"/>
        <v>0</v>
      </c>
      <c r="I8" s="13">
        <f t="shared" si="2"/>
        <v>0</v>
      </c>
      <c r="J8" s="13">
        <f t="shared" si="2"/>
        <v>0</v>
      </c>
      <c r="K8" s="13">
        <f t="shared" si="2"/>
        <v>0</v>
      </c>
      <c r="L8" s="13">
        <f t="shared" si="2"/>
        <v>0</v>
      </c>
      <c r="M8" s="13">
        <f t="shared" si="2"/>
        <v>0</v>
      </c>
      <c r="N8" s="15">
        <f>SUM(N5:N7)</f>
        <v>1</v>
      </c>
      <c r="O8" s="99">
        <f>+O5+O6+O7</f>
        <v>1903</v>
      </c>
      <c r="P8" s="12">
        <f>SUM(P5:P7)</f>
        <v>1</v>
      </c>
      <c r="Q8" s="53"/>
      <c r="R8" s="13">
        <f>+R5+R6+R7</f>
        <v>1495</v>
      </c>
      <c r="S8" s="13">
        <f>+S5+S6+S7</f>
        <v>1571</v>
      </c>
      <c r="T8" s="15">
        <f t="shared" si="0"/>
        <v>0.2113303628262253</v>
      </c>
      <c r="U8" s="15">
        <f t="shared" si="1"/>
        <v>0.27290969899665551</v>
      </c>
      <c r="W8" s="13">
        <f>+W5+W6+W7</f>
        <v>1495</v>
      </c>
      <c r="X8" s="12">
        <f>IFERROR(O8/W8-1,"-")</f>
        <v>0.27290969899665551</v>
      </c>
    </row>
    <row r="9" spans="1:24" ht="12" customHeight="1" thickTop="1" x14ac:dyDescent="0.3">
      <c r="A9" s="11"/>
      <c r="B9" s="49"/>
      <c r="C9" s="49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O9" s="11"/>
      <c r="P9" s="11"/>
      <c r="R9" s="47"/>
      <c r="S9" s="47"/>
      <c r="T9" s="51"/>
      <c r="U9" s="51"/>
      <c r="W9" s="44"/>
    </row>
    <row r="10" spans="1:24" ht="15.75" customHeight="1" x14ac:dyDescent="0.3">
      <c r="A10" s="98" t="s">
        <v>7</v>
      </c>
      <c r="B10" s="49"/>
      <c r="C10" s="49"/>
      <c r="D10" s="47"/>
      <c r="E10" s="49"/>
      <c r="F10" s="49"/>
      <c r="G10" s="49"/>
      <c r="H10" s="49"/>
      <c r="I10" s="49"/>
      <c r="J10" s="49"/>
      <c r="K10" s="49"/>
      <c r="L10" s="49"/>
      <c r="M10" s="49"/>
      <c r="N10" s="48"/>
      <c r="O10" s="11"/>
      <c r="P10" s="11"/>
      <c r="R10" s="47"/>
      <c r="S10" s="47"/>
      <c r="T10" s="46"/>
      <c r="U10" s="46"/>
      <c r="W10" s="44"/>
    </row>
    <row r="11" spans="1:24" ht="7.5" customHeight="1" x14ac:dyDescent="0.3">
      <c r="A11" s="11"/>
      <c r="B11" s="49"/>
      <c r="C11" s="49"/>
      <c r="D11" s="47"/>
      <c r="E11" s="49"/>
      <c r="F11" s="49"/>
      <c r="G11" s="49"/>
      <c r="H11" s="49"/>
      <c r="I11" s="49"/>
      <c r="J11" s="49"/>
      <c r="K11" s="49"/>
      <c r="L11" s="49"/>
      <c r="M11" s="49"/>
      <c r="N11" s="48"/>
      <c r="O11" s="11"/>
      <c r="P11" s="11"/>
      <c r="R11" s="47"/>
      <c r="S11" s="47"/>
      <c r="T11" s="46"/>
      <c r="U11" s="46"/>
      <c r="W11" s="44"/>
    </row>
    <row r="12" spans="1:24" s="90" customFormat="1" ht="18.75" x14ac:dyDescent="0.3">
      <c r="A12" s="76" t="s">
        <v>9</v>
      </c>
      <c r="B12" s="43"/>
      <c r="C12" s="43"/>
      <c r="D12" s="88"/>
      <c r="E12" s="43"/>
      <c r="F12" s="43"/>
      <c r="G12" s="43"/>
      <c r="H12" s="43"/>
      <c r="I12" s="43"/>
      <c r="J12" s="43"/>
      <c r="K12" s="43"/>
      <c r="L12" s="43"/>
      <c r="M12" s="43"/>
      <c r="N12" s="42"/>
      <c r="O12" s="76"/>
      <c r="P12" s="76"/>
      <c r="Q12" s="89"/>
      <c r="R12" s="88"/>
      <c r="S12" s="88"/>
      <c r="T12" s="43"/>
      <c r="U12" s="43"/>
      <c r="W12" s="207" t="str">
        <f>+W2</f>
        <v>Enero</v>
      </c>
      <c r="X12" s="208"/>
    </row>
    <row r="13" spans="1:24" s="90" customFormat="1" ht="18.75" x14ac:dyDescent="0.3">
      <c r="A13" s="81" t="s">
        <v>69</v>
      </c>
      <c r="B13" s="84"/>
      <c r="C13" s="84"/>
      <c r="D13" s="91"/>
      <c r="E13" s="84"/>
      <c r="F13" s="84"/>
      <c r="G13" s="84"/>
      <c r="H13" s="84"/>
      <c r="I13" s="84"/>
      <c r="J13" s="84"/>
      <c r="K13" s="84"/>
      <c r="L13" s="84"/>
      <c r="M13" s="84"/>
      <c r="N13" s="87"/>
      <c r="O13" s="81"/>
      <c r="P13" s="81"/>
      <c r="Q13" s="89"/>
      <c r="R13" s="91"/>
      <c r="S13" s="91"/>
      <c r="T13" s="84"/>
      <c r="U13" s="84"/>
      <c r="W13" s="92"/>
      <c r="X13" s="93"/>
    </row>
    <row r="14" spans="1:24" s="32" customFormat="1" ht="30.75" customHeight="1" x14ac:dyDescent="0.2">
      <c r="A14" s="94" t="s">
        <v>3</v>
      </c>
      <c r="B14" s="95">
        <f>B4</f>
        <v>45658</v>
      </c>
      <c r="C14" s="95">
        <f t="shared" ref="C14:M14" si="3">C4</f>
        <v>45689</v>
      </c>
      <c r="D14" s="95">
        <f t="shared" si="3"/>
        <v>45717</v>
      </c>
      <c r="E14" s="95">
        <f t="shared" si="3"/>
        <v>45748</v>
      </c>
      <c r="F14" s="95">
        <f t="shared" si="3"/>
        <v>45778</v>
      </c>
      <c r="G14" s="95">
        <f t="shared" si="3"/>
        <v>45809</v>
      </c>
      <c r="H14" s="95">
        <f t="shared" si="3"/>
        <v>45839</v>
      </c>
      <c r="I14" s="95">
        <f t="shared" si="3"/>
        <v>45870</v>
      </c>
      <c r="J14" s="95">
        <f t="shared" si="3"/>
        <v>45901</v>
      </c>
      <c r="K14" s="95">
        <f t="shared" si="3"/>
        <v>45931</v>
      </c>
      <c r="L14" s="95">
        <f t="shared" si="3"/>
        <v>45962</v>
      </c>
      <c r="M14" s="95">
        <f t="shared" si="3"/>
        <v>45992</v>
      </c>
      <c r="N14" s="40" t="s">
        <v>66</v>
      </c>
      <c r="O14" s="39" t="str">
        <f>O4</f>
        <v>ACUMULADO 
2025</v>
      </c>
      <c r="P14" s="39" t="str">
        <f>P4</f>
        <v>% Part ACUM 
 2025</v>
      </c>
      <c r="Q14" s="38"/>
      <c r="R14" s="37">
        <f>+R4</f>
        <v>45292</v>
      </c>
      <c r="S14" s="37">
        <f>+S4</f>
        <v>45627</v>
      </c>
      <c r="T14" s="36" t="str">
        <f>T4</f>
        <v>Var. %  Ene '25 vs Dic '24</v>
      </c>
      <c r="U14" s="36" t="str">
        <f>U4</f>
        <v>Var. %  Ene '25 vs Ene '24</v>
      </c>
      <c r="W14" s="34" t="str">
        <f>W4</f>
        <v>ACUMULADO
 2024</v>
      </c>
      <c r="X14" s="33" t="str">
        <f>X4</f>
        <v>Var. %
ACUM  25/24</v>
      </c>
    </row>
    <row r="15" spans="1:24" ht="18.75" customHeight="1" x14ac:dyDescent="0.3">
      <c r="A15" s="31" t="s">
        <v>48</v>
      </c>
      <c r="B15" s="27">
        <v>1302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ref="N15:N35" si="4">IFERROR(+B15/$B$36,"-")</f>
        <v>0.68418286915396742</v>
      </c>
      <c r="O15" s="25">
        <f t="shared" ref="O15:O35" si="5">SUM(B15:M15)</f>
        <v>1302</v>
      </c>
      <c r="P15" s="24">
        <f t="shared" ref="P15:P35" si="6">+O15/$O$36</f>
        <v>0.68418286915396742</v>
      </c>
      <c r="Q15" s="23"/>
      <c r="R15" s="30">
        <v>1080</v>
      </c>
      <c r="S15" s="30">
        <v>1076</v>
      </c>
      <c r="T15" s="29">
        <f t="shared" ref="T15:T36" si="7">+IFERROR(B15/S15-1,"-")</f>
        <v>0.21003717472118955</v>
      </c>
      <c r="U15" s="29">
        <f t="shared" ref="U15:U36" si="8">+IFERROR(B15/R15-1,"-")</f>
        <v>0.20555555555555549</v>
      </c>
      <c r="W15" s="20">
        <v>1080</v>
      </c>
      <c r="X15" s="19">
        <f t="shared" ref="X15:X36" si="9">IFERROR(O15/W15-1,"-")</f>
        <v>0.20555555555555549</v>
      </c>
    </row>
    <row r="16" spans="1:24" ht="18.75" customHeight="1" x14ac:dyDescent="0.3">
      <c r="A16" s="28" t="s">
        <v>50</v>
      </c>
      <c r="B16" s="27">
        <v>220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4"/>
        <v>0.11560693641618497</v>
      </c>
      <c r="O16" s="25">
        <f t="shared" si="5"/>
        <v>220</v>
      </c>
      <c r="P16" s="24">
        <f t="shared" si="6"/>
        <v>0.11560693641618497</v>
      </c>
      <c r="Q16" s="23"/>
      <c r="R16" s="22">
        <v>153</v>
      </c>
      <c r="S16" s="22">
        <v>197</v>
      </c>
      <c r="T16" s="21">
        <f t="shared" si="7"/>
        <v>0.11675126903553301</v>
      </c>
      <c r="U16" s="21">
        <f t="shared" si="8"/>
        <v>0.43790849673202614</v>
      </c>
      <c r="W16" s="20">
        <v>153</v>
      </c>
      <c r="X16" s="19">
        <f t="shared" si="9"/>
        <v>0.43790849673202614</v>
      </c>
    </row>
    <row r="17" spans="1:24" ht="18.75" customHeight="1" x14ac:dyDescent="0.3">
      <c r="A17" s="28" t="s">
        <v>49</v>
      </c>
      <c r="B17" s="27">
        <v>129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4"/>
        <v>6.7787703625853915E-2</v>
      </c>
      <c r="O17" s="25">
        <f t="shared" si="5"/>
        <v>129</v>
      </c>
      <c r="P17" s="24">
        <f t="shared" si="6"/>
        <v>6.7787703625853915E-2</v>
      </c>
      <c r="Q17" s="23"/>
      <c r="R17" s="22">
        <v>101</v>
      </c>
      <c r="S17" s="22">
        <v>89</v>
      </c>
      <c r="T17" s="21">
        <f t="shared" si="7"/>
        <v>0.449438202247191</v>
      </c>
      <c r="U17" s="21">
        <f t="shared" si="8"/>
        <v>0.27722772277227725</v>
      </c>
      <c r="W17" s="20">
        <v>101</v>
      </c>
      <c r="X17" s="19">
        <f t="shared" si="9"/>
        <v>0.27722772277227725</v>
      </c>
    </row>
    <row r="18" spans="1:24" ht="18.75" customHeight="1" x14ac:dyDescent="0.3">
      <c r="A18" s="28" t="s">
        <v>51</v>
      </c>
      <c r="B18" s="27">
        <v>71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4"/>
        <v>3.7309511297950605E-2</v>
      </c>
      <c r="O18" s="25">
        <f t="shared" ref="O18" si="10">SUM(B18:M18)</f>
        <v>71</v>
      </c>
      <c r="P18" s="24">
        <f t="shared" si="6"/>
        <v>3.7309511297950605E-2</v>
      </c>
      <c r="Q18" s="23"/>
      <c r="R18" s="22">
        <v>34</v>
      </c>
      <c r="S18" s="22">
        <v>29</v>
      </c>
      <c r="T18" s="21">
        <f t="shared" ref="T18" si="11">+IFERROR(B18/S18-1,"-")</f>
        <v>1.4482758620689653</v>
      </c>
      <c r="U18" s="21">
        <f t="shared" ref="U18" si="12">+IFERROR(B18/R18-1,"-")</f>
        <v>1.0882352941176472</v>
      </c>
      <c r="W18" s="20">
        <v>34</v>
      </c>
      <c r="X18" s="19">
        <f t="shared" ref="X18" si="13">IFERROR(O18/W18-1,"-")</f>
        <v>1.0882352941176472</v>
      </c>
    </row>
    <row r="19" spans="1:24" ht="18.75" customHeight="1" x14ac:dyDescent="0.3">
      <c r="A19" s="28" t="s">
        <v>54</v>
      </c>
      <c r="B19" s="27">
        <v>35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4"/>
        <v>1.839201261166579E-2</v>
      </c>
      <c r="O19" s="25">
        <f t="shared" si="5"/>
        <v>35</v>
      </c>
      <c r="P19" s="24">
        <f t="shared" si="6"/>
        <v>1.839201261166579E-2</v>
      </c>
      <c r="Q19" s="23"/>
      <c r="R19" s="22">
        <v>20</v>
      </c>
      <c r="S19" s="22">
        <v>16</v>
      </c>
      <c r="T19" s="21">
        <f t="shared" si="7"/>
        <v>1.1875</v>
      </c>
      <c r="U19" s="21">
        <f t="shared" si="8"/>
        <v>0.75</v>
      </c>
      <c r="W19" s="20">
        <v>20</v>
      </c>
      <c r="X19" s="19">
        <f t="shared" si="9"/>
        <v>0.75</v>
      </c>
    </row>
    <row r="20" spans="1:24" ht="18.75" customHeight="1" x14ac:dyDescent="0.3">
      <c r="A20" s="28" t="s">
        <v>53</v>
      </c>
      <c r="B20" s="27">
        <v>31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4"/>
        <v>1.6290068313189701E-2</v>
      </c>
      <c r="O20" s="25">
        <f t="shared" si="5"/>
        <v>31</v>
      </c>
      <c r="P20" s="24">
        <f t="shared" si="6"/>
        <v>1.6290068313189701E-2</v>
      </c>
      <c r="Q20" s="23"/>
      <c r="R20" s="22">
        <v>18</v>
      </c>
      <c r="S20" s="22">
        <v>13</v>
      </c>
      <c r="T20" s="21">
        <f t="shared" si="7"/>
        <v>1.3846153846153846</v>
      </c>
      <c r="U20" s="21">
        <f t="shared" si="8"/>
        <v>0.72222222222222232</v>
      </c>
      <c r="W20" s="20">
        <v>18</v>
      </c>
      <c r="X20" s="19">
        <f t="shared" si="9"/>
        <v>0.72222222222222232</v>
      </c>
    </row>
    <row r="21" spans="1:24" ht="18.75" customHeight="1" x14ac:dyDescent="0.3">
      <c r="A21" s="28" t="s">
        <v>55</v>
      </c>
      <c r="B21" s="27">
        <v>30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4"/>
        <v>1.5764582238570676E-2</v>
      </c>
      <c r="O21" s="25">
        <f t="shared" si="5"/>
        <v>30</v>
      </c>
      <c r="P21" s="24">
        <f t="shared" si="6"/>
        <v>1.5764582238570676E-2</v>
      </c>
      <c r="Q21" s="23"/>
      <c r="R21" s="22">
        <v>15</v>
      </c>
      <c r="S21" s="22">
        <v>47</v>
      </c>
      <c r="T21" s="21">
        <f t="shared" si="7"/>
        <v>-0.36170212765957444</v>
      </c>
      <c r="U21" s="21">
        <f t="shared" si="8"/>
        <v>1</v>
      </c>
      <c r="W21" s="20">
        <v>15</v>
      </c>
      <c r="X21" s="19">
        <f t="shared" si="9"/>
        <v>1</v>
      </c>
    </row>
    <row r="22" spans="1:24" ht="18.75" customHeight="1" x14ac:dyDescent="0.3">
      <c r="A22" s="28" t="s">
        <v>56</v>
      </c>
      <c r="B22" s="27">
        <v>18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4"/>
        <v>9.4587493431424075E-3</v>
      </c>
      <c r="O22" s="25">
        <f t="shared" si="5"/>
        <v>18</v>
      </c>
      <c r="P22" s="24">
        <f t="shared" si="6"/>
        <v>9.4587493431424075E-3</v>
      </c>
      <c r="Q22" s="23"/>
      <c r="R22" s="22">
        <v>11</v>
      </c>
      <c r="S22" s="22">
        <v>25</v>
      </c>
      <c r="T22" s="21">
        <f t="shared" si="7"/>
        <v>-0.28000000000000003</v>
      </c>
      <c r="U22" s="21">
        <f t="shared" si="8"/>
        <v>0.63636363636363646</v>
      </c>
      <c r="W22" s="20">
        <v>11</v>
      </c>
      <c r="X22" s="19">
        <f t="shared" si="9"/>
        <v>0.63636363636363646</v>
      </c>
    </row>
    <row r="23" spans="1:24" ht="18.75" customHeight="1" x14ac:dyDescent="0.3">
      <c r="A23" s="28" t="s">
        <v>52</v>
      </c>
      <c r="B23" s="27">
        <v>17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4"/>
        <v>8.9332632685233844E-3</v>
      </c>
      <c r="O23" s="25">
        <f t="shared" ref="O23" si="14">SUM(B23:M23)</f>
        <v>17</v>
      </c>
      <c r="P23" s="24">
        <f t="shared" si="6"/>
        <v>8.9332632685233844E-3</v>
      </c>
      <c r="Q23" s="23"/>
      <c r="R23" s="22">
        <v>12</v>
      </c>
      <c r="S23" s="22">
        <v>21</v>
      </c>
      <c r="T23" s="21">
        <f t="shared" si="7"/>
        <v>-0.19047619047619047</v>
      </c>
      <c r="U23" s="21">
        <f t="shared" si="8"/>
        <v>0.41666666666666674</v>
      </c>
      <c r="W23" s="20">
        <v>12</v>
      </c>
      <c r="X23" s="19">
        <f t="shared" ref="X23" si="15">IFERROR(O23/W23-1,"-")</f>
        <v>0.41666666666666674</v>
      </c>
    </row>
    <row r="24" spans="1:24" ht="18.75" customHeight="1" x14ac:dyDescent="0.3">
      <c r="A24" s="28" t="s">
        <v>57</v>
      </c>
      <c r="B24" s="27">
        <v>16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4"/>
        <v>8.4077771939043613E-3</v>
      </c>
      <c r="O24" s="25">
        <f t="shared" si="5"/>
        <v>16</v>
      </c>
      <c r="P24" s="24">
        <f t="shared" si="6"/>
        <v>8.4077771939043613E-3</v>
      </c>
      <c r="Q24" s="23"/>
      <c r="R24" s="22">
        <v>19</v>
      </c>
      <c r="S24" s="22">
        <v>23</v>
      </c>
      <c r="T24" s="21">
        <f t="shared" si="7"/>
        <v>-0.30434782608695654</v>
      </c>
      <c r="U24" s="21">
        <f t="shared" si="8"/>
        <v>-0.15789473684210531</v>
      </c>
      <c r="W24" s="20">
        <v>19</v>
      </c>
      <c r="X24" s="19">
        <f t="shared" si="9"/>
        <v>-0.15789473684210531</v>
      </c>
    </row>
    <row r="25" spans="1:24" ht="18.75" customHeight="1" x14ac:dyDescent="0.3">
      <c r="A25" s="28" t="s">
        <v>61</v>
      </c>
      <c r="B25" s="27">
        <v>13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4"/>
        <v>6.8313189700472936E-3</v>
      </c>
      <c r="O25" s="25">
        <f t="shared" ref="O25" si="16">SUM(B25:M25)</f>
        <v>13</v>
      </c>
      <c r="P25" s="24">
        <f t="shared" si="6"/>
        <v>6.8313189700472936E-3</v>
      </c>
      <c r="Q25" s="23"/>
      <c r="R25" s="22">
        <v>4</v>
      </c>
      <c r="S25" s="22">
        <v>13</v>
      </c>
      <c r="T25" s="21">
        <f t="shared" si="7"/>
        <v>0</v>
      </c>
      <c r="U25" s="21">
        <f t="shared" si="8"/>
        <v>2.25</v>
      </c>
      <c r="W25" s="20">
        <v>4</v>
      </c>
      <c r="X25" s="19">
        <f t="shared" ref="X25" si="17">IFERROR(O25/W25-1,"-")</f>
        <v>2.25</v>
      </c>
    </row>
    <row r="26" spans="1:24" ht="18.75" customHeight="1" x14ac:dyDescent="0.3">
      <c r="A26" s="28" t="s">
        <v>58</v>
      </c>
      <c r="B26" s="27">
        <v>7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4"/>
        <v>3.6784025223331584E-3</v>
      </c>
      <c r="O26" s="25">
        <f t="shared" si="5"/>
        <v>7</v>
      </c>
      <c r="P26" s="24">
        <f t="shared" si="6"/>
        <v>3.6784025223331584E-3</v>
      </c>
      <c r="Q26" s="23"/>
      <c r="R26" s="22">
        <v>3</v>
      </c>
      <c r="S26" s="22">
        <v>7</v>
      </c>
      <c r="T26" s="21">
        <f t="shared" si="7"/>
        <v>0</v>
      </c>
      <c r="U26" s="21">
        <f t="shared" si="8"/>
        <v>1.3333333333333335</v>
      </c>
      <c r="W26" s="20">
        <v>3</v>
      </c>
      <c r="X26" s="19">
        <f t="shared" si="9"/>
        <v>1.3333333333333335</v>
      </c>
    </row>
    <row r="27" spans="1:24" ht="18.75" customHeight="1" x14ac:dyDescent="0.3">
      <c r="A27" s="28" t="s">
        <v>67</v>
      </c>
      <c r="B27" s="27">
        <v>6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4"/>
        <v>3.1529164477141357E-3</v>
      </c>
      <c r="O27" s="25">
        <f t="shared" si="5"/>
        <v>6</v>
      </c>
      <c r="P27" s="24">
        <f t="shared" si="6"/>
        <v>3.1529164477141357E-3</v>
      </c>
      <c r="Q27" s="23"/>
      <c r="R27" s="22">
        <v>4</v>
      </c>
      <c r="S27" s="22">
        <v>5</v>
      </c>
      <c r="T27" s="21">
        <f t="shared" si="7"/>
        <v>0.19999999999999996</v>
      </c>
      <c r="U27" s="21">
        <f t="shared" si="8"/>
        <v>0.5</v>
      </c>
      <c r="W27" s="20">
        <v>4</v>
      </c>
      <c r="X27" s="19">
        <f t="shared" si="9"/>
        <v>0.5</v>
      </c>
    </row>
    <row r="28" spans="1:24" ht="18.75" customHeight="1" x14ac:dyDescent="0.3">
      <c r="A28" s="28" t="s">
        <v>300</v>
      </c>
      <c r="B28" s="27">
        <v>3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4"/>
        <v>1.5764582238570678E-3</v>
      </c>
      <c r="O28" s="25">
        <f t="shared" si="5"/>
        <v>3</v>
      </c>
      <c r="P28" s="24">
        <f t="shared" si="6"/>
        <v>1.5764582238570678E-3</v>
      </c>
      <c r="Q28" s="23"/>
      <c r="R28" s="22">
        <v>3</v>
      </c>
      <c r="S28" s="22">
        <v>2</v>
      </c>
      <c r="T28" s="21">
        <f t="shared" si="7"/>
        <v>0.5</v>
      </c>
      <c r="U28" s="21">
        <f t="shared" si="8"/>
        <v>0</v>
      </c>
      <c r="W28" s="20">
        <v>3</v>
      </c>
      <c r="X28" s="19">
        <f t="shared" si="9"/>
        <v>0</v>
      </c>
    </row>
    <row r="29" spans="1:24" ht="18.75" customHeight="1" x14ac:dyDescent="0.3">
      <c r="A29" s="28" t="s">
        <v>60</v>
      </c>
      <c r="B29" s="27">
        <v>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4"/>
        <v>1.0509721492380452E-3</v>
      </c>
      <c r="O29" s="25">
        <f t="shared" si="5"/>
        <v>2</v>
      </c>
      <c r="P29" s="24">
        <f t="shared" si="6"/>
        <v>1.0509721492380452E-3</v>
      </c>
      <c r="Q29" s="23"/>
      <c r="R29" s="22">
        <v>3</v>
      </c>
      <c r="S29" s="22">
        <v>0</v>
      </c>
      <c r="T29" s="21" t="str">
        <f t="shared" si="7"/>
        <v>-</v>
      </c>
      <c r="U29" s="21">
        <f t="shared" si="8"/>
        <v>-0.33333333333333337</v>
      </c>
      <c r="W29" s="20">
        <v>3</v>
      </c>
      <c r="X29" s="19">
        <f t="shared" si="9"/>
        <v>-0.33333333333333337</v>
      </c>
    </row>
    <row r="30" spans="1:24" ht="18.75" customHeight="1" x14ac:dyDescent="0.3">
      <c r="A30" s="28" t="s">
        <v>64</v>
      </c>
      <c r="B30" s="27">
        <v>1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4"/>
        <v>5.2548607461902258E-4</v>
      </c>
      <c r="O30" s="25">
        <f t="shared" si="5"/>
        <v>1</v>
      </c>
      <c r="P30" s="24">
        <f t="shared" si="6"/>
        <v>5.2548607461902258E-4</v>
      </c>
      <c r="Q30" s="23"/>
      <c r="R30" s="22">
        <v>6</v>
      </c>
      <c r="S30" s="22">
        <v>1</v>
      </c>
      <c r="T30" s="21">
        <f t="shared" si="7"/>
        <v>0</v>
      </c>
      <c r="U30" s="21">
        <f t="shared" si="8"/>
        <v>-0.83333333333333337</v>
      </c>
      <c r="W30" s="20">
        <v>6</v>
      </c>
      <c r="X30" s="19">
        <f t="shared" si="9"/>
        <v>-0.83333333333333337</v>
      </c>
    </row>
    <row r="31" spans="1:24" ht="18.75" customHeight="1" x14ac:dyDescent="0.3">
      <c r="A31" s="28" t="s">
        <v>59</v>
      </c>
      <c r="B31" s="27">
        <v>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 t="shared" si="4"/>
        <v>5.2548607461902258E-4</v>
      </c>
      <c r="O31" s="25">
        <f t="shared" si="5"/>
        <v>1</v>
      </c>
      <c r="P31" s="24">
        <f t="shared" si="6"/>
        <v>5.2548607461902258E-4</v>
      </c>
      <c r="Q31" s="23"/>
      <c r="R31" s="22">
        <v>1</v>
      </c>
      <c r="S31" s="22">
        <v>2</v>
      </c>
      <c r="T31" s="21">
        <f t="shared" si="7"/>
        <v>-0.5</v>
      </c>
      <c r="U31" s="21">
        <f t="shared" si="8"/>
        <v>0</v>
      </c>
      <c r="W31" s="20">
        <v>1</v>
      </c>
      <c r="X31" s="19">
        <f t="shared" si="9"/>
        <v>0</v>
      </c>
    </row>
    <row r="32" spans="1:24" ht="18.75" customHeight="1" x14ac:dyDescent="0.3">
      <c r="A32" s="28" t="s">
        <v>299</v>
      </c>
      <c r="B32" s="27">
        <v>1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 t="shared" si="4"/>
        <v>5.2548607461902258E-4</v>
      </c>
      <c r="O32" s="25">
        <f t="shared" si="5"/>
        <v>1</v>
      </c>
      <c r="P32" s="24">
        <f t="shared" si="6"/>
        <v>5.2548607461902258E-4</v>
      </c>
      <c r="Q32" s="23"/>
      <c r="R32" s="22">
        <v>0</v>
      </c>
      <c r="S32" s="22">
        <v>2</v>
      </c>
      <c r="T32" s="21">
        <f t="shared" si="7"/>
        <v>-0.5</v>
      </c>
      <c r="U32" s="21" t="str">
        <f t="shared" si="8"/>
        <v>-</v>
      </c>
      <c r="W32" s="20">
        <v>0</v>
      </c>
      <c r="X32" s="19" t="str">
        <f t="shared" si="9"/>
        <v>-</v>
      </c>
    </row>
    <row r="33" spans="1:27" ht="18.75" customHeight="1" x14ac:dyDescent="0.3">
      <c r="A33" s="28" t="s">
        <v>63</v>
      </c>
      <c r="B33" s="27">
        <v>0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 t="shared" si="4"/>
        <v>0</v>
      </c>
      <c r="O33" s="25">
        <f t="shared" si="5"/>
        <v>0</v>
      </c>
      <c r="P33" s="24">
        <f t="shared" si="6"/>
        <v>0</v>
      </c>
      <c r="Q33" s="23"/>
      <c r="R33" s="22">
        <v>1</v>
      </c>
      <c r="S33" s="22">
        <v>3</v>
      </c>
      <c r="T33" s="21">
        <f t="shared" si="7"/>
        <v>-1</v>
      </c>
      <c r="U33" s="21">
        <f t="shared" si="8"/>
        <v>-1</v>
      </c>
      <c r="W33" s="20">
        <v>1</v>
      </c>
      <c r="X33" s="19">
        <f t="shared" si="9"/>
        <v>-1</v>
      </c>
    </row>
    <row r="34" spans="1:27" ht="18.75" customHeight="1" x14ac:dyDescent="0.3">
      <c r="A34" s="28" t="s">
        <v>398</v>
      </c>
      <c r="B34" s="27">
        <v>0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 t="shared" si="4"/>
        <v>0</v>
      </c>
      <c r="O34" s="25">
        <f t="shared" si="5"/>
        <v>0</v>
      </c>
      <c r="P34" s="24">
        <f t="shared" si="6"/>
        <v>0</v>
      </c>
      <c r="Q34" s="23"/>
      <c r="R34" s="22">
        <v>6</v>
      </c>
      <c r="S34" s="22">
        <v>0</v>
      </c>
      <c r="T34" s="21" t="str">
        <f t="shared" si="7"/>
        <v>-</v>
      </c>
      <c r="U34" s="21">
        <f t="shared" si="8"/>
        <v>-1</v>
      </c>
      <c r="W34" s="20">
        <v>6</v>
      </c>
      <c r="X34" s="19">
        <f t="shared" si="9"/>
        <v>-1</v>
      </c>
    </row>
    <row r="35" spans="1:27" ht="18.75" customHeight="1" x14ac:dyDescent="0.3">
      <c r="A35" s="28" t="s">
        <v>62</v>
      </c>
      <c r="B35" s="27">
        <v>0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 t="shared" si="4"/>
        <v>0</v>
      </c>
      <c r="O35" s="25">
        <f t="shared" si="5"/>
        <v>0</v>
      </c>
      <c r="P35" s="24">
        <f t="shared" si="6"/>
        <v>0</v>
      </c>
      <c r="Q35" s="23"/>
      <c r="R35" s="22">
        <v>1</v>
      </c>
      <c r="S35" s="22">
        <v>0</v>
      </c>
      <c r="T35" s="21" t="str">
        <f t="shared" si="7"/>
        <v>-</v>
      </c>
      <c r="U35" s="21">
        <f t="shared" si="8"/>
        <v>-1</v>
      </c>
      <c r="W35" s="20">
        <v>1</v>
      </c>
      <c r="X35" s="19">
        <f t="shared" si="9"/>
        <v>-1</v>
      </c>
    </row>
    <row r="36" spans="1:27" s="8" customFormat="1" ht="19.5" thickBot="1" x14ac:dyDescent="0.35">
      <c r="A36" s="18" t="s">
        <v>8</v>
      </c>
      <c r="B36" s="13">
        <f t="shared" ref="B36:P36" si="18">SUM(B15:B35)</f>
        <v>1903</v>
      </c>
      <c r="C36" s="13">
        <f t="shared" si="18"/>
        <v>0</v>
      </c>
      <c r="D36" s="13">
        <f t="shared" si="18"/>
        <v>0</v>
      </c>
      <c r="E36" s="13">
        <f t="shared" si="18"/>
        <v>0</v>
      </c>
      <c r="F36" s="13">
        <f t="shared" si="18"/>
        <v>0</v>
      </c>
      <c r="G36" s="13">
        <f t="shared" si="18"/>
        <v>0</v>
      </c>
      <c r="H36" s="13">
        <f t="shared" si="18"/>
        <v>0</v>
      </c>
      <c r="I36" s="13">
        <f t="shared" si="18"/>
        <v>0</v>
      </c>
      <c r="J36" s="13">
        <f t="shared" si="18"/>
        <v>0</v>
      </c>
      <c r="K36" s="13">
        <f t="shared" si="18"/>
        <v>0</v>
      </c>
      <c r="L36" s="13">
        <f t="shared" si="18"/>
        <v>0</v>
      </c>
      <c r="M36" s="13">
        <f t="shared" si="18"/>
        <v>0</v>
      </c>
      <c r="N36" s="12">
        <f t="shared" si="18"/>
        <v>1</v>
      </c>
      <c r="O36" s="17">
        <f t="shared" si="18"/>
        <v>1903</v>
      </c>
      <c r="P36" s="16">
        <f t="shared" si="18"/>
        <v>1</v>
      </c>
      <c r="Q36" s="14"/>
      <c r="R36" s="13">
        <f>SUM(R15:R35)</f>
        <v>1495</v>
      </c>
      <c r="S36" s="13">
        <f>SUM(S15:S35)</f>
        <v>1571</v>
      </c>
      <c r="T36" s="15">
        <f t="shared" si="7"/>
        <v>0.2113303628262253</v>
      </c>
      <c r="U36" s="15">
        <f t="shared" si="8"/>
        <v>0.27290969899665551</v>
      </c>
      <c r="W36" s="13">
        <f>SUM(W15:W35)</f>
        <v>1495</v>
      </c>
      <c r="X36" s="12">
        <f t="shared" si="9"/>
        <v>0.27290969899665551</v>
      </c>
    </row>
    <row r="37" spans="1:27" ht="18.75" thickTop="1" x14ac:dyDescent="0.25"/>
    <row r="38" spans="1:27" s="10" customFormat="1" ht="18.75" x14ac:dyDescent="0.3">
      <c r="A38" s="11" t="s">
        <v>7</v>
      </c>
      <c r="D38" s="6"/>
      <c r="N38" s="9"/>
      <c r="O38" s="8"/>
      <c r="P38" s="8"/>
      <c r="Q38" s="7"/>
      <c r="R38" s="6"/>
      <c r="S38" s="6"/>
      <c r="T38" s="5"/>
      <c r="U38" s="5"/>
      <c r="V38" s="1"/>
      <c r="W38" s="3"/>
      <c r="X38" s="2"/>
      <c r="Y38" s="1"/>
      <c r="Z38" s="1"/>
      <c r="AA38" s="1"/>
    </row>
    <row r="41" spans="1:27" x14ac:dyDescent="0.25">
      <c r="D41" s="10"/>
    </row>
    <row r="43" spans="1:27" x14ac:dyDescent="0.25"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</row>
  </sheetData>
  <sortState xmlns:xlrd2="http://schemas.microsoft.com/office/spreadsheetml/2017/richdata2" ref="A15:X35">
    <sortCondition descending="1" ref="O15:O35"/>
  </sortState>
  <mergeCells count="2">
    <mergeCell ref="W2:X2"/>
    <mergeCell ref="W12:X12"/>
  </mergeCells>
  <conditionalFormatting sqref="A15:A35">
    <cfRule type="duplicateValues" dxfId="6" priority="26"/>
    <cfRule type="duplicateValues" dxfId="5" priority="27"/>
  </conditionalFormatting>
  <conditionalFormatting sqref="T8:U8">
    <cfRule type="iconSet" priority="2">
      <iconSet>
        <cfvo type="percent" val="0"/>
        <cfvo type="num" val="-8.9999999999999995E-15" gte="0"/>
        <cfvo type="num" val="0"/>
      </iconSet>
    </cfRule>
  </conditionalFormatting>
  <conditionalFormatting sqref="X5:X8">
    <cfRule type="iconSet" priority="8">
      <iconSet>
        <cfvo type="percent" val="0"/>
        <cfvo type="num" val="-8.9999999999999995E-15" gte="0"/>
        <cfvo type="num" val="0"/>
      </iconSet>
    </cfRule>
  </conditionalFormatting>
  <pageMargins left="0" right="0" top="0" bottom="0.98425196850393704" header="0" footer="0"/>
  <pageSetup paperSize="9" scale="60" orientation="landscape" horizontalDpi="300" verticalDpi="300" r:id="rId1"/>
  <headerFooter alignWithMargins="0"/>
  <ignoredErrors>
    <ignoredError sqref="B36:E36" formulaRange="1"/>
    <ignoredError sqref="N8:O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44"/>
  </sheetPr>
  <dimension ref="A1:V161"/>
  <sheetViews>
    <sheetView zoomScale="80" zoomScaleNormal="80" workbookViewId="0"/>
  </sheetViews>
  <sheetFormatPr baseColWidth="10" defaultRowHeight="18" outlineLevelCol="1" x14ac:dyDescent="0.25"/>
  <cols>
    <col min="1" max="1" width="21.85546875" style="8" customWidth="1"/>
    <col min="2" max="2" width="12.5703125" style="10" customWidth="1"/>
    <col min="3" max="3" width="8.7109375" style="10" hidden="1" customWidth="1" outlineLevel="1"/>
    <col min="4" max="4" width="9.28515625" style="6" hidden="1" customWidth="1" outlineLevel="1"/>
    <col min="5" max="5" width="10.28515625" style="10" hidden="1" customWidth="1" outlineLevel="1"/>
    <col min="6" max="6" width="8.5703125" style="10" hidden="1" customWidth="1" outlineLevel="1"/>
    <col min="7" max="12" width="8" style="10" hidden="1" customWidth="1" outlineLevel="1"/>
    <col min="13" max="13" width="9.85546875" style="10" hidden="1" customWidth="1" outlineLevel="1"/>
    <col min="14" max="14" width="15" style="5" customWidth="1" collapsed="1"/>
    <col min="15" max="15" width="14.28515625" style="8" bestFit="1" customWidth="1"/>
    <col min="16" max="16" width="16" style="8" customWidth="1"/>
    <col min="17" max="17" width="0.5703125" style="7" customWidth="1"/>
    <col min="18" max="18" width="13.7109375" style="6" customWidth="1"/>
    <col min="19" max="19" width="15.85546875" style="5" customWidth="1"/>
    <col min="20" max="20" width="0.85546875" style="4" customWidth="1"/>
    <col min="21" max="21" width="14.28515625" style="3" bestFit="1" customWidth="1"/>
    <col min="22" max="22" width="16.28515625" style="2" customWidth="1"/>
    <col min="23" max="256" width="11.5703125" style="1"/>
    <col min="257" max="257" width="37.7109375" style="1" customWidth="1"/>
    <col min="258" max="258" width="15.85546875" style="1" customWidth="1"/>
    <col min="259" max="260" width="10.85546875" style="1" customWidth="1"/>
    <col min="261" max="269" width="0" style="1" hidden="1" customWidth="1"/>
    <col min="270" max="270" width="13.7109375" style="1" customWidth="1"/>
    <col min="271" max="271" width="17.28515625" style="1" customWidth="1"/>
    <col min="272" max="272" width="16" style="1" customWidth="1"/>
    <col min="273" max="273" width="2" style="1" customWidth="1"/>
    <col min="274" max="274" width="12" style="1" customWidth="1"/>
    <col min="275" max="275" width="10.5703125" style="1" customWidth="1"/>
    <col min="276" max="276" width="1.7109375" style="1" customWidth="1"/>
    <col min="277" max="277" width="14.42578125" style="1" customWidth="1"/>
    <col min="278" max="278" width="11.5703125" style="1" customWidth="1"/>
    <col min="279" max="512" width="11.5703125" style="1"/>
    <col min="513" max="513" width="37.7109375" style="1" customWidth="1"/>
    <col min="514" max="514" width="15.85546875" style="1" customWidth="1"/>
    <col min="515" max="516" width="10.85546875" style="1" customWidth="1"/>
    <col min="517" max="525" width="0" style="1" hidden="1" customWidth="1"/>
    <col min="526" max="526" width="13.7109375" style="1" customWidth="1"/>
    <col min="527" max="527" width="17.28515625" style="1" customWidth="1"/>
    <col min="528" max="528" width="16" style="1" customWidth="1"/>
    <col min="529" max="529" width="2" style="1" customWidth="1"/>
    <col min="530" max="530" width="12" style="1" customWidth="1"/>
    <col min="531" max="531" width="10.5703125" style="1" customWidth="1"/>
    <col min="532" max="532" width="1.7109375" style="1" customWidth="1"/>
    <col min="533" max="533" width="14.42578125" style="1" customWidth="1"/>
    <col min="534" max="534" width="11.5703125" style="1" customWidth="1"/>
    <col min="535" max="768" width="11.5703125" style="1"/>
    <col min="769" max="769" width="37.7109375" style="1" customWidth="1"/>
    <col min="770" max="770" width="15.85546875" style="1" customWidth="1"/>
    <col min="771" max="772" width="10.85546875" style="1" customWidth="1"/>
    <col min="773" max="781" width="0" style="1" hidden="1" customWidth="1"/>
    <col min="782" max="782" width="13.7109375" style="1" customWidth="1"/>
    <col min="783" max="783" width="17.28515625" style="1" customWidth="1"/>
    <col min="784" max="784" width="16" style="1" customWidth="1"/>
    <col min="785" max="785" width="2" style="1" customWidth="1"/>
    <col min="786" max="786" width="12" style="1" customWidth="1"/>
    <col min="787" max="787" width="10.5703125" style="1" customWidth="1"/>
    <col min="788" max="788" width="1.7109375" style="1" customWidth="1"/>
    <col min="789" max="789" width="14.42578125" style="1" customWidth="1"/>
    <col min="790" max="790" width="11.5703125" style="1" customWidth="1"/>
    <col min="791" max="1024" width="11.5703125" style="1"/>
    <col min="1025" max="1025" width="37.7109375" style="1" customWidth="1"/>
    <col min="1026" max="1026" width="15.85546875" style="1" customWidth="1"/>
    <col min="1027" max="1028" width="10.85546875" style="1" customWidth="1"/>
    <col min="1029" max="1037" width="0" style="1" hidden="1" customWidth="1"/>
    <col min="1038" max="1038" width="13.7109375" style="1" customWidth="1"/>
    <col min="1039" max="1039" width="17.28515625" style="1" customWidth="1"/>
    <col min="1040" max="1040" width="16" style="1" customWidth="1"/>
    <col min="1041" max="1041" width="2" style="1" customWidth="1"/>
    <col min="1042" max="1042" width="12" style="1" customWidth="1"/>
    <col min="1043" max="1043" width="10.5703125" style="1" customWidth="1"/>
    <col min="1044" max="1044" width="1.7109375" style="1" customWidth="1"/>
    <col min="1045" max="1045" width="14.42578125" style="1" customWidth="1"/>
    <col min="1046" max="1046" width="11.5703125" style="1" customWidth="1"/>
    <col min="1047" max="1280" width="11.5703125" style="1"/>
    <col min="1281" max="1281" width="37.7109375" style="1" customWidth="1"/>
    <col min="1282" max="1282" width="15.85546875" style="1" customWidth="1"/>
    <col min="1283" max="1284" width="10.85546875" style="1" customWidth="1"/>
    <col min="1285" max="1293" width="0" style="1" hidden="1" customWidth="1"/>
    <col min="1294" max="1294" width="13.7109375" style="1" customWidth="1"/>
    <col min="1295" max="1295" width="17.28515625" style="1" customWidth="1"/>
    <col min="1296" max="1296" width="16" style="1" customWidth="1"/>
    <col min="1297" max="1297" width="2" style="1" customWidth="1"/>
    <col min="1298" max="1298" width="12" style="1" customWidth="1"/>
    <col min="1299" max="1299" width="10.5703125" style="1" customWidth="1"/>
    <col min="1300" max="1300" width="1.7109375" style="1" customWidth="1"/>
    <col min="1301" max="1301" width="14.42578125" style="1" customWidth="1"/>
    <col min="1302" max="1302" width="11.5703125" style="1" customWidth="1"/>
    <col min="1303" max="1536" width="11.5703125" style="1"/>
    <col min="1537" max="1537" width="37.7109375" style="1" customWidth="1"/>
    <col min="1538" max="1538" width="15.85546875" style="1" customWidth="1"/>
    <col min="1539" max="1540" width="10.85546875" style="1" customWidth="1"/>
    <col min="1541" max="1549" width="0" style="1" hidden="1" customWidth="1"/>
    <col min="1550" max="1550" width="13.7109375" style="1" customWidth="1"/>
    <col min="1551" max="1551" width="17.28515625" style="1" customWidth="1"/>
    <col min="1552" max="1552" width="16" style="1" customWidth="1"/>
    <col min="1553" max="1553" width="2" style="1" customWidth="1"/>
    <col min="1554" max="1554" width="12" style="1" customWidth="1"/>
    <col min="1555" max="1555" width="10.5703125" style="1" customWidth="1"/>
    <col min="1556" max="1556" width="1.7109375" style="1" customWidth="1"/>
    <col min="1557" max="1557" width="14.42578125" style="1" customWidth="1"/>
    <col min="1558" max="1558" width="11.5703125" style="1" customWidth="1"/>
    <col min="1559" max="1792" width="11.5703125" style="1"/>
    <col min="1793" max="1793" width="37.7109375" style="1" customWidth="1"/>
    <col min="1794" max="1794" width="15.85546875" style="1" customWidth="1"/>
    <col min="1795" max="1796" width="10.85546875" style="1" customWidth="1"/>
    <col min="1797" max="1805" width="0" style="1" hidden="1" customWidth="1"/>
    <col min="1806" max="1806" width="13.7109375" style="1" customWidth="1"/>
    <col min="1807" max="1807" width="17.28515625" style="1" customWidth="1"/>
    <col min="1808" max="1808" width="16" style="1" customWidth="1"/>
    <col min="1809" max="1809" width="2" style="1" customWidth="1"/>
    <col min="1810" max="1810" width="12" style="1" customWidth="1"/>
    <col min="1811" max="1811" width="10.5703125" style="1" customWidth="1"/>
    <col min="1812" max="1812" width="1.7109375" style="1" customWidth="1"/>
    <col min="1813" max="1813" width="14.42578125" style="1" customWidth="1"/>
    <col min="1814" max="1814" width="11.5703125" style="1" customWidth="1"/>
    <col min="1815" max="2048" width="11.5703125" style="1"/>
    <col min="2049" max="2049" width="37.7109375" style="1" customWidth="1"/>
    <col min="2050" max="2050" width="15.85546875" style="1" customWidth="1"/>
    <col min="2051" max="2052" width="10.85546875" style="1" customWidth="1"/>
    <col min="2053" max="2061" width="0" style="1" hidden="1" customWidth="1"/>
    <col min="2062" max="2062" width="13.7109375" style="1" customWidth="1"/>
    <col min="2063" max="2063" width="17.28515625" style="1" customWidth="1"/>
    <col min="2064" max="2064" width="16" style="1" customWidth="1"/>
    <col min="2065" max="2065" width="2" style="1" customWidth="1"/>
    <col min="2066" max="2066" width="12" style="1" customWidth="1"/>
    <col min="2067" max="2067" width="10.5703125" style="1" customWidth="1"/>
    <col min="2068" max="2068" width="1.7109375" style="1" customWidth="1"/>
    <col min="2069" max="2069" width="14.42578125" style="1" customWidth="1"/>
    <col min="2070" max="2070" width="11.5703125" style="1" customWidth="1"/>
    <col min="2071" max="2304" width="11.5703125" style="1"/>
    <col min="2305" max="2305" width="37.7109375" style="1" customWidth="1"/>
    <col min="2306" max="2306" width="15.85546875" style="1" customWidth="1"/>
    <col min="2307" max="2308" width="10.85546875" style="1" customWidth="1"/>
    <col min="2309" max="2317" width="0" style="1" hidden="1" customWidth="1"/>
    <col min="2318" max="2318" width="13.7109375" style="1" customWidth="1"/>
    <col min="2319" max="2319" width="17.28515625" style="1" customWidth="1"/>
    <col min="2320" max="2320" width="16" style="1" customWidth="1"/>
    <col min="2321" max="2321" width="2" style="1" customWidth="1"/>
    <col min="2322" max="2322" width="12" style="1" customWidth="1"/>
    <col min="2323" max="2323" width="10.5703125" style="1" customWidth="1"/>
    <col min="2324" max="2324" width="1.7109375" style="1" customWidth="1"/>
    <col min="2325" max="2325" width="14.42578125" style="1" customWidth="1"/>
    <col min="2326" max="2326" width="11.5703125" style="1" customWidth="1"/>
    <col min="2327" max="2560" width="11.5703125" style="1"/>
    <col min="2561" max="2561" width="37.7109375" style="1" customWidth="1"/>
    <col min="2562" max="2562" width="15.85546875" style="1" customWidth="1"/>
    <col min="2563" max="2564" width="10.85546875" style="1" customWidth="1"/>
    <col min="2565" max="2573" width="0" style="1" hidden="1" customWidth="1"/>
    <col min="2574" max="2574" width="13.7109375" style="1" customWidth="1"/>
    <col min="2575" max="2575" width="17.28515625" style="1" customWidth="1"/>
    <col min="2576" max="2576" width="16" style="1" customWidth="1"/>
    <col min="2577" max="2577" width="2" style="1" customWidth="1"/>
    <col min="2578" max="2578" width="12" style="1" customWidth="1"/>
    <col min="2579" max="2579" width="10.5703125" style="1" customWidth="1"/>
    <col min="2580" max="2580" width="1.7109375" style="1" customWidth="1"/>
    <col min="2581" max="2581" width="14.42578125" style="1" customWidth="1"/>
    <col min="2582" max="2582" width="11.5703125" style="1" customWidth="1"/>
    <col min="2583" max="2816" width="11.5703125" style="1"/>
    <col min="2817" max="2817" width="37.7109375" style="1" customWidth="1"/>
    <col min="2818" max="2818" width="15.85546875" style="1" customWidth="1"/>
    <col min="2819" max="2820" width="10.85546875" style="1" customWidth="1"/>
    <col min="2821" max="2829" width="0" style="1" hidden="1" customWidth="1"/>
    <col min="2830" max="2830" width="13.7109375" style="1" customWidth="1"/>
    <col min="2831" max="2831" width="17.28515625" style="1" customWidth="1"/>
    <col min="2832" max="2832" width="16" style="1" customWidth="1"/>
    <col min="2833" max="2833" width="2" style="1" customWidth="1"/>
    <col min="2834" max="2834" width="12" style="1" customWidth="1"/>
    <col min="2835" max="2835" width="10.5703125" style="1" customWidth="1"/>
    <col min="2836" max="2836" width="1.7109375" style="1" customWidth="1"/>
    <col min="2837" max="2837" width="14.42578125" style="1" customWidth="1"/>
    <col min="2838" max="2838" width="11.5703125" style="1" customWidth="1"/>
    <col min="2839" max="3072" width="11.5703125" style="1"/>
    <col min="3073" max="3073" width="37.7109375" style="1" customWidth="1"/>
    <col min="3074" max="3074" width="15.85546875" style="1" customWidth="1"/>
    <col min="3075" max="3076" width="10.85546875" style="1" customWidth="1"/>
    <col min="3077" max="3085" width="0" style="1" hidden="1" customWidth="1"/>
    <col min="3086" max="3086" width="13.7109375" style="1" customWidth="1"/>
    <col min="3087" max="3087" width="17.28515625" style="1" customWidth="1"/>
    <col min="3088" max="3088" width="16" style="1" customWidth="1"/>
    <col min="3089" max="3089" width="2" style="1" customWidth="1"/>
    <col min="3090" max="3090" width="12" style="1" customWidth="1"/>
    <col min="3091" max="3091" width="10.5703125" style="1" customWidth="1"/>
    <col min="3092" max="3092" width="1.7109375" style="1" customWidth="1"/>
    <col min="3093" max="3093" width="14.42578125" style="1" customWidth="1"/>
    <col min="3094" max="3094" width="11.5703125" style="1" customWidth="1"/>
    <col min="3095" max="3328" width="11.5703125" style="1"/>
    <col min="3329" max="3329" width="37.7109375" style="1" customWidth="1"/>
    <col min="3330" max="3330" width="15.85546875" style="1" customWidth="1"/>
    <col min="3331" max="3332" width="10.85546875" style="1" customWidth="1"/>
    <col min="3333" max="3341" width="0" style="1" hidden="1" customWidth="1"/>
    <col min="3342" max="3342" width="13.7109375" style="1" customWidth="1"/>
    <col min="3343" max="3343" width="17.28515625" style="1" customWidth="1"/>
    <col min="3344" max="3344" width="16" style="1" customWidth="1"/>
    <col min="3345" max="3345" width="2" style="1" customWidth="1"/>
    <col min="3346" max="3346" width="12" style="1" customWidth="1"/>
    <col min="3347" max="3347" width="10.5703125" style="1" customWidth="1"/>
    <col min="3348" max="3348" width="1.7109375" style="1" customWidth="1"/>
    <col min="3349" max="3349" width="14.42578125" style="1" customWidth="1"/>
    <col min="3350" max="3350" width="11.5703125" style="1" customWidth="1"/>
    <col min="3351" max="3584" width="11.5703125" style="1"/>
    <col min="3585" max="3585" width="37.7109375" style="1" customWidth="1"/>
    <col min="3586" max="3586" width="15.85546875" style="1" customWidth="1"/>
    <col min="3587" max="3588" width="10.85546875" style="1" customWidth="1"/>
    <col min="3589" max="3597" width="0" style="1" hidden="1" customWidth="1"/>
    <col min="3598" max="3598" width="13.7109375" style="1" customWidth="1"/>
    <col min="3599" max="3599" width="17.28515625" style="1" customWidth="1"/>
    <col min="3600" max="3600" width="16" style="1" customWidth="1"/>
    <col min="3601" max="3601" width="2" style="1" customWidth="1"/>
    <col min="3602" max="3602" width="12" style="1" customWidth="1"/>
    <col min="3603" max="3603" width="10.5703125" style="1" customWidth="1"/>
    <col min="3604" max="3604" width="1.7109375" style="1" customWidth="1"/>
    <col min="3605" max="3605" width="14.42578125" style="1" customWidth="1"/>
    <col min="3606" max="3606" width="11.5703125" style="1" customWidth="1"/>
    <col min="3607" max="3840" width="11.5703125" style="1"/>
    <col min="3841" max="3841" width="37.7109375" style="1" customWidth="1"/>
    <col min="3842" max="3842" width="15.85546875" style="1" customWidth="1"/>
    <col min="3843" max="3844" width="10.85546875" style="1" customWidth="1"/>
    <col min="3845" max="3853" width="0" style="1" hidden="1" customWidth="1"/>
    <col min="3854" max="3854" width="13.7109375" style="1" customWidth="1"/>
    <col min="3855" max="3855" width="17.28515625" style="1" customWidth="1"/>
    <col min="3856" max="3856" width="16" style="1" customWidth="1"/>
    <col min="3857" max="3857" width="2" style="1" customWidth="1"/>
    <col min="3858" max="3858" width="12" style="1" customWidth="1"/>
    <col min="3859" max="3859" width="10.5703125" style="1" customWidth="1"/>
    <col min="3860" max="3860" width="1.7109375" style="1" customWidth="1"/>
    <col min="3861" max="3861" width="14.42578125" style="1" customWidth="1"/>
    <col min="3862" max="3862" width="11.5703125" style="1" customWidth="1"/>
    <col min="3863" max="4096" width="11.5703125" style="1"/>
    <col min="4097" max="4097" width="37.7109375" style="1" customWidth="1"/>
    <col min="4098" max="4098" width="15.85546875" style="1" customWidth="1"/>
    <col min="4099" max="4100" width="10.85546875" style="1" customWidth="1"/>
    <col min="4101" max="4109" width="0" style="1" hidden="1" customWidth="1"/>
    <col min="4110" max="4110" width="13.7109375" style="1" customWidth="1"/>
    <col min="4111" max="4111" width="17.28515625" style="1" customWidth="1"/>
    <col min="4112" max="4112" width="16" style="1" customWidth="1"/>
    <col min="4113" max="4113" width="2" style="1" customWidth="1"/>
    <col min="4114" max="4114" width="12" style="1" customWidth="1"/>
    <col min="4115" max="4115" width="10.5703125" style="1" customWidth="1"/>
    <col min="4116" max="4116" width="1.7109375" style="1" customWidth="1"/>
    <col min="4117" max="4117" width="14.42578125" style="1" customWidth="1"/>
    <col min="4118" max="4118" width="11.5703125" style="1" customWidth="1"/>
    <col min="4119" max="4352" width="11.5703125" style="1"/>
    <col min="4353" max="4353" width="37.7109375" style="1" customWidth="1"/>
    <col min="4354" max="4354" width="15.85546875" style="1" customWidth="1"/>
    <col min="4355" max="4356" width="10.85546875" style="1" customWidth="1"/>
    <col min="4357" max="4365" width="0" style="1" hidden="1" customWidth="1"/>
    <col min="4366" max="4366" width="13.7109375" style="1" customWidth="1"/>
    <col min="4367" max="4367" width="17.28515625" style="1" customWidth="1"/>
    <col min="4368" max="4368" width="16" style="1" customWidth="1"/>
    <col min="4369" max="4369" width="2" style="1" customWidth="1"/>
    <col min="4370" max="4370" width="12" style="1" customWidth="1"/>
    <col min="4371" max="4371" width="10.5703125" style="1" customWidth="1"/>
    <col min="4372" max="4372" width="1.7109375" style="1" customWidth="1"/>
    <col min="4373" max="4373" width="14.42578125" style="1" customWidth="1"/>
    <col min="4374" max="4374" width="11.5703125" style="1" customWidth="1"/>
    <col min="4375" max="4608" width="11.5703125" style="1"/>
    <col min="4609" max="4609" width="37.7109375" style="1" customWidth="1"/>
    <col min="4610" max="4610" width="15.85546875" style="1" customWidth="1"/>
    <col min="4611" max="4612" width="10.85546875" style="1" customWidth="1"/>
    <col min="4613" max="4621" width="0" style="1" hidden="1" customWidth="1"/>
    <col min="4622" max="4622" width="13.7109375" style="1" customWidth="1"/>
    <col min="4623" max="4623" width="17.28515625" style="1" customWidth="1"/>
    <col min="4624" max="4624" width="16" style="1" customWidth="1"/>
    <col min="4625" max="4625" width="2" style="1" customWidth="1"/>
    <col min="4626" max="4626" width="12" style="1" customWidth="1"/>
    <col min="4627" max="4627" width="10.5703125" style="1" customWidth="1"/>
    <col min="4628" max="4628" width="1.7109375" style="1" customWidth="1"/>
    <col min="4629" max="4629" width="14.42578125" style="1" customWidth="1"/>
    <col min="4630" max="4630" width="11.5703125" style="1" customWidth="1"/>
    <col min="4631" max="4864" width="11.5703125" style="1"/>
    <col min="4865" max="4865" width="37.7109375" style="1" customWidth="1"/>
    <col min="4866" max="4866" width="15.85546875" style="1" customWidth="1"/>
    <col min="4867" max="4868" width="10.85546875" style="1" customWidth="1"/>
    <col min="4869" max="4877" width="0" style="1" hidden="1" customWidth="1"/>
    <col min="4878" max="4878" width="13.7109375" style="1" customWidth="1"/>
    <col min="4879" max="4879" width="17.28515625" style="1" customWidth="1"/>
    <col min="4880" max="4880" width="16" style="1" customWidth="1"/>
    <col min="4881" max="4881" width="2" style="1" customWidth="1"/>
    <col min="4882" max="4882" width="12" style="1" customWidth="1"/>
    <col min="4883" max="4883" width="10.5703125" style="1" customWidth="1"/>
    <col min="4884" max="4884" width="1.7109375" style="1" customWidth="1"/>
    <col min="4885" max="4885" width="14.42578125" style="1" customWidth="1"/>
    <col min="4886" max="4886" width="11.5703125" style="1" customWidth="1"/>
    <col min="4887" max="5120" width="11.5703125" style="1"/>
    <col min="5121" max="5121" width="37.7109375" style="1" customWidth="1"/>
    <col min="5122" max="5122" width="15.85546875" style="1" customWidth="1"/>
    <col min="5123" max="5124" width="10.85546875" style="1" customWidth="1"/>
    <col min="5125" max="5133" width="0" style="1" hidden="1" customWidth="1"/>
    <col min="5134" max="5134" width="13.7109375" style="1" customWidth="1"/>
    <col min="5135" max="5135" width="17.28515625" style="1" customWidth="1"/>
    <col min="5136" max="5136" width="16" style="1" customWidth="1"/>
    <col min="5137" max="5137" width="2" style="1" customWidth="1"/>
    <col min="5138" max="5138" width="12" style="1" customWidth="1"/>
    <col min="5139" max="5139" width="10.5703125" style="1" customWidth="1"/>
    <col min="5140" max="5140" width="1.7109375" style="1" customWidth="1"/>
    <col min="5141" max="5141" width="14.42578125" style="1" customWidth="1"/>
    <col min="5142" max="5142" width="11.5703125" style="1" customWidth="1"/>
    <col min="5143" max="5376" width="11.5703125" style="1"/>
    <col min="5377" max="5377" width="37.7109375" style="1" customWidth="1"/>
    <col min="5378" max="5378" width="15.85546875" style="1" customWidth="1"/>
    <col min="5379" max="5380" width="10.85546875" style="1" customWidth="1"/>
    <col min="5381" max="5389" width="0" style="1" hidden="1" customWidth="1"/>
    <col min="5390" max="5390" width="13.7109375" style="1" customWidth="1"/>
    <col min="5391" max="5391" width="17.28515625" style="1" customWidth="1"/>
    <col min="5392" max="5392" width="16" style="1" customWidth="1"/>
    <col min="5393" max="5393" width="2" style="1" customWidth="1"/>
    <col min="5394" max="5394" width="12" style="1" customWidth="1"/>
    <col min="5395" max="5395" width="10.5703125" style="1" customWidth="1"/>
    <col min="5396" max="5396" width="1.7109375" style="1" customWidth="1"/>
    <col min="5397" max="5397" width="14.42578125" style="1" customWidth="1"/>
    <col min="5398" max="5398" width="11.5703125" style="1" customWidth="1"/>
    <col min="5399" max="5632" width="11.5703125" style="1"/>
    <col min="5633" max="5633" width="37.7109375" style="1" customWidth="1"/>
    <col min="5634" max="5634" width="15.85546875" style="1" customWidth="1"/>
    <col min="5635" max="5636" width="10.85546875" style="1" customWidth="1"/>
    <col min="5637" max="5645" width="0" style="1" hidden="1" customWidth="1"/>
    <col min="5646" max="5646" width="13.7109375" style="1" customWidth="1"/>
    <col min="5647" max="5647" width="17.28515625" style="1" customWidth="1"/>
    <col min="5648" max="5648" width="16" style="1" customWidth="1"/>
    <col min="5649" max="5649" width="2" style="1" customWidth="1"/>
    <col min="5650" max="5650" width="12" style="1" customWidth="1"/>
    <col min="5651" max="5651" width="10.5703125" style="1" customWidth="1"/>
    <col min="5652" max="5652" width="1.7109375" style="1" customWidth="1"/>
    <col min="5653" max="5653" width="14.42578125" style="1" customWidth="1"/>
    <col min="5654" max="5654" width="11.5703125" style="1" customWidth="1"/>
    <col min="5655" max="5888" width="11.5703125" style="1"/>
    <col min="5889" max="5889" width="37.7109375" style="1" customWidth="1"/>
    <col min="5890" max="5890" width="15.85546875" style="1" customWidth="1"/>
    <col min="5891" max="5892" width="10.85546875" style="1" customWidth="1"/>
    <col min="5893" max="5901" width="0" style="1" hidden="1" customWidth="1"/>
    <col min="5902" max="5902" width="13.7109375" style="1" customWidth="1"/>
    <col min="5903" max="5903" width="17.28515625" style="1" customWidth="1"/>
    <col min="5904" max="5904" width="16" style="1" customWidth="1"/>
    <col min="5905" max="5905" width="2" style="1" customWidth="1"/>
    <col min="5906" max="5906" width="12" style="1" customWidth="1"/>
    <col min="5907" max="5907" width="10.5703125" style="1" customWidth="1"/>
    <col min="5908" max="5908" width="1.7109375" style="1" customWidth="1"/>
    <col min="5909" max="5909" width="14.42578125" style="1" customWidth="1"/>
    <col min="5910" max="5910" width="11.5703125" style="1" customWidth="1"/>
    <col min="5911" max="6144" width="11.5703125" style="1"/>
    <col min="6145" max="6145" width="37.7109375" style="1" customWidth="1"/>
    <col min="6146" max="6146" width="15.85546875" style="1" customWidth="1"/>
    <col min="6147" max="6148" width="10.85546875" style="1" customWidth="1"/>
    <col min="6149" max="6157" width="0" style="1" hidden="1" customWidth="1"/>
    <col min="6158" max="6158" width="13.7109375" style="1" customWidth="1"/>
    <col min="6159" max="6159" width="17.28515625" style="1" customWidth="1"/>
    <col min="6160" max="6160" width="16" style="1" customWidth="1"/>
    <col min="6161" max="6161" width="2" style="1" customWidth="1"/>
    <col min="6162" max="6162" width="12" style="1" customWidth="1"/>
    <col min="6163" max="6163" width="10.5703125" style="1" customWidth="1"/>
    <col min="6164" max="6164" width="1.7109375" style="1" customWidth="1"/>
    <col min="6165" max="6165" width="14.42578125" style="1" customWidth="1"/>
    <col min="6166" max="6166" width="11.5703125" style="1" customWidth="1"/>
    <col min="6167" max="6400" width="11.5703125" style="1"/>
    <col min="6401" max="6401" width="37.7109375" style="1" customWidth="1"/>
    <col min="6402" max="6402" width="15.85546875" style="1" customWidth="1"/>
    <col min="6403" max="6404" width="10.85546875" style="1" customWidth="1"/>
    <col min="6405" max="6413" width="0" style="1" hidden="1" customWidth="1"/>
    <col min="6414" max="6414" width="13.7109375" style="1" customWidth="1"/>
    <col min="6415" max="6415" width="17.28515625" style="1" customWidth="1"/>
    <col min="6416" max="6416" width="16" style="1" customWidth="1"/>
    <col min="6417" max="6417" width="2" style="1" customWidth="1"/>
    <col min="6418" max="6418" width="12" style="1" customWidth="1"/>
    <col min="6419" max="6419" width="10.5703125" style="1" customWidth="1"/>
    <col min="6420" max="6420" width="1.7109375" style="1" customWidth="1"/>
    <col min="6421" max="6421" width="14.42578125" style="1" customWidth="1"/>
    <col min="6422" max="6422" width="11.5703125" style="1" customWidth="1"/>
    <col min="6423" max="6656" width="11.5703125" style="1"/>
    <col min="6657" max="6657" width="37.7109375" style="1" customWidth="1"/>
    <col min="6658" max="6658" width="15.85546875" style="1" customWidth="1"/>
    <col min="6659" max="6660" width="10.85546875" style="1" customWidth="1"/>
    <col min="6661" max="6669" width="0" style="1" hidden="1" customWidth="1"/>
    <col min="6670" max="6670" width="13.7109375" style="1" customWidth="1"/>
    <col min="6671" max="6671" width="17.28515625" style="1" customWidth="1"/>
    <col min="6672" max="6672" width="16" style="1" customWidth="1"/>
    <col min="6673" max="6673" width="2" style="1" customWidth="1"/>
    <col min="6674" max="6674" width="12" style="1" customWidth="1"/>
    <col min="6675" max="6675" width="10.5703125" style="1" customWidth="1"/>
    <col min="6676" max="6676" width="1.7109375" style="1" customWidth="1"/>
    <col min="6677" max="6677" width="14.42578125" style="1" customWidth="1"/>
    <col min="6678" max="6678" width="11.5703125" style="1" customWidth="1"/>
    <col min="6679" max="6912" width="11.5703125" style="1"/>
    <col min="6913" max="6913" width="37.7109375" style="1" customWidth="1"/>
    <col min="6914" max="6914" width="15.85546875" style="1" customWidth="1"/>
    <col min="6915" max="6916" width="10.85546875" style="1" customWidth="1"/>
    <col min="6917" max="6925" width="0" style="1" hidden="1" customWidth="1"/>
    <col min="6926" max="6926" width="13.7109375" style="1" customWidth="1"/>
    <col min="6927" max="6927" width="17.28515625" style="1" customWidth="1"/>
    <col min="6928" max="6928" width="16" style="1" customWidth="1"/>
    <col min="6929" max="6929" width="2" style="1" customWidth="1"/>
    <col min="6930" max="6930" width="12" style="1" customWidth="1"/>
    <col min="6931" max="6931" width="10.5703125" style="1" customWidth="1"/>
    <col min="6932" max="6932" width="1.7109375" style="1" customWidth="1"/>
    <col min="6933" max="6933" width="14.42578125" style="1" customWidth="1"/>
    <col min="6934" max="6934" width="11.5703125" style="1" customWidth="1"/>
    <col min="6935" max="7168" width="11.5703125" style="1"/>
    <col min="7169" max="7169" width="37.7109375" style="1" customWidth="1"/>
    <col min="7170" max="7170" width="15.85546875" style="1" customWidth="1"/>
    <col min="7171" max="7172" width="10.85546875" style="1" customWidth="1"/>
    <col min="7173" max="7181" width="0" style="1" hidden="1" customWidth="1"/>
    <col min="7182" max="7182" width="13.7109375" style="1" customWidth="1"/>
    <col min="7183" max="7183" width="17.28515625" style="1" customWidth="1"/>
    <col min="7184" max="7184" width="16" style="1" customWidth="1"/>
    <col min="7185" max="7185" width="2" style="1" customWidth="1"/>
    <col min="7186" max="7186" width="12" style="1" customWidth="1"/>
    <col min="7187" max="7187" width="10.5703125" style="1" customWidth="1"/>
    <col min="7188" max="7188" width="1.7109375" style="1" customWidth="1"/>
    <col min="7189" max="7189" width="14.42578125" style="1" customWidth="1"/>
    <col min="7190" max="7190" width="11.5703125" style="1" customWidth="1"/>
    <col min="7191" max="7424" width="11.5703125" style="1"/>
    <col min="7425" max="7425" width="37.7109375" style="1" customWidth="1"/>
    <col min="7426" max="7426" width="15.85546875" style="1" customWidth="1"/>
    <col min="7427" max="7428" width="10.85546875" style="1" customWidth="1"/>
    <col min="7429" max="7437" width="0" style="1" hidden="1" customWidth="1"/>
    <col min="7438" max="7438" width="13.7109375" style="1" customWidth="1"/>
    <col min="7439" max="7439" width="17.28515625" style="1" customWidth="1"/>
    <col min="7440" max="7440" width="16" style="1" customWidth="1"/>
    <col min="7441" max="7441" width="2" style="1" customWidth="1"/>
    <col min="7442" max="7442" width="12" style="1" customWidth="1"/>
    <col min="7443" max="7443" width="10.5703125" style="1" customWidth="1"/>
    <col min="7444" max="7444" width="1.7109375" style="1" customWidth="1"/>
    <col min="7445" max="7445" width="14.42578125" style="1" customWidth="1"/>
    <col min="7446" max="7446" width="11.5703125" style="1" customWidth="1"/>
    <col min="7447" max="7680" width="11.5703125" style="1"/>
    <col min="7681" max="7681" width="37.7109375" style="1" customWidth="1"/>
    <col min="7682" max="7682" width="15.85546875" style="1" customWidth="1"/>
    <col min="7683" max="7684" width="10.85546875" style="1" customWidth="1"/>
    <col min="7685" max="7693" width="0" style="1" hidden="1" customWidth="1"/>
    <col min="7694" max="7694" width="13.7109375" style="1" customWidth="1"/>
    <col min="7695" max="7695" width="17.28515625" style="1" customWidth="1"/>
    <col min="7696" max="7696" width="16" style="1" customWidth="1"/>
    <col min="7697" max="7697" width="2" style="1" customWidth="1"/>
    <col min="7698" max="7698" width="12" style="1" customWidth="1"/>
    <col min="7699" max="7699" width="10.5703125" style="1" customWidth="1"/>
    <col min="7700" max="7700" width="1.7109375" style="1" customWidth="1"/>
    <col min="7701" max="7701" width="14.42578125" style="1" customWidth="1"/>
    <col min="7702" max="7702" width="11.5703125" style="1" customWidth="1"/>
    <col min="7703" max="7936" width="11.5703125" style="1"/>
    <col min="7937" max="7937" width="37.7109375" style="1" customWidth="1"/>
    <col min="7938" max="7938" width="15.85546875" style="1" customWidth="1"/>
    <col min="7939" max="7940" width="10.85546875" style="1" customWidth="1"/>
    <col min="7941" max="7949" width="0" style="1" hidden="1" customWidth="1"/>
    <col min="7950" max="7950" width="13.7109375" style="1" customWidth="1"/>
    <col min="7951" max="7951" width="17.28515625" style="1" customWidth="1"/>
    <col min="7952" max="7952" width="16" style="1" customWidth="1"/>
    <col min="7953" max="7953" width="2" style="1" customWidth="1"/>
    <col min="7954" max="7954" width="12" style="1" customWidth="1"/>
    <col min="7955" max="7955" width="10.5703125" style="1" customWidth="1"/>
    <col min="7956" max="7956" width="1.7109375" style="1" customWidth="1"/>
    <col min="7957" max="7957" width="14.42578125" style="1" customWidth="1"/>
    <col min="7958" max="7958" width="11.5703125" style="1" customWidth="1"/>
    <col min="7959" max="8192" width="11.5703125" style="1"/>
    <col min="8193" max="8193" width="37.7109375" style="1" customWidth="1"/>
    <col min="8194" max="8194" width="15.85546875" style="1" customWidth="1"/>
    <col min="8195" max="8196" width="10.85546875" style="1" customWidth="1"/>
    <col min="8197" max="8205" width="0" style="1" hidden="1" customWidth="1"/>
    <col min="8206" max="8206" width="13.7109375" style="1" customWidth="1"/>
    <col min="8207" max="8207" width="17.28515625" style="1" customWidth="1"/>
    <col min="8208" max="8208" width="16" style="1" customWidth="1"/>
    <col min="8209" max="8209" width="2" style="1" customWidth="1"/>
    <col min="8210" max="8210" width="12" style="1" customWidth="1"/>
    <col min="8211" max="8211" width="10.5703125" style="1" customWidth="1"/>
    <col min="8212" max="8212" width="1.7109375" style="1" customWidth="1"/>
    <col min="8213" max="8213" width="14.42578125" style="1" customWidth="1"/>
    <col min="8214" max="8214" width="11.5703125" style="1" customWidth="1"/>
    <col min="8215" max="8448" width="11.5703125" style="1"/>
    <col min="8449" max="8449" width="37.7109375" style="1" customWidth="1"/>
    <col min="8450" max="8450" width="15.85546875" style="1" customWidth="1"/>
    <col min="8451" max="8452" width="10.85546875" style="1" customWidth="1"/>
    <col min="8453" max="8461" width="0" style="1" hidden="1" customWidth="1"/>
    <col min="8462" max="8462" width="13.7109375" style="1" customWidth="1"/>
    <col min="8463" max="8463" width="17.28515625" style="1" customWidth="1"/>
    <col min="8464" max="8464" width="16" style="1" customWidth="1"/>
    <col min="8465" max="8465" width="2" style="1" customWidth="1"/>
    <col min="8466" max="8466" width="12" style="1" customWidth="1"/>
    <col min="8467" max="8467" width="10.5703125" style="1" customWidth="1"/>
    <col min="8468" max="8468" width="1.7109375" style="1" customWidth="1"/>
    <col min="8469" max="8469" width="14.42578125" style="1" customWidth="1"/>
    <col min="8470" max="8470" width="11.5703125" style="1" customWidth="1"/>
    <col min="8471" max="8704" width="11.5703125" style="1"/>
    <col min="8705" max="8705" width="37.7109375" style="1" customWidth="1"/>
    <col min="8706" max="8706" width="15.85546875" style="1" customWidth="1"/>
    <col min="8707" max="8708" width="10.85546875" style="1" customWidth="1"/>
    <col min="8709" max="8717" width="0" style="1" hidden="1" customWidth="1"/>
    <col min="8718" max="8718" width="13.7109375" style="1" customWidth="1"/>
    <col min="8719" max="8719" width="17.28515625" style="1" customWidth="1"/>
    <col min="8720" max="8720" width="16" style="1" customWidth="1"/>
    <col min="8721" max="8721" width="2" style="1" customWidth="1"/>
    <col min="8722" max="8722" width="12" style="1" customWidth="1"/>
    <col min="8723" max="8723" width="10.5703125" style="1" customWidth="1"/>
    <col min="8724" max="8724" width="1.7109375" style="1" customWidth="1"/>
    <col min="8725" max="8725" width="14.42578125" style="1" customWidth="1"/>
    <col min="8726" max="8726" width="11.5703125" style="1" customWidth="1"/>
    <col min="8727" max="8960" width="11.5703125" style="1"/>
    <col min="8961" max="8961" width="37.7109375" style="1" customWidth="1"/>
    <col min="8962" max="8962" width="15.85546875" style="1" customWidth="1"/>
    <col min="8963" max="8964" width="10.85546875" style="1" customWidth="1"/>
    <col min="8965" max="8973" width="0" style="1" hidden="1" customWidth="1"/>
    <col min="8974" max="8974" width="13.7109375" style="1" customWidth="1"/>
    <col min="8975" max="8975" width="17.28515625" style="1" customWidth="1"/>
    <col min="8976" max="8976" width="16" style="1" customWidth="1"/>
    <col min="8977" max="8977" width="2" style="1" customWidth="1"/>
    <col min="8978" max="8978" width="12" style="1" customWidth="1"/>
    <col min="8979" max="8979" width="10.5703125" style="1" customWidth="1"/>
    <col min="8980" max="8980" width="1.7109375" style="1" customWidth="1"/>
    <col min="8981" max="8981" width="14.42578125" style="1" customWidth="1"/>
    <col min="8982" max="8982" width="11.5703125" style="1" customWidth="1"/>
    <col min="8983" max="9216" width="11.5703125" style="1"/>
    <col min="9217" max="9217" width="37.7109375" style="1" customWidth="1"/>
    <col min="9218" max="9218" width="15.85546875" style="1" customWidth="1"/>
    <col min="9219" max="9220" width="10.85546875" style="1" customWidth="1"/>
    <col min="9221" max="9229" width="0" style="1" hidden="1" customWidth="1"/>
    <col min="9230" max="9230" width="13.7109375" style="1" customWidth="1"/>
    <col min="9231" max="9231" width="17.28515625" style="1" customWidth="1"/>
    <col min="9232" max="9232" width="16" style="1" customWidth="1"/>
    <col min="9233" max="9233" width="2" style="1" customWidth="1"/>
    <col min="9234" max="9234" width="12" style="1" customWidth="1"/>
    <col min="9235" max="9235" width="10.5703125" style="1" customWidth="1"/>
    <col min="9236" max="9236" width="1.7109375" style="1" customWidth="1"/>
    <col min="9237" max="9237" width="14.42578125" style="1" customWidth="1"/>
    <col min="9238" max="9238" width="11.5703125" style="1" customWidth="1"/>
    <col min="9239" max="9472" width="11.5703125" style="1"/>
    <col min="9473" max="9473" width="37.7109375" style="1" customWidth="1"/>
    <col min="9474" max="9474" width="15.85546875" style="1" customWidth="1"/>
    <col min="9475" max="9476" width="10.85546875" style="1" customWidth="1"/>
    <col min="9477" max="9485" width="0" style="1" hidden="1" customWidth="1"/>
    <col min="9486" max="9486" width="13.7109375" style="1" customWidth="1"/>
    <col min="9487" max="9487" width="17.28515625" style="1" customWidth="1"/>
    <col min="9488" max="9488" width="16" style="1" customWidth="1"/>
    <col min="9489" max="9489" width="2" style="1" customWidth="1"/>
    <col min="9490" max="9490" width="12" style="1" customWidth="1"/>
    <col min="9491" max="9491" width="10.5703125" style="1" customWidth="1"/>
    <col min="9492" max="9492" width="1.7109375" style="1" customWidth="1"/>
    <col min="9493" max="9493" width="14.42578125" style="1" customWidth="1"/>
    <col min="9494" max="9494" width="11.5703125" style="1" customWidth="1"/>
    <col min="9495" max="9728" width="11.5703125" style="1"/>
    <col min="9729" max="9729" width="37.7109375" style="1" customWidth="1"/>
    <col min="9730" max="9730" width="15.85546875" style="1" customWidth="1"/>
    <col min="9731" max="9732" width="10.85546875" style="1" customWidth="1"/>
    <col min="9733" max="9741" width="0" style="1" hidden="1" customWidth="1"/>
    <col min="9742" max="9742" width="13.7109375" style="1" customWidth="1"/>
    <col min="9743" max="9743" width="17.28515625" style="1" customWidth="1"/>
    <col min="9744" max="9744" width="16" style="1" customWidth="1"/>
    <col min="9745" max="9745" width="2" style="1" customWidth="1"/>
    <col min="9746" max="9746" width="12" style="1" customWidth="1"/>
    <col min="9747" max="9747" width="10.5703125" style="1" customWidth="1"/>
    <col min="9748" max="9748" width="1.7109375" style="1" customWidth="1"/>
    <col min="9749" max="9749" width="14.42578125" style="1" customWidth="1"/>
    <col min="9750" max="9750" width="11.5703125" style="1" customWidth="1"/>
    <col min="9751" max="9984" width="11.5703125" style="1"/>
    <col min="9985" max="9985" width="37.7109375" style="1" customWidth="1"/>
    <col min="9986" max="9986" width="15.85546875" style="1" customWidth="1"/>
    <col min="9987" max="9988" width="10.85546875" style="1" customWidth="1"/>
    <col min="9989" max="9997" width="0" style="1" hidden="1" customWidth="1"/>
    <col min="9998" max="9998" width="13.7109375" style="1" customWidth="1"/>
    <col min="9999" max="9999" width="17.28515625" style="1" customWidth="1"/>
    <col min="10000" max="10000" width="16" style="1" customWidth="1"/>
    <col min="10001" max="10001" width="2" style="1" customWidth="1"/>
    <col min="10002" max="10002" width="12" style="1" customWidth="1"/>
    <col min="10003" max="10003" width="10.5703125" style="1" customWidth="1"/>
    <col min="10004" max="10004" width="1.7109375" style="1" customWidth="1"/>
    <col min="10005" max="10005" width="14.42578125" style="1" customWidth="1"/>
    <col min="10006" max="10006" width="11.5703125" style="1" customWidth="1"/>
    <col min="10007" max="10240" width="11.5703125" style="1"/>
    <col min="10241" max="10241" width="37.7109375" style="1" customWidth="1"/>
    <col min="10242" max="10242" width="15.85546875" style="1" customWidth="1"/>
    <col min="10243" max="10244" width="10.85546875" style="1" customWidth="1"/>
    <col min="10245" max="10253" width="0" style="1" hidden="1" customWidth="1"/>
    <col min="10254" max="10254" width="13.7109375" style="1" customWidth="1"/>
    <col min="10255" max="10255" width="17.28515625" style="1" customWidth="1"/>
    <col min="10256" max="10256" width="16" style="1" customWidth="1"/>
    <col min="10257" max="10257" width="2" style="1" customWidth="1"/>
    <col min="10258" max="10258" width="12" style="1" customWidth="1"/>
    <col min="10259" max="10259" width="10.5703125" style="1" customWidth="1"/>
    <col min="10260" max="10260" width="1.7109375" style="1" customWidth="1"/>
    <col min="10261" max="10261" width="14.42578125" style="1" customWidth="1"/>
    <col min="10262" max="10262" width="11.5703125" style="1" customWidth="1"/>
    <col min="10263" max="10496" width="11.5703125" style="1"/>
    <col min="10497" max="10497" width="37.7109375" style="1" customWidth="1"/>
    <col min="10498" max="10498" width="15.85546875" style="1" customWidth="1"/>
    <col min="10499" max="10500" width="10.85546875" style="1" customWidth="1"/>
    <col min="10501" max="10509" width="0" style="1" hidden="1" customWidth="1"/>
    <col min="10510" max="10510" width="13.7109375" style="1" customWidth="1"/>
    <col min="10511" max="10511" width="17.28515625" style="1" customWidth="1"/>
    <col min="10512" max="10512" width="16" style="1" customWidth="1"/>
    <col min="10513" max="10513" width="2" style="1" customWidth="1"/>
    <col min="10514" max="10514" width="12" style="1" customWidth="1"/>
    <col min="10515" max="10515" width="10.5703125" style="1" customWidth="1"/>
    <col min="10516" max="10516" width="1.7109375" style="1" customWidth="1"/>
    <col min="10517" max="10517" width="14.42578125" style="1" customWidth="1"/>
    <col min="10518" max="10518" width="11.5703125" style="1" customWidth="1"/>
    <col min="10519" max="10752" width="11.5703125" style="1"/>
    <col min="10753" max="10753" width="37.7109375" style="1" customWidth="1"/>
    <col min="10754" max="10754" width="15.85546875" style="1" customWidth="1"/>
    <col min="10755" max="10756" width="10.85546875" style="1" customWidth="1"/>
    <col min="10757" max="10765" width="0" style="1" hidden="1" customWidth="1"/>
    <col min="10766" max="10766" width="13.7109375" style="1" customWidth="1"/>
    <col min="10767" max="10767" width="17.28515625" style="1" customWidth="1"/>
    <col min="10768" max="10768" width="16" style="1" customWidth="1"/>
    <col min="10769" max="10769" width="2" style="1" customWidth="1"/>
    <col min="10770" max="10770" width="12" style="1" customWidth="1"/>
    <col min="10771" max="10771" width="10.5703125" style="1" customWidth="1"/>
    <col min="10772" max="10772" width="1.7109375" style="1" customWidth="1"/>
    <col min="10773" max="10773" width="14.42578125" style="1" customWidth="1"/>
    <col min="10774" max="10774" width="11.5703125" style="1" customWidth="1"/>
    <col min="10775" max="11008" width="11.5703125" style="1"/>
    <col min="11009" max="11009" width="37.7109375" style="1" customWidth="1"/>
    <col min="11010" max="11010" width="15.85546875" style="1" customWidth="1"/>
    <col min="11011" max="11012" width="10.85546875" style="1" customWidth="1"/>
    <col min="11013" max="11021" width="0" style="1" hidden="1" customWidth="1"/>
    <col min="11022" max="11022" width="13.7109375" style="1" customWidth="1"/>
    <col min="11023" max="11023" width="17.28515625" style="1" customWidth="1"/>
    <col min="11024" max="11024" width="16" style="1" customWidth="1"/>
    <col min="11025" max="11025" width="2" style="1" customWidth="1"/>
    <col min="11026" max="11026" width="12" style="1" customWidth="1"/>
    <col min="11027" max="11027" width="10.5703125" style="1" customWidth="1"/>
    <col min="11028" max="11028" width="1.7109375" style="1" customWidth="1"/>
    <col min="11029" max="11029" width="14.42578125" style="1" customWidth="1"/>
    <col min="11030" max="11030" width="11.5703125" style="1" customWidth="1"/>
    <col min="11031" max="11264" width="11.5703125" style="1"/>
    <col min="11265" max="11265" width="37.7109375" style="1" customWidth="1"/>
    <col min="11266" max="11266" width="15.85546875" style="1" customWidth="1"/>
    <col min="11267" max="11268" width="10.85546875" style="1" customWidth="1"/>
    <col min="11269" max="11277" width="0" style="1" hidden="1" customWidth="1"/>
    <col min="11278" max="11278" width="13.7109375" style="1" customWidth="1"/>
    <col min="11279" max="11279" width="17.28515625" style="1" customWidth="1"/>
    <col min="11280" max="11280" width="16" style="1" customWidth="1"/>
    <col min="11281" max="11281" width="2" style="1" customWidth="1"/>
    <col min="11282" max="11282" width="12" style="1" customWidth="1"/>
    <col min="11283" max="11283" width="10.5703125" style="1" customWidth="1"/>
    <col min="11284" max="11284" width="1.7109375" style="1" customWidth="1"/>
    <col min="11285" max="11285" width="14.42578125" style="1" customWidth="1"/>
    <col min="11286" max="11286" width="11.5703125" style="1" customWidth="1"/>
    <col min="11287" max="11520" width="11.5703125" style="1"/>
    <col min="11521" max="11521" width="37.7109375" style="1" customWidth="1"/>
    <col min="11522" max="11522" width="15.85546875" style="1" customWidth="1"/>
    <col min="11523" max="11524" width="10.85546875" style="1" customWidth="1"/>
    <col min="11525" max="11533" width="0" style="1" hidden="1" customWidth="1"/>
    <col min="11534" max="11534" width="13.7109375" style="1" customWidth="1"/>
    <col min="11535" max="11535" width="17.28515625" style="1" customWidth="1"/>
    <col min="11536" max="11536" width="16" style="1" customWidth="1"/>
    <col min="11537" max="11537" width="2" style="1" customWidth="1"/>
    <col min="11538" max="11538" width="12" style="1" customWidth="1"/>
    <col min="11539" max="11539" width="10.5703125" style="1" customWidth="1"/>
    <col min="11540" max="11540" width="1.7109375" style="1" customWidth="1"/>
    <col min="11541" max="11541" width="14.42578125" style="1" customWidth="1"/>
    <col min="11542" max="11542" width="11.5703125" style="1" customWidth="1"/>
    <col min="11543" max="11776" width="11.5703125" style="1"/>
    <col min="11777" max="11777" width="37.7109375" style="1" customWidth="1"/>
    <col min="11778" max="11778" width="15.85546875" style="1" customWidth="1"/>
    <col min="11779" max="11780" width="10.85546875" style="1" customWidth="1"/>
    <col min="11781" max="11789" width="0" style="1" hidden="1" customWidth="1"/>
    <col min="11790" max="11790" width="13.7109375" style="1" customWidth="1"/>
    <col min="11791" max="11791" width="17.28515625" style="1" customWidth="1"/>
    <col min="11792" max="11792" width="16" style="1" customWidth="1"/>
    <col min="11793" max="11793" width="2" style="1" customWidth="1"/>
    <col min="11794" max="11794" width="12" style="1" customWidth="1"/>
    <col min="11795" max="11795" width="10.5703125" style="1" customWidth="1"/>
    <col min="11796" max="11796" width="1.7109375" style="1" customWidth="1"/>
    <col min="11797" max="11797" width="14.42578125" style="1" customWidth="1"/>
    <col min="11798" max="11798" width="11.5703125" style="1" customWidth="1"/>
    <col min="11799" max="12032" width="11.5703125" style="1"/>
    <col min="12033" max="12033" width="37.7109375" style="1" customWidth="1"/>
    <col min="12034" max="12034" width="15.85546875" style="1" customWidth="1"/>
    <col min="12035" max="12036" width="10.85546875" style="1" customWidth="1"/>
    <col min="12037" max="12045" width="0" style="1" hidden="1" customWidth="1"/>
    <col min="12046" max="12046" width="13.7109375" style="1" customWidth="1"/>
    <col min="12047" max="12047" width="17.28515625" style="1" customWidth="1"/>
    <col min="12048" max="12048" width="16" style="1" customWidth="1"/>
    <col min="12049" max="12049" width="2" style="1" customWidth="1"/>
    <col min="12050" max="12050" width="12" style="1" customWidth="1"/>
    <col min="12051" max="12051" width="10.5703125" style="1" customWidth="1"/>
    <col min="12052" max="12052" width="1.7109375" style="1" customWidth="1"/>
    <col min="12053" max="12053" width="14.42578125" style="1" customWidth="1"/>
    <col min="12054" max="12054" width="11.5703125" style="1" customWidth="1"/>
    <col min="12055" max="12288" width="11.5703125" style="1"/>
    <col min="12289" max="12289" width="37.7109375" style="1" customWidth="1"/>
    <col min="12290" max="12290" width="15.85546875" style="1" customWidth="1"/>
    <col min="12291" max="12292" width="10.85546875" style="1" customWidth="1"/>
    <col min="12293" max="12301" width="0" style="1" hidden="1" customWidth="1"/>
    <col min="12302" max="12302" width="13.7109375" style="1" customWidth="1"/>
    <col min="12303" max="12303" width="17.28515625" style="1" customWidth="1"/>
    <col min="12304" max="12304" width="16" style="1" customWidth="1"/>
    <col min="12305" max="12305" width="2" style="1" customWidth="1"/>
    <col min="12306" max="12306" width="12" style="1" customWidth="1"/>
    <col min="12307" max="12307" width="10.5703125" style="1" customWidth="1"/>
    <col min="12308" max="12308" width="1.7109375" style="1" customWidth="1"/>
    <col min="12309" max="12309" width="14.42578125" style="1" customWidth="1"/>
    <col min="12310" max="12310" width="11.5703125" style="1" customWidth="1"/>
    <col min="12311" max="12544" width="11.5703125" style="1"/>
    <col min="12545" max="12545" width="37.7109375" style="1" customWidth="1"/>
    <col min="12546" max="12546" width="15.85546875" style="1" customWidth="1"/>
    <col min="12547" max="12548" width="10.85546875" style="1" customWidth="1"/>
    <col min="12549" max="12557" width="0" style="1" hidden="1" customWidth="1"/>
    <col min="12558" max="12558" width="13.7109375" style="1" customWidth="1"/>
    <col min="12559" max="12559" width="17.28515625" style="1" customWidth="1"/>
    <col min="12560" max="12560" width="16" style="1" customWidth="1"/>
    <col min="12561" max="12561" width="2" style="1" customWidth="1"/>
    <col min="12562" max="12562" width="12" style="1" customWidth="1"/>
    <col min="12563" max="12563" width="10.5703125" style="1" customWidth="1"/>
    <col min="12564" max="12564" width="1.7109375" style="1" customWidth="1"/>
    <col min="12565" max="12565" width="14.42578125" style="1" customWidth="1"/>
    <col min="12566" max="12566" width="11.5703125" style="1" customWidth="1"/>
    <col min="12567" max="12800" width="11.5703125" style="1"/>
    <col min="12801" max="12801" width="37.7109375" style="1" customWidth="1"/>
    <col min="12802" max="12802" width="15.85546875" style="1" customWidth="1"/>
    <col min="12803" max="12804" width="10.85546875" style="1" customWidth="1"/>
    <col min="12805" max="12813" width="0" style="1" hidden="1" customWidth="1"/>
    <col min="12814" max="12814" width="13.7109375" style="1" customWidth="1"/>
    <col min="12815" max="12815" width="17.28515625" style="1" customWidth="1"/>
    <col min="12816" max="12816" width="16" style="1" customWidth="1"/>
    <col min="12817" max="12817" width="2" style="1" customWidth="1"/>
    <col min="12818" max="12818" width="12" style="1" customWidth="1"/>
    <col min="12819" max="12819" width="10.5703125" style="1" customWidth="1"/>
    <col min="12820" max="12820" width="1.7109375" style="1" customWidth="1"/>
    <col min="12821" max="12821" width="14.42578125" style="1" customWidth="1"/>
    <col min="12822" max="12822" width="11.5703125" style="1" customWidth="1"/>
    <col min="12823" max="13056" width="11.5703125" style="1"/>
    <col min="13057" max="13057" width="37.7109375" style="1" customWidth="1"/>
    <col min="13058" max="13058" width="15.85546875" style="1" customWidth="1"/>
    <col min="13059" max="13060" width="10.85546875" style="1" customWidth="1"/>
    <col min="13061" max="13069" width="0" style="1" hidden="1" customWidth="1"/>
    <col min="13070" max="13070" width="13.7109375" style="1" customWidth="1"/>
    <col min="13071" max="13071" width="17.28515625" style="1" customWidth="1"/>
    <col min="13072" max="13072" width="16" style="1" customWidth="1"/>
    <col min="13073" max="13073" width="2" style="1" customWidth="1"/>
    <col min="13074" max="13074" width="12" style="1" customWidth="1"/>
    <col min="13075" max="13075" width="10.5703125" style="1" customWidth="1"/>
    <col min="13076" max="13076" width="1.7109375" style="1" customWidth="1"/>
    <col min="13077" max="13077" width="14.42578125" style="1" customWidth="1"/>
    <col min="13078" max="13078" width="11.5703125" style="1" customWidth="1"/>
    <col min="13079" max="13312" width="11.5703125" style="1"/>
    <col min="13313" max="13313" width="37.7109375" style="1" customWidth="1"/>
    <col min="13314" max="13314" width="15.85546875" style="1" customWidth="1"/>
    <col min="13315" max="13316" width="10.85546875" style="1" customWidth="1"/>
    <col min="13317" max="13325" width="0" style="1" hidden="1" customWidth="1"/>
    <col min="13326" max="13326" width="13.7109375" style="1" customWidth="1"/>
    <col min="13327" max="13327" width="17.28515625" style="1" customWidth="1"/>
    <col min="13328" max="13328" width="16" style="1" customWidth="1"/>
    <col min="13329" max="13329" width="2" style="1" customWidth="1"/>
    <col min="13330" max="13330" width="12" style="1" customWidth="1"/>
    <col min="13331" max="13331" width="10.5703125" style="1" customWidth="1"/>
    <col min="13332" max="13332" width="1.7109375" style="1" customWidth="1"/>
    <col min="13333" max="13333" width="14.42578125" style="1" customWidth="1"/>
    <col min="13334" max="13334" width="11.5703125" style="1" customWidth="1"/>
    <col min="13335" max="13568" width="11.5703125" style="1"/>
    <col min="13569" max="13569" width="37.7109375" style="1" customWidth="1"/>
    <col min="13570" max="13570" width="15.85546875" style="1" customWidth="1"/>
    <col min="13571" max="13572" width="10.85546875" style="1" customWidth="1"/>
    <col min="13573" max="13581" width="0" style="1" hidden="1" customWidth="1"/>
    <col min="13582" max="13582" width="13.7109375" style="1" customWidth="1"/>
    <col min="13583" max="13583" width="17.28515625" style="1" customWidth="1"/>
    <col min="13584" max="13584" width="16" style="1" customWidth="1"/>
    <col min="13585" max="13585" width="2" style="1" customWidth="1"/>
    <col min="13586" max="13586" width="12" style="1" customWidth="1"/>
    <col min="13587" max="13587" width="10.5703125" style="1" customWidth="1"/>
    <col min="13588" max="13588" width="1.7109375" style="1" customWidth="1"/>
    <col min="13589" max="13589" width="14.42578125" style="1" customWidth="1"/>
    <col min="13590" max="13590" width="11.5703125" style="1" customWidth="1"/>
    <col min="13591" max="13824" width="11.5703125" style="1"/>
    <col min="13825" max="13825" width="37.7109375" style="1" customWidth="1"/>
    <col min="13826" max="13826" width="15.85546875" style="1" customWidth="1"/>
    <col min="13827" max="13828" width="10.85546875" style="1" customWidth="1"/>
    <col min="13829" max="13837" width="0" style="1" hidden="1" customWidth="1"/>
    <col min="13838" max="13838" width="13.7109375" style="1" customWidth="1"/>
    <col min="13839" max="13839" width="17.28515625" style="1" customWidth="1"/>
    <col min="13840" max="13840" width="16" style="1" customWidth="1"/>
    <col min="13841" max="13841" width="2" style="1" customWidth="1"/>
    <col min="13842" max="13842" width="12" style="1" customWidth="1"/>
    <col min="13843" max="13843" width="10.5703125" style="1" customWidth="1"/>
    <col min="13844" max="13844" width="1.7109375" style="1" customWidth="1"/>
    <col min="13845" max="13845" width="14.42578125" style="1" customWidth="1"/>
    <col min="13846" max="13846" width="11.5703125" style="1" customWidth="1"/>
    <col min="13847" max="14080" width="11.5703125" style="1"/>
    <col min="14081" max="14081" width="37.7109375" style="1" customWidth="1"/>
    <col min="14082" max="14082" width="15.85546875" style="1" customWidth="1"/>
    <col min="14083" max="14084" width="10.85546875" style="1" customWidth="1"/>
    <col min="14085" max="14093" width="0" style="1" hidden="1" customWidth="1"/>
    <col min="14094" max="14094" width="13.7109375" style="1" customWidth="1"/>
    <col min="14095" max="14095" width="17.28515625" style="1" customWidth="1"/>
    <col min="14096" max="14096" width="16" style="1" customWidth="1"/>
    <col min="14097" max="14097" width="2" style="1" customWidth="1"/>
    <col min="14098" max="14098" width="12" style="1" customWidth="1"/>
    <col min="14099" max="14099" width="10.5703125" style="1" customWidth="1"/>
    <col min="14100" max="14100" width="1.7109375" style="1" customWidth="1"/>
    <col min="14101" max="14101" width="14.42578125" style="1" customWidth="1"/>
    <col min="14102" max="14102" width="11.5703125" style="1" customWidth="1"/>
    <col min="14103" max="14336" width="11.5703125" style="1"/>
    <col min="14337" max="14337" width="37.7109375" style="1" customWidth="1"/>
    <col min="14338" max="14338" width="15.85546875" style="1" customWidth="1"/>
    <col min="14339" max="14340" width="10.85546875" style="1" customWidth="1"/>
    <col min="14341" max="14349" width="0" style="1" hidden="1" customWidth="1"/>
    <col min="14350" max="14350" width="13.7109375" style="1" customWidth="1"/>
    <col min="14351" max="14351" width="17.28515625" style="1" customWidth="1"/>
    <col min="14352" max="14352" width="16" style="1" customWidth="1"/>
    <col min="14353" max="14353" width="2" style="1" customWidth="1"/>
    <col min="14354" max="14354" width="12" style="1" customWidth="1"/>
    <col min="14355" max="14355" width="10.5703125" style="1" customWidth="1"/>
    <col min="14356" max="14356" width="1.7109375" style="1" customWidth="1"/>
    <col min="14357" max="14357" width="14.42578125" style="1" customWidth="1"/>
    <col min="14358" max="14358" width="11.5703125" style="1" customWidth="1"/>
    <col min="14359" max="14592" width="11.5703125" style="1"/>
    <col min="14593" max="14593" width="37.7109375" style="1" customWidth="1"/>
    <col min="14594" max="14594" width="15.85546875" style="1" customWidth="1"/>
    <col min="14595" max="14596" width="10.85546875" style="1" customWidth="1"/>
    <col min="14597" max="14605" width="0" style="1" hidden="1" customWidth="1"/>
    <col min="14606" max="14606" width="13.7109375" style="1" customWidth="1"/>
    <col min="14607" max="14607" width="17.28515625" style="1" customWidth="1"/>
    <col min="14608" max="14608" width="16" style="1" customWidth="1"/>
    <col min="14609" max="14609" width="2" style="1" customWidth="1"/>
    <col min="14610" max="14610" width="12" style="1" customWidth="1"/>
    <col min="14611" max="14611" width="10.5703125" style="1" customWidth="1"/>
    <col min="14612" max="14612" width="1.7109375" style="1" customWidth="1"/>
    <col min="14613" max="14613" width="14.42578125" style="1" customWidth="1"/>
    <col min="14614" max="14614" width="11.5703125" style="1" customWidth="1"/>
    <col min="14615" max="14848" width="11.5703125" style="1"/>
    <col min="14849" max="14849" width="37.7109375" style="1" customWidth="1"/>
    <col min="14850" max="14850" width="15.85546875" style="1" customWidth="1"/>
    <col min="14851" max="14852" width="10.85546875" style="1" customWidth="1"/>
    <col min="14853" max="14861" width="0" style="1" hidden="1" customWidth="1"/>
    <col min="14862" max="14862" width="13.7109375" style="1" customWidth="1"/>
    <col min="14863" max="14863" width="17.28515625" style="1" customWidth="1"/>
    <col min="14864" max="14864" width="16" style="1" customWidth="1"/>
    <col min="14865" max="14865" width="2" style="1" customWidth="1"/>
    <col min="14866" max="14866" width="12" style="1" customWidth="1"/>
    <col min="14867" max="14867" width="10.5703125" style="1" customWidth="1"/>
    <col min="14868" max="14868" width="1.7109375" style="1" customWidth="1"/>
    <col min="14869" max="14869" width="14.42578125" style="1" customWidth="1"/>
    <col min="14870" max="14870" width="11.5703125" style="1" customWidth="1"/>
    <col min="14871" max="15104" width="11.5703125" style="1"/>
    <col min="15105" max="15105" width="37.7109375" style="1" customWidth="1"/>
    <col min="15106" max="15106" width="15.85546875" style="1" customWidth="1"/>
    <col min="15107" max="15108" width="10.85546875" style="1" customWidth="1"/>
    <col min="15109" max="15117" width="0" style="1" hidden="1" customWidth="1"/>
    <col min="15118" max="15118" width="13.7109375" style="1" customWidth="1"/>
    <col min="15119" max="15119" width="17.28515625" style="1" customWidth="1"/>
    <col min="15120" max="15120" width="16" style="1" customWidth="1"/>
    <col min="15121" max="15121" width="2" style="1" customWidth="1"/>
    <col min="15122" max="15122" width="12" style="1" customWidth="1"/>
    <col min="15123" max="15123" width="10.5703125" style="1" customWidth="1"/>
    <col min="15124" max="15124" width="1.7109375" style="1" customWidth="1"/>
    <col min="15125" max="15125" width="14.42578125" style="1" customWidth="1"/>
    <col min="15126" max="15126" width="11.5703125" style="1" customWidth="1"/>
    <col min="15127" max="15360" width="11.5703125" style="1"/>
    <col min="15361" max="15361" width="37.7109375" style="1" customWidth="1"/>
    <col min="15362" max="15362" width="15.85546875" style="1" customWidth="1"/>
    <col min="15363" max="15364" width="10.85546875" style="1" customWidth="1"/>
    <col min="15365" max="15373" width="0" style="1" hidden="1" customWidth="1"/>
    <col min="15374" max="15374" width="13.7109375" style="1" customWidth="1"/>
    <col min="15375" max="15375" width="17.28515625" style="1" customWidth="1"/>
    <col min="15376" max="15376" width="16" style="1" customWidth="1"/>
    <col min="15377" max="15377" width="2" style="1" customWidth="1"/>
    <col min="15378" max="15378" width="12" style="1" customWidth="1"/>
    <col min="15379" max="15379" width="10.5703125" style="1" customWidth="1"/>
    <col min="15380" max="15380" width="1.7109375" style="1" customWidth="1"/>
    <col min="15381" max="15381" width="14.42578125" style="1" customWidth="1"/>
    <col min="15382" max="15382" width="11.5703125" style="1" customWidth="1"/>
    <col min="15383" max="15616" width="11.5703125" style="1"/>
    <col min="15617" max="15617" width="37.7109375" style="1" customWidth="1"/>
    <col min="15618" max="15618" width="15.85546875" style="1" customWidth="1"/>
    <col min="15619" max="15620" width="10.85546875" style="1" customWidth="1"/>
    <col min="15621" max="15629" width="0" style="1" hidden="1" customWidth="1"/>
    <col min="15630" max="15630" width="13.7109375" style="1" customWidth="1"/>
    <col min="15631" max="15631" width="17.28515625" style="1" customWidth="1"/>
    <col min="15632" max="15632" width="16" style="1" customWidth="1"/>
    <col min="15633" max="15633" width="2" style="1" customWidth="1"/>
    <col min="15634" max="15634" width="12" style="1" customWidth="1"/>
    <col min="15635" max="15635" width="10.5703125" style="1" customWidth="1"/>
    <col min="15636" max="15636" width="1.7109375" style="1" customWidth="1"/>
    <col min="15637" max="15637" width="14.42578125" style="1" customWidth="1"/>
    <col min="15638" max="15638" width="11.5703125" style="1" customWidth="1"/>
    <col min="15639" max="15872" width="11.5703125" style="1"/>
    <col min="15873" max="15873" width="37.7109375" style="1" customWidth="1"/>
    <col min="15874" max="15874" width="15.85546875" style="1" customWidth="1"/>
    <col min="15875" max="15876" width="10.85546875" style="1" customWidth="1"/>
    <col min="15877" max="15885" width="0" style="1" hidden="1" customWidth="1"/>
    <col min="15886" max="15886" width="13.7109375" style="1" customWidth="1"/>
    <col min="15887" max="15887" width="17.28515625" style="1" customWidth="1"/>
    <col min="15888" max="15888" width="16" style="1" customWidth="1"/>
    <col min="15889" max="15889" width="2" style="1" customWidth="1"/>
    <col min="15890" max="15890" width="12" style="1" customWidth="1"/>
    <col min="15891" max="15891" width="10.5703125" style="1" customWidth="1"/>
    <col min="15892" max="15892" width="1.7109375" style="1" customWidth="1"/>
    <col min="15893" max="15893" width="14.42578125" style="1" customWidth="1"/>
    <col min="15894" max="15894" width="11.5703125" style="1" customWidth="1"/>
    <col min="15895" max="16128" width="11.5703125" style="1"/>
    <col min="16129" max="16129" width="37.7109375" style="1" customWidth="1"/>
    <col min="16130" max="16130" width="15.85546875" style="1" customWidth="1"/>
    <col min="16131" max="16132" width="10.85546875" style="1" customWidth="1"/>
    <col min="16133" max="16141" width="0" style="1" hidden="1" customWidth="1"/>
    <col min="16142" max="16142" width="13.7109375" style="1" customWidth="1"/>
    <col min="16143" max="16143" width="17.28515625" style="1" customWidth="1"/>
    <col min="16144" max="16144" width="16" style="1" customWidth="1"/>
    <col min="16145" max="16145" width="2" style="1" customWidth="1"/>
    <col min="16146" max="16146" width="12" style="1" customWidth="1"/>
    <col min="16147" max="16147" width="10.5703125" style="1" customWidth="1"/>
    <col min="16148" max="16148" width="1.7109375" style="1" customWidth="1"/>
    <col min="16149" max="16149" width="14.42578125" style="1" customWidth="1"/>
    <col min="16150" max="16150" width="11.5703125" style="1" customWidth="1"/>
    <col min="16151" max="16384" width="11.5703125" style="1"/>
  </cols>
  <sheetData>
    <row r="1" spans="1:22" ht="8.25" customHeight="1" x14ac:dyDescent="0.25"/>
    <row r="2" spans="1:22" s="80" customFormat="1" ht="18.75" x14ac:dyDescent="0.3">
      <c r="A2" s="76" t="s">
        <v>13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3"/>
      <c r="O2" s="76"/>
      <c r="P2" s="76"/>
      <c r="Q2" s="78"/>
      <c r="R2" s="77"/>
      <c r="S2" s="43"/>
      <c r="T2" s="79"/>
      <c r="U2" s="207" t="str">
        <f>'RESUMEN '!W2</f>
        <v>Enero</v>
      </c>
      <c r="V2" s="208"/>
    </row>
    <row r="3" spans="1:22" s="80" customFormat="1" ht="18.75" x14ac:dyDescent="0.3">
      <c r="A3" s="81" t="s">
        <v>12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4"/>
      <c r="O3" s="81"/>
      <c r="P3" s="81"/>
      <c r="Q3" s="78"/>
      <c r="R3" s="83"/>
      <c r="S3" s="84"/>
      <c r="T3" s="79"/>
      <c r="U3" s="85"/>
      <c r="V3" s="86"/>
    </row>
    <row r="4" spans="1:22" s="32" customFormat="1" ht="30.75" customHeight="1" x14ac:dyDescent="0.2">
      <c r="A4" s="94" t="s">
        <v>2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66</v>
      </c>
      <c r="O4" s="39" t="str">
        <f>'RESUMEN '!O4</f>
        <v>ACUMULADO 
2025</v>
      </c>
      <c r="P4" s="39" t="str">
        <f>'RESUMEN '!P4</f>
        <v>% Part ACUM 
 2025</v>
      </c>
      <c r="Q4" s="38"/>
      <c r="R4" s="37">
        <f>'RESUMEN '!R4</f>
        <v>45292</v>
      </c>
      <c r="S4" s="36" t="str">
        <f>'RESUMEN '!U4</f>
        <v>Var. %  Ene '25 vs Ene '24</v>
      </c>
      <c r="T4" s="35"/>
      <c r="U4" s="34" t="str">
        <f>'RESUMEN '!W4</f>
        <v>ACUMULADO
 2024</v>
      </c>
      <c r="V4" s="33" t="str">
        <f>'RESUMEN '!X4</f>
        <v>Var. %
ACUM  25/24</v>
      </c>
    </row>
    <row r="5" spans="1:22" ht="18.75" x14ac:dyDescent="0.3">
      <c r="A5" s="64" t="s">
        <v>20</v>
      </c>
      <c r="B5" s="30">
        <v>244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6">
        <f t="shared" ref="N5:N36" si="0">IFERROR(+B5/$B$58,"-")</f>
        <v>0.12821860220704151</v>
      </c>
      <c r="O5" s="72">
        <f t="shared" ref="O5:O57" si="1">SUM(B5:M5)</f>
        <v>244</v>
      </c>
      <c r="P5" s="71">
        <f t="shared" ref="P5:P36" si="2">+O5/$O$58</f>
        <v>0.12821860220704151</v>
      </c>
      <c r="Q5" s="58"/>
      <c r="R5" s="30">
        <v>179</v>
      </c>
      <c r="S5" s="29">
        <f t="shared" ref="S5:S44" si="3">+IFERROR(B5/R5-1,"-")</f>
        <v>0.36312849162011163</v>
      </c>
      <c r="T5" s="56"/>
      <c r="U5" s="55">
        <v>179</v>
      </c>
      <c r="V5" s="19">
        <f t="shared" ref="V5:V57" si="4">IFERROR(O5/U5-1,"-")</f>
        <v>0.36312849162011163</v>
      </c>
    </row>
    <row r="6" spans="1:22" ht="18.75" x14ac:dyDescent="0.3">
      <c r="A6" s="62" t="s">
        <v>24</v>
      </c>
      <c r="B6" s="22">
        <v>210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6">
        <f t="shared" si="0"/>
        <v>0.11035207566999475</v>
      </c>
      <c r="O6" s="60">
        <f t="shared" si="1"/>
        <v>210</v>
      </c>
      <c r="P6" s="59">
        <f t="shared" si="2"/>
        <v>0.11035207566999475</v>
      </c>
      <c r="Q6" s="58"/>
      <c r="R6" s="22">
        <v>179</v>
      </c>
      <c r="S6" s="21">
        <f t="shared" si="3"/>
        <v>0.17318435754189943</v>
      </c>
      <c r="T6" s="56"/>
      <c r="U6" s="55">
        <v>179</v>
      </c>
      <c r="V6" s="19">
        <f t="shared" si="4"/>
        <v>0.17318435754189943</v>
      </c>
    </row>
    <row r="7" spans="1:22" ht="18.75" x14ac:dyDescent="0.3">
      <c r="A7" s="62" t="s">
        <v>19</v>
      </c>
      <c r="B7" s="22">
        <v>189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6">
        <f t="shared" si="0"/>
        <v>9.9316868102995268E-2</v>
      </c>
      <c r="O7" s="60">
        <f t="shared" si="1"/>
        <v>189</v>
      </c>
      <c r="P7" s="59">
        <f t="shared" si="2"/>
        <v>9.9316868102995268E-2</v>
      </c>
      <c r="Q7" s="58"/>
      <c r="R7" s="22">
        <v>186</v>
      </c>
      <c r="S7" s="21">
        <f t="shared" si="3"/>
        <v>1.6129032258064502E-2</v>
      </c>
      <c r="T7" s="56"/>
      <c r="U7" s="55">
        <v>186</v>
      </c>
      <c r="V7" s="19">
        <f t="shared" si="4"/>
        <v>1.6129032258064502E-2</v>
      </c>
    </row>
    <row r="8" spans="1:22" ht="18.75" x14ac:dyDescent="0.3">
      <c r="A8" s="62" t="s">
        <v>25</v>
      </c>
      <c r="B8" s="22">
        <v>157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6">
        <f t="shared" si="0"/>
        <v>8.2501313715186542E-2</v>
      </c>
      <c r="O8" s="60">
        <f t="shared" ref="O8" si="5">SUM(B8:M8)</f>
        <v>157</v>
      </c>
      <c r="P8" s="59">
        <f t="shared" si="2"/>
        <v>8.2501313715186542E-2</v>
      </c>
      <c r="Q8" s="58"/>
      <c r="R8" s="22">
        <v>117</v>
      </c>
      <c r="S8" s="21">
        <f t="shared" ref="S8" si="6">+IFERROR(B8/R8-1,"-")</f>
        <v>0.34188034188034178</v>
      </c>
      <c r="T8" s="56"/>
      <c r="U8" s="55">
        <v>117</v>
      </c>
      <c r="V8" s="19">
        <f t="shared" ref="V8" si="7">IFERROR(O8/U8-1,"-")</f>
        <v>0.34188034188034178</v>
      </c>
    </row>
    <row r="9" spans="1:22" ht="18.75" x14ac:dyDescent="0.3">
      <c r="A9" s="62" t="s">
        <v>23</v>
      </c>
      <c r="B9" s="22">
        <v>140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6">
        <f t="shared" si="0"/>
        <v>7.3568050446663161E-2</v>
      </c>
      <c r="O9" s="60">
        <f t="shared" si="1"/>
        <v>140</v>
      </c>
      <c r="P9" s="59">
        <f t="shared" si="2"/>
        <v>7.3568050446663161E-2</v>
      </c>
      <c r="Q9" s="58"/>
      <c r="R9" s="22">
        <v>87</v>
      </c>
      <c r="S9" s="21">
        <f t="shared" si="3"/>
        <v>0.60919540229885061</v>
      </c>
      <c r="T9" s="56"/>
      <c r="U9" s="55">
        <v>87</v>
      </c>
      <c r="V9" s="19">
        <f t="shared" si="4"/>
        <v>0.60919540229885061</v>
      </c>
    </row>
    <row r="10" spans="1:22" ht="18.75" x14ac:dyDescent="0.3">
      <c r="A10" s="62" t="s">
        <v>34</v>
      </c>
      <c r="B10" s="22">
        <v>125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63">
        <f t="shared" si="0"/>
        <v>6.568575932737783E-2</v>
      </c>
      <c r="O10" s="60">
        <f t="shared" si="1"/>
        <v>125</v>
      </c>
      <c r="P10" s="59">
        <f t="shared" si="2"/>
        <v>6.568575932737783E-2</v>
      </c>
      <c r="Q10" s="58"/>
      <c r="R10" s="22">
        <v>68</v>
      </c>
      <c r="S10" s="21">
        <f t="shared" si="3"/>
        <v>0.83823529411764697</v>
      </c>
      <c r="T10" s="56"/>
      <c r="U10" s="55">
        <v>68</v>
      </c>
      <c r="V10" s="19">
        <f t="shared" si="4"/>
        <v>0.83823529411764697</v>
      </c>
    </row>
    <row r="11" spans="1:22" ht="18.75" x14ac:dyDescent="0.3">
      <c r="A11" s="62" t="s">
        <v>22</v>
      </c>
      <c r="B11" s="22">
        <v>109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6">
        <f t="shared" si="0"/>
        <v>5.727798213347346E-2</v>
      </c>
      <c r="O11" s="60">
        <f t="shared" ref="O11:O23" si="8">SUM(B11:M11)</f>
        <v>109</v>
      </c>
      <c r="P11" s="59">
        <f t="shared" si="2"/>
        <v>5.727798213347346E-2</v>
      </c>
      <c r="Q11" s="58"/>
      <c r="R11" s="22">
        <v>111</v>
      </c>
      <c r="S11" s="21">
        <f t="shared" si="3"/>
        <v>-1.8018018018018056E-2</v>
      </c>
      <c r="T11" s="56"/>
      <c r="U11" s="55">
        <v>111</v>
      </c>
      <c r="V11" s="19">
        <f t="shared" ref="V11:V24" si="9">IFERROR(O11/U11-1,"-")</f>
        <v>-1.8018018018018056E-2</v>
      </c>
    </row>
    <row r="12" spans="1:22" ht="18.75" x14ac:dyDescent="0.3">
      <c r="A12" s="62" t="s">
        <v>65</v>
      </c>
      <c r="B12" s="22">
        <v>107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6">
        <f t="shared" si="0"/>
        <v>5.6227009984235417E-2</v>
      </c>
      <c r="O12" s="60">
        <f t="shared" si="8"/>
        <v>107</v>
      </c>
      <c r="P12" s="59">
        <f t="shared" si="2"/>
        <v>5.6227009984235417E-2</v>
      </c>
      <c r="Q12" s="58"/>
      <c r="R12" s="22">
        <v>98</v>
      </c>
      <c r="S12" s="21">
        <f t="shared" si="3"/>
        <v>9.1836734693877542E-2</v>
      </c>
      <c r="T12" s="56"/>
      <c r="U12" s="55">
        <v>98</v>
      </c>
      <c r="V12" s="19">
        <f t="shared" si="9"/>
        <v>9.1836734693877542E-2</v>
      </c>
    </row>
    <row r="13" spans="1:22" ht="18.75" x14ac:dyDescent="0.3">
      <c r="A13" s="62" t="s">
        <v>29</v>
      </c>
      <c r="B13" s="22">
        <v>94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6">
        <f t="shared" si="0"/>
        <v>4.9395691014188121E-2</v>
      </c>
      <c r="O13" s="60">
        <f t="shared" si="8"/>
        <v>94</v>
      </c>
      <c r="P13" s="59">
        <f t="shared" si="2"/>
        <v>4.9395691014188121E-2</v>
      </c>
      <c r="Q13" s="58"/>
      <c r="R13" s="22">
        <v>81</v>
      </c>
      <c r="S13" s="21">
        <f t="shared" ref="S13:S19" si="10">+IFERROR(B13/R13-1,"-")</f>
        <v>0.16049382716049387</v>
      </c>
      <c r="T13" s="56"/>
      <c r="U13" s="55">
        <v>81</v>
      </c>
      <c r="V13" s="19">
        <f t="shared" si="9"/>
        <v>0.16049382716049387</v>
      </c>
    </row>
    <row r="14" spans="1:22" ht="18.75" x14ac:dyDescent="0.3">
      <c r="A14" s="62" t="s">
        <v>21</v>
      </c>
      <c r="B14" s="22">
        <v>92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6">
        <f t="shared" si="0"/>
        <v>4.8344718864950079E-2</v>
      </c>
      <c r="O14" s="60">
        <f t="shared" si="8"/>
        <v>92</v>
      </c>
      <c r="P14" s="59">
        <f t="shared" si="2"/>
        <v>4.8344718864950079E-2</v>
      </c>
      <c r="Q14" s="58"/>
      <c r="R14" s="22">
        <v>46</v>
      </c>
      <c r="S14" s="21">
        <f t="shared" si="10"/>
        <v>1</v>
      </c>
      <c r="T14" s="56"/>
      <c r="U14" s="55">
        <v>46</v>
      </c>
      <c r="V14" s="19">
        <f t="shared" si="9"/>
        <v>1</v>
      </c>
    </row>
    <row r="15" spans="1:22" ht="18.75" x14ac:dyDescent="0.3">
      <c r="A15" s="62" t="s">
        <v>31</v>
      </c>
      <c r="B15" s="22">
        <v>53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si="0"/>
        <v>2.7850761954808196E-2</v>
      </c>
      <c r="O15" s="60">
        <f t="shared" si="8"/>
        <v>53</v>
      </c>
      <c r="P15" s="59">
        <f t="shared" si="2"/>
        <v>2.7850761954808196E-2</v>
      </c>
      <c r="Q15" s="58"/>
      <c r="R15" s="22">
        <v>79</v>
      </c>
      <c r="S15" s="21">
        <f t="shared" si="10"/>
        <v>-0.32911392405063289</v>
      </c>
      <c r="T15" s="56"/>
      <c r="U15" s="55">
        <v>79</v>
      </c>
      <c r="V15" s="19">
        <f t="shared" si="9"/>
        <v>-0.32911392405063289</v>
      </c>
    </row>
    <row r="16" spans="1:22" ht="18.75" x14ac:dyDescent="0.3">
      <c r="A16" s="62" t="s">
        <v>40</v>
      </c>
      <c r="B16" s="22">
        <v>48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0"/>
        <v>2.5223331581713086E-2</v>
      </c>
      <c r="O16" s="60">
        <f t="shared" ref="O16:O17" si="11">SUM(B16:M16)</f>
        <v>48</v>
      </c>
      <c r="P16" s="59">
        <f t="shared" si="2"/>
        <v>2.5223331581713086E-2</v>
      </c>
      <c r="Q16" s="58"/>
      <c r="R16" s="22">
        <v>15</v>
      </c>
      <c r="S16" s="21">
        <f t="shared" si="10"/>
        <v>2.2000000000000002</v>
      </c>
      <c r="T16" s="56"/>
      <c r="U16" s="55">
        <v>15</v>
      </c>
      <c r="V16" s="19">
        <f t="shared" ref="V16:V19" si="12">IFERROR(O16/U16-1,"-")</f>
        <v>2.2000000000000002</v>
      </c>
    </row>
    <row r="17" spans="1:22" ht="18.75" x14ac:dyDescent="0.3">
      <c r="A17" s="62" t="s">
        <v>27</v>
      </c>
      <c r="B17" s="22">
        <v>47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0"/>
        <v>2.4697845507094061E-2</v>
      </c>
      <c r="O17" s="60">
        <f t="shared" si="11"/>
        <v>47</v>
      </c>
      <c r="P17" s="59">
        <f t="shared" si="2"/>
        <v>2.4697845507094061E-2</v>
      </c>
      <c r="Q17" s="58"/>
      <c r="R17" s="22">
        <v>41</v>
      </c>
      <c r="S17" s="21">
        <f t="shared" si="10"/>
        <v>0.14634146341463405</v>
      </c>
      <c r="T17" s="56"/>
      <c r="U17" s="55">
        <v>41</v>
      </c>
      <c r="V17" s="19">
        <f t="shared" si="12"/>
        <v>0.14634146341463405</v>
      </c>
    </row>
    <row r="18" spans="1:22" ht="18.75" x14ac:dyDescent="0.3">
      <c r="A18" s="62" t="s">
        <v>26</v>
      </c>
      <c r="B18" s="22">
        <v>40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0"/>
        <v>2.1019442984760904E-2</v>
      </c>
      <c r="O18" s="60">
        <f t="shared" ref="O18:O19" si="13">SUM(B18:M18)</f>
        <v>40</v>
      </c>
      <c r="P18" s="59">
        <f t="shared" si="2"/>
        <v>2.1019442984760904E-2</v>
      </c>
      <c r="Q18" s="58"/>
      <c r="R18" s="22">
        <v>9</v>
      </c>
      <c r="S18" s="21">
        <f t="shared" si="10"/>
        <v>3.4444444444444446</v>
      </c>
      <c r="T18" s="56"/>
      <c r="U18" s="55">
        <v>9</v>
      </c>
      <c r="V18" s="19">
        <f t="shared" si="12"/>
        <v>3.4444444444444446</v>
      </c>
    </row>
    <row r="19" spans="1:22" ht="18.75" x14ac:dyDescent="0.3">
      <c r="A19" s="62" t="s">
        <v>30</v>
      </c>
      <c r="B19" s="22">
        <v>28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0"/>
        <v>1.4713610089332634E-2</v>
      </c>
      <c r="O19" s="60">
        <f t="shared" si="13"/>
        <v>28</v>
      </c>
      <c r="P19" s="59">
        <f t="shared" si="2"/>
        <v>1.4713610089332634E-2</v>
      </c>
      <c r="Q19" s="58"/>
      <c r="R19" s="22">
        <v>49</v>
      </c>
      <c r="S19" s="21">
        <f t="shared" si="10"/>
        <v>-0.4285714285714286</v>
      </c>
      <c r="T19" s="56"/>
      <c r="U19" s="55">
        <v>49</v>
      </c>
      <c r="V19" s="19">
        <f t="shared" si="12"/>
        <v>-0.4285714285714286</v>
      </c>
    </row>
    <row r="20" spans="1:22" ht="18.75" x14ac:dyDescent="0.3">
      <c r="A20" s="62" t="s">
        <v>32</v>
      </c>
      <c r="B20" s="22">
        <v>23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0"/>
        <v>1.208617971623752E-2</v>
      </c>
      <c r="O20" s="60">
        <f t="shared" ref="O20:O21" si="14">SUM(B20:M20)</f>
        <v>23</v>
      </c>
      <c r="P20" s="59">
        <f t="shared" si="2"/>
        <v>1.208617971623752E-2</v>
      </c>
      <c r="Q20" s="58"/>
      <c r="R20" s="22">
        <v>5</v>
      </c>
      <c r="S20" s="21">
        <f t="shared" si="3"/>
        <v>3.5999999999999996</v>
      </c>
      <c r="T20" s="56"/>
      <c r="U20" s="55">
        <v>5</v>
      </c>
      <c r="V20" s="19">
        <f t="shared" ref="V20:V21" si="15">IFERROR(O20/U20-1,"-")</f>
        <v>3.5999999999999996</v>
      </c>
    </row>
    <row r="21" spans="1:22" ht="18.75" x14ac:dyDescent="0.3">
      <c r="A21" s="62" t="s">
        <v>39</v>
      </c>
      <c r="B21" s="22">
        <v>22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0"/>
        <v>1.1560693641618497E-2</v>
      </c>
      <c r="O21" s="60">
        <f t="shared" si="14"/>
        <v>22</v>
      </c>
      <c r="P21" s="59">
        <f t="shared" si="2"/>
        <v>1.1560693641618497E-2</v>
      </c>
      <c r="Q21" s="58"/>
      <c r="R21" s="22">
        <v>27</v>
      </c>
      <c r="S21" s="21">
        <f t="shared" si="3"/>
        <v>-0.18518518518518523</v>
      </c>
      <c r="T21" s="56"/>
      <c r="U21" s="55">
        <v>27</v>
      </c>
      <c r="V21" s="19">
        <f t="shared" si="15"/>
        <v>-0.18518518518518523</v>
      </c>
    </row>
    <row r="22" spans="1:22" ht="18.75" x14ac:dyDescent="0.3">
      <c r="A22" s="62" t="s">
        <v>35</v>
      </c>
      <c r="B22" s="22">
        <v>22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0"/>
        <v>1.1560693641618497E-2</v>
      </c>
      <c r="O22" s="60">
        <f t="shared" ref="O22" si="16">SUM(B22:M22)</f>
        <v>22</v>
      </c>
      <c r="P22" s="59">
        <f t="shared" si="2"/>
        <v>1.1560693641618497E-2</v>
      </c>
      <c r="Q22" s="58"/>
      <c r="R22" s="22">
        <v>10</v>
      </c>
      <c r="S22" s="21">
        <f t="shared" si="3"/>
        <v>1.2000000000000002</v>
      </c>
      <c r="T22" s="56"/>
      <c r="U22" s="55">
        <v>10</v>
      </c>
      <c r="V22" s="19">
        <f t="shared" ref="V22" si="17">IFERROR(O22/U22-1,"-")</f>
        <v>1.2000000000000002</v>
      </c>
    </row>
    <row r="23" spans="1:22" ht="18.75" x14ac:dyDescent="0.3">
      <c r="A23" s="62" t="s">
        <v>42</v>
      </c>
      <c r="B23" s="22">
        <v>20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0"/>
        <v>1.0509721492380452E-2</v>
      </c>
      <c r="O23" s="60">
        <f t="shared" si="8"/>
        <v>20</v>
      </c>
      <c r="P23" s="59">
        <f t="shared" si="2"/>
        <v>1.0509721492380452E-2</v>
      </c>
      <c r="Q23" s="58"/>
      <c r="R23" s="22">
        <v>4</v>
      </c>
      <c r="S23" s="21">
        <f t="shared" si="3"/>
        <v>4</v>
      </c>
      <c r="T23" s="56"/>
      <c r="U23" s="55">
        <v>4</v>
      </c>
      <c r="V23" s="19">
        <f t="shared" si="9"/>
        <v>4</v>
      </c>
    </row>
    <row r="24" spans="1:22" ht="18.75" x14ac:dyDescent="0.3">
      <c r="A24" s="62" t="s">
        <v>36</v>
      </c>
      <c r="B24" s="22">
        <v>18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0"/>
        <v>9.4587493431424075E-3</v>
      </c>
      <c r="O24" s="60">
        <f t="shared" ref="O24" si="18">SUM(B24:M24)</f>
        <v>18</v>
      </c>
      <c r="P24" s="59">
        <f t="shared" si="2"/>
        <v>9.4587493431424075E-3</v>
      </c>
      <c r="Q24" s="58"/>
      <c r="R24" s="22">
        <v>3</v>
      </c>
      <c r="S24" s="21">
        <f t="shared" si="3"/>
        <v>5</v>
      </c>
      <c r="T24" s="56"/>
      <c r="U24" s="55">
        <v>3</v>
      </c>
      <c r="V24" s="19">
        <f t="shared" si="9"/>
        <v>5</v>
      </c>
    </row>
    <row r="25" spans="1:22" ht="18.75" x14ac:dyDescent="0.3">
      <c r="A25" s="62" t="s">
        <v>33</v>
      </c>
      <c r="B25" s="22">
        <v>16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0"/>
        <v>8.4077771939043613E-3</v>
      </c>
      <c r="O25" s="60">
        <f t="shared" si="1"/>
        <v>16</v>
      </c>
      <c r="P25" s="59">
        <f t="shared" si="2"/>
        <v>8.4077771939043613E-3</v>
      </c>
      <c r="Q25" s="58"/>
      <c r="R25" s="22">
        <v>2</v>
      </c>
      <c r="S25" s="21">
        <f t="shared" si="3"/>
        <v>7</v>
      </c>
      <c r="T25" s="56"/>
      <c r="U25" s="55">
        <v>2</v>
      </c>
      <c r="V25" s="19">
        <f t="shared" si="4"/>
        <v>7</v>
      </c>
    </row>
    <row r="26" spans="1:22" ht="18.75" x14ac:dyDescent="0.3">
      <c r="A26" s="62" t="s">
        <v>45</v>
      </c>
      <c r="B26" s="22">
        <v>15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0"/>
        <v>7.8822911192853382E-3</v>
      </c>
      <c r="O26" s="60">
        <f t="shared" si="1"/>
        <v>15</v>
      </c>
      <c r="P26" s="59">
        <f t="shared" si="2"/>
        <v>7.8822911192853382E-3</v>
      </c>
      <c r="Q26" s="58"/>
      <c r="R26" s="22">
        <v>20</v>
      </c>
      <c r="S26" s="21">
        <f t="shared" si="3"/>
        <v>-0.25</v>
      </c>
      <c r="T26" s="56"/>
      <c r="U26" s="55">
        <v>20</v>
      </c>
      <c r="V26" s="19">
        <f t="shared" si="4"/>
        <v>-0.25</v>
      </c>
    </row>
    <row r="27" spans="1:22" ht="18.75" x14ac:dyDescent="0.3">
      <c r="A27" s="62" t="s">
        <v>297</v>
      </c>
      <c r="B27" s="22">
        <v>10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0"/>
        <v>5.254860746190226E-3</v>
      </c>
      <c r="O27" s="60">
        <f t="shared" ref="O27" si="19">SUM(B27:M27)</f>
        <v>10</v>
      </c>
      <c r="P27" s="59">
        <f t="shared" si="2"/>
        <v>5.254860746190226E-3</v>
      </c>
      <c r="Q27" s="58"/>
      <c r="R27" s="22">
        <v>3</v>
      </c>
      <c r="S27" s="21">
        <f t="shared" si="3"/>
        <v>2.3333333333333335</v>
      </c>
      <c r="T27" s="56"/>
      <c r="U27" s="55">
        <v>3</v>
      </c>
      <c r="V27" s="19">
        <f t="shared" ref="V27" si="20">IFERROR(O27/U27-1,"-")</f>
        <v>2.3333333333333335</v>
      </c>
    </row>
    <row r="28" spans="1:22" ht="18.75" x14ac:dyDescent="0.3">
      <c r="A28" s="62" t="s">
        <v>28</v>
      </c>
      <c r="B28" s="22">
        <v>10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0"/>
        <v>5.254860746190226E-3</v>
      </c>
      <c r="O28" s="60">
        <f t="shared" si="1"/>
        <v>10</v>
      </c>
      <c r="P28" s="59">
        <f t="shared" si="2"/>
        <v>5.254860746190226E-3</v>
      </c>
      <c r="Q28" s="58"/>
      <c r="R28" s="22">
        <v>12</v>
      </c>
      <c r="S28" s="21">
        <f t="shared" si="3"/>
        <v>-0.16666666666666663</v>
      </c>
      <c r="T28" s="56"/>
      <c r="U28" s="55">
        <v>12</v>
      </c>
      <c r="V28" s="19">
        <f t="shared" si="4"/>
        <v>-0.16666666666666663</v>
      </c>
    </row>
    <row r="29" spans="1:22" ht="18.75" x14ac:dyDescent="0.3">
      <c r="A29" s="62" t="s">
        <v>47</v>
      </c>
      <c r="B29" s="22">
        <v>9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0"/>
        <v>4.7293746715712038E-3</v>
      </c>
      <c r="O29" s="60">
        <f t="shared" ref="O29:O33" si="21">SUM(B29:M29)</f>
        <v>9</v>
      </c>
      <c r="P29" s="59">
        <f t="shared" si="2"/>
        <v>4.7293746715712038E-3</v>
      </c>
      <c r="Q29" s="58"/>
      <c r="R29" s="22">
        <v>3</v>
      </c>
      <c r="S29" s="21">
        <f t="shared" si="3"/>
        <v>2</v>
      </c>
      <c r="T29" s="56"/>
      <c r="U29" s="55">
        <v>3</v>
      </c>
      <c r="V29" s="19">
        <f t="shared" ref="V29:V33" si="22">IFERROR(O29/U29-1,"-")</f>
        <v>2</v>
      </c>
    </row>
    <row r="30" spans="1:22" ht="18.75" x14ac:dyDescent="0.3">
      <c r="A30" s="62" t="s">
        <v>37</v>
      </c>
      <c r="B30" s="22">
        <v>7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0"/>
        <v>3.6784025223331584E-3</v>
      </c>
      <c r="O30" s="60">
        <f t="shared" si="21"/>
        <v>7</v>
      </c>
      <c r="P30" s="59">
        <f t="shared" si="2"/>
        <v>3.6784025223331584E-3</v>
      </c>
      <c r="Q30" s="58"/>
      <c r="R30" s="22">
        <v>0</v>
      </c>
      <c r="S30" s="21" t="str">
        <f t="shared" si="3"/>
        <v>-</v>
      </c>
      <c r="T30" s="56"/>
      <c r="U30" s="55">
        <v>0</v>
      </c>
      <c r="V30" s="19" t="str">
        <f t="shared" si="22"/>
        <v>-</v>
      </c>
    </row>
    <row r="31" spans="1:22" ht="18.75" x14ac:dyDescent="0.3">
      <c r="A31" s="62" t="s">
        <v>44</v>
      </c>
      <c r="B31" s="22">
        <v>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 t="shared" si="0"/>
        <v>3.1529164477141357E-3</v>
      </c>
      <c r="O31" s="60">
        <f t="shared" si="21"/>
        <v>6</v>
      </c>
      <c r="P31" s="59">
        <f t="shared" si="2"/>
        <v>3.1529164477141357E-3</v>
      </c>
      <c r="Q31" s="58"/>
      <c r="R31" s="22">
        <v>8</v>
      </c>
      <c r="S31" s="21">
        <f t="shared" si="3"/>
        <v>-0.25</v>
      </c>
      <c r="T31" s="56"/>
      <c r="U31" s="55">
        <v>8</v>
      </c>
      <c r="V31" s="19">
        <f t="shared" si="22"/>
        <v>-0.25</v>
      </c>
    </row>
    <row r="32" spans="1:22" ht="18.75" x14ac:dyDescent="0.3">
      <c r="A32" s="62" t="s">
        <v>68</v>
      </c>
      <c r="B32" s="22">
        <v>6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 t="shared" si="0"/>
        <v>3.1529164477141357E-3</v>
      </c>
      <c r="O32" s="60">
        <f t="shared" si="21"/>
        <v>6</v>
      </c>
      <c r="P32" s="59">
        <f t="shared" si="2"/>
        <v>3.1529164477141357E-3</v>
      </c>
      <c r="Q32" s="58"/>
      <c r="R32" s="22">
        <v>6</v>
      </c>
      <c r="S32" s="21">
        <f t="shared" si="3"/>
        <v>0</v>
      </c>
      <c r="T32" s="56"/>
      <c r="U32" s="55">
        <v>6</v>
      </c>
      <c r="V32" s="19">
        <f t="shared" si="22"/>
        <v>0</v>
      </c>
    </row>
    <row r="33" spans="1:22" ht="18.75" x14ac:dyDescent="0.3">
      <c r="A33" s="62" t="s">
        <v>447</v>
      </c>
      <c r="B33" s="22">
        <v>6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 t="shared" si="0"/>
        <v>3.1529164477141357E-3</v>
      </c>
      <c r="O33" s="60">
        <f t="shared" si="21"/>
        <v>6</v>
      </c>
      <c r="P33" s="59">
        <f t="shared" si="2"/>
        <v>3.1529164477141357E-3</v>
      </c>
      <c r="Q33" s="58"/>
      <c r="R33" s="22">
        <v>0</v>
      </c>
      <c r="S33" s="21" t="str">
        <f t="shared" si="3"/>
        <v>-</v>
      </c>
      <c r="T33" s="56"/>
      <c r="U33" s="55">
        <v>0</v>
      </c>
      <c r="V33" s="19" t="str">
        <f t="shared" si="22"/>
        <v>-</v>
      </c>
    </row>
    <row r="34" spans="1:22" ht="18.75" x14ac:dyDescent="0.3">
      <c r="A34" s="62" t="s">
        <v>72</v>
      </c>
      <c r="B34" s="22">
        <v>5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 t="shared" si="0"/>
        <v>2.627430373095113E-3</v>
      </c>
      <c r="O34" s="60">
        <f t="shared" si="1"/>
        <v>5</v>
      </c>
      <c r="P34" s="59">
        <f t="shared" si="2"/>
        <v>2.627430373095113E-3</v>
      </c>
      <c r="Q34" s="58"/>
      <c r="R34" s="22">
        <v>7</v>
      </c>
      <c r="S34" s="21">
        <f t="shared" si="3"/>
        <v>-0.2857142857142857</v>
      </c>
      <c r="T34" s="56"/>
      <c r="U34" s="55">
        <v>7</v>
      </c>
      <c r="V34" s="19">
        <f t="shared" si="4"/>
        <v>-0.2857142857142857</v>
      </c>
    </row>
    <row r="35" spans="1:22" ht="18.75" x14ac:dyDescent="0.3">
      <c r="A35" s="62" t="s">
        <v>448</v>
      </c>
      <c r="B35" s="22">
        <v>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 t="shared" si="0"/>
        <v>2.627430373095113E-3</v>
      </c>
      <c r="O35" s="60">
        <f t="shared" si="1"/>
        <v>5</v>
      </c>
      <c r="P35" s="59">
        <f t="shared" si="2"/>
        <v>2.627430373095113E-3</v>
      </c>
      <c r="Q35" s="58"/>
      <c r="R35" s="22">
        <v>0</v>
      </c>
      <c r="S35" s="21" t="str">
        <f t="shared" si="3"/>
        <v>-</v>
      </c>
      <c r="T35" s="56"/>
      <c r="U35" s="55">
        <v>0</v>
      </c>
      <c r="V35" s="19" t="str">
        <f t="shared" si="4"/>
        <v>-</v>
      </c>
    </row>
    <row r="36" spans="1:22" ht="18.75" x14ac:dyDescent="0.3">
      <c r="A36" s="62" t="s">
        <v>449</v>
      </c>
      <c r="B36" s="22">
        <v>4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>
        <f t="shared" si="0"/>
        <v>2.1019442984760903E-3</v>
      </c>
      <c r="O36" s="60">
        <f t="shared" si="1"/>
        <v>4</v>
      </c>
      <c r="P36" s="59">
        <f t="shared" si="2"/>
        <v>2.1019442984760903E-3</v>
      </c>
      <c r="Q36" s="58"/>
      <c r="R36" s="22">
        <v>0</v>
      </c>
      <c r="S36" s="21" t="str">
        <f t="shared" si="3"/>
        <v>-</v>
      </c>
      <c r="T36" s="56"/>
      <c r="U36" s="55">
        <v>0</v>
      </c>
      <c r="V36" s="19" t="str">
        <f t="shared" si="4"/>
        <v>-</v>
      </c>
    </row>
    <row r="37" spans="1:22" ht="18.75" x14ac:dyDescent="0.3">
      <c r="A37" s="62" t="s">
        <v>426</v>
      </c>
      <c r="B37" s="22">
        <v>4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6">
        <f t="shared" ref="N37:N57" si="23">IFERROR(+B37/$B$58,"-")</f>
        <v>2.1019442984760903E-3</v>
      </c>
      <c r="O37" s="60">
        <f t="shared" si="1"/>
        <v>4</v>
      </c>
      <c r="P37" s="59">
        <f t="shared" ref="P37:P57" si="24">+O37/$O$58</f>
        <v>2.1019442984760903E-3</v>
      </c>
      <c r="Q37" s="58"/>
      <c r="R37" s="22">
        <v>1</v>
      </c>
      <c r="S37" s="21">
        <f t="shared" si="3"/>
        <v>3</v>
      </c>
      <c r="T37" s="56"/>
      <c r="U37" s="55">
        <v>1</v>
      </c>
      <c r="V37" s="19">
        <f t="shared" si="4"/>
        <v>3</v>
      </c>
    </row>
    <row r="38" spans="1:22" ht="18.75" x14ac:dyDescent="0.3">
      <c r="A38" s="62" t="s">
        <v>450</v>
      </c>
      <c r="B38" s="22">
        <v>2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6">
        <f t="shared" si="23"/>
        <v>1.0509721492380452E-3</v>
      </c>
      <c r="O38" s="60">
        <f t="shared" si="1"/>
        <v>2</v>
      </c>
      <c r="P38" s="59">
        <f t="shared" si="24"/>
        <v>1.0509721492380452E-3</v>
      </c>
      <c r="Q38" s="58"/>
      <c r="R38" s="22">
        <v>0</v>
      </c>
      <c r="S38" s="21" t="str">
        <f t="shared" si="3"/>
        <v>-</v>
      </c>
      <c r="T38" s="56"/>
      <c r="U38" s="55">
        <v>0</v>
      </c>
      <c r="V38" s="19" t="str">
        <f t="shared" si="4"/>
        <v>-</v>
      </c>
    </row>
    <row r="39" spans="1:22" ht="18.75" x14ac:dyDescent="0.3">
      <c r="A39" s="70" t="s">
        <v>71</v>
      </c>
      <c r="B39" s="22">
        <v>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6">
        <f t="shared" si="23"/>
        <v>1.0509721492380452E-3</v>
      </c>
      <c r="O39" s="60">
        <f t="shared" si="1"/>
        <v>2</v>
      </c>
      <c r="P39" s="59">
        <f t="shared" si="24"/>
        <v>1.0509721492380452E-3</v>
      </c>
      <c r="Q39" s="58"/>
      <c r="R39" s="22">
        <v>4</v>
      </c>
      <c r="S39" s="21">
        <f t="shared" si="3"/>
        <v>-0.5</v>
      </c>
      <c r="T39" s="56"/>
      <c r="U39" s="55">
        <v>4</v>
      </c>
      <c r="V39" s="19">
        <f t="shared" si="4"/>
        <v>-0.5</v>
      </c>
    </row>
    <row r="40" spans="1:22" ht="18.75" x14ac:dyDescent="0.3">
      <c r="A40" s="70" t="s">
        <v>455</v>
      </c>
      <c r="B40" s="22">
        <v>1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6">
        <f t="shared" si="23"/>
        <v>5.2548607461902258E-4</v>
      </c>
      <c r="O40" s="60">
        <f t="shared" si="1"/>
        <v>1</v>
      </c>
      <c r="P40" s="59">
        <f t="shared" si="24"/>
        <v>5.2548607461902258E-4</v>
      </c>
      <c r="Q40" s="58"/>
      <c r="R40" s="22">
        <v>0</v>
      </c>
      <c r="S40" s="21" t="str">
        <f t="shared" si="3"/>
        <v>-</v>
      </c>
      <c r="T40" s="56"/>
      <c r="U40" s="55">
        <v>0</v>
      </c>
      <c r="V40" s="19" t="str">
        <f t="shared" si="4"/>
        <v>-</v>
      </c>
    </row>
    <row r="41" spans="1:22" ht="18.75" x14ac:dyDescent="0.3">
      <c r="A41" s="62" t="s">
        <v>454</v>
      </c>
      <c r="B41" s="22">
        <v>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6">
        <f t="shared" si="23"/>
        <v>5.2548607461902258E-4</v>
      </c>
      <c r="O41" s="60">
        <f t="shared" si="1"/>
        <v>1</v>
      </c>
      <c r="P41" s="59">
        <f t="shared" si="24"/>
        <v>5.2548607461902258E-4</v>
      </c>
      <c r="Q41" s="58"/>
      <c r="R41" s="22">
        <v>0</v>
      </c>
      <c r="S41" s="21" t="str">
        <f t="shared" si="3"/>
        <v>-</v>
      </c>
      <c r="T41" s="56"/>
      <c r="U41" s="55">
        <v>0</v>
      </c>
      <c r="V41" s="19" t="str">
        <f t="shared" si="4"/>
        <v>-</v>
      </c>
    </row>
    <row r="42" spans="1:22" ht="18.75" x14ac:dyDescent="0.3">
      <c r="A42" s="70" t="s">
        <v>301</v>
      </c>
      <c r="B42" s="22">
        <v>1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6">
        <f t="shared" si="23"/>
        <v>5.2548607461902258E-4</v>
      </c>
      <c r="O42" s="60">
        <f t="shared" si="1"/>
        <v>1</v>
      </c>
      <c r="P42" s="59">
        <f t="shared" si="24"/>
        <v>5.2548607461902258E-4</v>
      </c>
      <c r="Q42" s="58"/>
      <c r="R42" s="22">
        <v>0</v>
      </c>
      <c r="S42" s="21" t="str">
        <f t="shared" si="3"/>
        <v>-</v>
      </c>
      <c r="T42" s="56"/>
      <c r="U42" s="55">
        <v>0</v>
      </c>
      <c r="V42" s="19" t="str">
        <f t="shared" si="4"/>
        <v>-</v>
      </c>
    </row>
    <row r="43" spans="1:22" ht="18.75" x14ac:dyDescent="0.3">
      <c r="A43" s="70" t="s">
        <v>453</v>
      </c>
      <c r="B43" s="22">
        <v>1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6">
        <f t="shared" si="23"/>
        <v>5.2548607461902258E-4</v>
      </c>
      <c r="O43" s="60">
        <f t="shared" si="1"/>
        <v>1</v>
      </c>
      <c r="P43" s="59">
        <f t="shared" si="24"/>
        <v>5.2548607461902258E-4</v>
      </c>
      <c r="Q43" s="58"/>
      <c r="R43" s="22">
        <v>0</v>
      </c>
      <c r="S43" s="21" t="str">
        <f t="shared" si="3"/>
        <v>-</v>
      </c>
      <c r="T43" s="56"/>
      <c r="U43" s="55">
        <v>0</v>
      </c>
      <c r="V43" s="19" t="str">
        <f t="shared" si="4"/>
        <v>-</v>
      </c>
    </row>
    <row r="44" spans="1:22" ht="18.75" x14ac:dyDescent="0.3">
      <c r="A44" s="70" t="s">
        <v>41</v>
      </c>
      <c r="B44" s="22">
        <v>1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6">
        <f t="shared" si="23"/>
        <v>5.2548607461902258E-4</v>
      </c>
      <c r="O44" s="60">
        <f t="shared" si="1"/>
        <v>1</v>
      </c>
      <c r="P44" s="59">
        <f t="shared" si="24"/>
        <v>5.2548607461902258E-4</v>
      </c>
      <c r="Q44" s="58"/>
      <c r="R44" s="22">
        <v>9</v>
      </c>
      <c r="S44" s="21">
        <f t="shared" si="3"/>
        <v>-0.88888888888888884</v>
      </c>
      <c r="T44" s="56"/>
      <c r="U44" s="55">
        <v>9</v>
      </c>
      <c r="V44" s="19">
        <f t="shared" si="4"/>
        <v>-0.88888888888888884</v>
      </c>
    </row>
    <row r="45" spans="1:22" ht="18.75" x14ac:dyDescent="0.3">
      <c r="A45" s="62" t="s">
        <v>452</v>
      </c>
      <c r="B45" s="22">
        <v>1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6">
        <f t="shared" si="23"/>
        <v>5.2548607461902258E-4</v>
      </c>
      <c r="O45" s="60">
        <f t="shared" si="1"/>
        <v>1</v>
      </c>
      <c r="P45" s="59">
        <f t="shared" si="24"/>
        <v>5.2548607461902258E-4</v>
      </c>
      <c r="Q45" s="58"/>
      <c r="R45" s="22">
        <v>0</v>
      </c>
      <c r="S45" s="21" t="str">
        <f t="shared" ref="S45:S58" si="25">+IFERROR(B45/R45-1,"-")</f>
        <v>-</v>
      </c>
      <c r="T45" s="56"/>
      <c r="U45" s="55">
        <v>0</v>
      </c>
      <c r="V45" s="19" t="str">
        <f t="shared" si="4"/>
        <v>-</v>
      </c>
    </row>
    <row r="46" spans="1:22" ht="18.75" x14ac:dyDescent="0.3">
      <c r="A46" s="70" t="s">
        <v>302</v>
      </c>
      <c r="B46" s="22">
        <v>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6">
        <f t="shared" si="23"/>
        <v>5.2548607461902258E-4</v>
      </c>
      <c r="O46" s="60">
        <f t="shared" si="1"/>
        <v>1</v>
      </c>
      <c r="P46" s="59">
        <f t="shared" si="24"/>
        <v>5.2548607461902258E-4</v>
      </c>
      <c r="Q46" s="58"/>
      <c r="R46" s="22">
        <v>0</v>
      </c>
      <c r="S46" s="21" t="str">
        <f t="shared" si="25"/>
        <v>-</v>
      </c>
      <c r="T46" s="56"/>
      <c r="U46" s="55">
        <v>0</v>
      </c>
      <c r="V46" s="19" t="str">
        <f t="shared" si="4"/>
        <v>-</v>
      </c>
    </row>
    <row r="47" spans="1:22" ht="18.75" x14ac:dyDescent="0.3">
      <c r="A47" s="70" t="s">
        <v>451</v>
      </c>
      <c r="B47" s="22">
        <v>1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6">
        <f t="shared" si="23"/>
        <v>5.2548607461902258E-4</v>
      </c>
      <c r="O47" s="60">
        <f t="shared" si="1"/>
        <v>1</v>
      </c>
      <c r="P47" s="59">
        <f t="shared" si="24"/>
        <v>5.2548607461902258E-4</v>
      </c>
      <c r="Q47" s="58"/>
      <c r="R47" s="22">
        <v>0</v>
      </c>
      <c r="S47" s="21" t="str">
        <f t="shared" si="25"/>
        <v>-</v>
      </c>
      <c r="T47" s="56"/>
      <c r="U47" s="55">
        <v>0</v>
      </c>
      <c r="V47" s="19" t="str">
        <f t="shared" si="4"/>
        <v>-</v>
      </c>
    </row>
    <row r="48" spans="1:22" ht="18.75" x14ac:dyDescent="0.3">
      <c r="A48" s="70" t="s">
        <v>287</v>
      </c>
      <c r="B48" s="22">
        <v>0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6">
        <f t="shared" si="23"/>
        <v>0</v>
      </c>
      <c r="O48" s="60">
        <f t="shared" si="1"/>
        <v>0</v>
      </c>
      <c r="P48" s="59">
        <f t="shared" si="24"/>
        <v>0</v>
      </c>
      <c r="Q48" s="58"/>
      <c r="R48" s="22">
        <v>1</v>
      </c>
      <c r="S48" s="21">
        <f t="shared" si="25"/>
        <v>-1</v>
      </c>
      <c r="T48" s="56"/>
      <c r="U48" s="55">
        <v>1</v>
      </c>
      <c r="V48" s="19">
        <f t="shared" si="4"/>
        <v>-1</v>
      </c>
    </row>
    <row r="49" spans="1:22" ht="18.75" x14ac:dyDescent="0.3">
      <c r="A49" s="70" t="s">
        <v>46</v>
      </c>
      <c r="B49" s="22">
        <v>0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6">
        <f t="shared" si="23"/>
        <v>0</v>
      </c>
      <c r="O49" s="60">
        <f t="shared" si="1"/>
        <v>0</v>
      </c>
      <c r="P49" s="59">
        <f t="shared" si="24"/>
        <v>0</v>
      </c>
      <c r="Q49" s="58"/>
      <c r="R49" s="22">
        <v>3</v>
      </c>
      <c r="S49" s="21">
        <f t="shared" si="25"/>
        <v>-1</v>
      </c>
      <c r="T49" s="56"/>
      <c r="U49" s="55">
        <v>3</v>
      </c>
      <c r="V49" s="19">
        <f t="shared" si="4"/>
        <v>-1</v>
      </c>
    </row>
    <row r="50" spans="1:22" ht="18.75" x14ac:dyDescent="0.3">
      <c r="A50" s="70" t="s">
        <v>351</v>
      </c>
      <c r="B50" s="22">
        <v>0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6">
        <f t="shared" si="23"/>
        <v>0</v>
      </c>
      <c r="O50" s="60">
        <f t="shared" si="1"/>
        <v>0</v>
      </c>
      <c r="P50" s="59">
        <f t="shared" si="24"/>
        <v>0</v>
      </c>
      <c r="Q50" s="58"/>
      <c r="R50" s="22">
        <v>2</v>
      </c>
      <c r="S50" s="21">
        <f t="shared" si="25"/>
        <v>-1</v>
      </c>
      <c r="T50" s="56"/>
      <c r="U50" s="55">
        <v>2</v>
      </c>
      <c r="V50" s="19">
        <f t="shared" si="4"/>
        <v>-1</v>
      </c>
    </row>
    <row r="51" spans="1:22" ht="18.75" x14ac:dyDescent="0.3">
      <c r="A51" s="70" t="s">
        <v>70</v>
      </c>
      <c r="B51" s="22">
        <v>0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6">
        <f t="shared" si="23"/>
        <v>0</v>
      </c>
      <c r="O51" s="60">
        <f t="shared" si="1"/>
        <v>0</v>
      </c>
      <c r="P51" s="59">
        <f t="shared" si="24"/>
        <v>0</v>
      </c>
      <c r="Q51" s="58"/>
      <c r="R51" s="22">
        <v>10</v>
      </c>
      <c r="S51" s="21">
        <f t="shared" si="25"/>
        <v>-1</v>
      </c>
      <c r="T51" s="56"/>
      <c r="U51" s="55">
        <v>10</v>
      </c>
      <c r="V51" s="19">
        <f t="shared" si="4"/>
        <v>-1</v>
      </c>
    </row>
    <row r="52" spans="1:22" ht="18.75" x14ac:dyDescent="0.3">
      <c r="A52" s="70" t="s">
        <v>303</v>
      </c>
      <c r="B52" s="22">
        <v>0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6">
        <f t="shared" si="23"/>
        <v>0</v>
      </c>
      <c r="O52" s="60">
        <f t="shared" si="1"/>
        <v>0</v>
      </c>
      <c r="P52" s="59">
        <f t="shared" si="24"/>
        <v>0</v>
      </c>
      <c r="Q52" s="58"/>
      <c r="R52" s="22">
        <v>1</v>
      </c>
      <c r="S52" s="21">
        <f t="shared" si="25"/>
        <v>-1</v>
      </c>
      <c r="T52" s="56"/>
      <c r="U52" s="55">
        <v>1</v>
      </c>
      <c r="V52" s="19">
        <f t="shared" si="4"/>
        <v>-1</v>
      </c>
    </row>
    <row r="53" spans="1:22" ht="18.75" x14ac:dyDescent="0.3">
      <c r="A53" s="70" t="s">
        <v>352</v>
      </c>
      <c r="B53" s="22">
        <v>0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6">
        <f t="shared" si="23"/>
        <v>0</v>
      </c>
      <c r="O53" s="60">
        <f t="shared" si="1"/>
        <v>0</v>
      </c>
      <c r="P53" s="59">
        <f t="shared" si="24"/>
        <v>0</v>
      </c>
      <c r="Q53" s="58"/>
      <c r="R53" s="22">
        <v>1</v>
      </c>
      <c r="S53" s="21">
        <f t="shared" si="25"/>
        <v>-1</v>
      </c>
      <c r="T53" s="56"/>
      <c r="U53" s="55">
        <v>1</v>
      </c>
      <c r="V53" s="19">
        <f t="shared" si="4"/>
        <v>-1</v>
      </c>
    </row>
    <row r="54" spans="1:22" ht="18.75" x14ac:dyDescent="0.3">
      <c r="A54" s="70" t="s">
        <v>43</v>
      </c>
      <c r="B54" s="22">
        <v>0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6">
        <f t="shared" si="23"/>
        <v>0</v>
      </c>
      <c r="O54" s="60">
        <f t="shared" si="1"/>
        <v>0</v>
      </c>
      <c r="P54" s="59">
        <f t="shared" si="24"/>
        <v>0</v>
      </c>
      <c r="Q54" s="58"/>
      <c r="R54" s="22">
        <v>2</v>
      </c>
      <c r="S54" s="21">
        <f t="shared" si="25"/>
        <v>-1</v>
      </c>
      <c r="T54" s="56"/>
      <c r="U54" s="55">
        <v>2</v>
      </c>
      <c r="V54" s="19">
        <f t="shared" si="4"/>
        <v>-1</v>
      </c>
    </row>
    <row r="55" spans="1:22" ht="18.75" x14ac:dyDescent="0.3">
      <c r="A55" s="70" t="s">
        <v>291</v>
      </c>
      <c r="B55" s="22">
        <v>0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6">
        <f t="shared" si="23"/>
        <v>0</v>
      </c>
      <c r="O55" s="60">
        <f t="shared" si="1"/>
        <v>0</v>
      </c>
      <c r="P55" s="59">
        <f t="shared" si="24"/>
        <v>0</v>
      </c>
      <c r="Q55" s="58"/>
      <c r="R55" s="22">
        <v>4</v>
      </c>
      <c r="S55" s="21">
        <f t="shared" si="25"/>
        <v>-1</v>
      </c>
      <c r="T55" s="56"/>
      <c r="U55" s="55">
        <v>4</v>
      </c>
      <c r="V55" s="19">
        <f t="shared" si="4"/>
        <v>-1</v>
      </c>
    </row>
    <row r="56" spans="1:22" ht="18.75" x14ac:dyDescent="0.3">
      <c r="A56" s="70" t="s">
        <v>38</v>
      </c>
      <c r="B56" s="22">
        <v>0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6">
        <f t="shared" si="23"/>
        <v>0</v>
      </c>
      <c r="O56" s="60">
        <f t="shared" si="1"/>
        <v>0</v>
      </c>
      <c r="P56" s="59">
        <f t="shared" si="24"/>
        <v>0</v>
      </c>
      <c r="Q56" s="58"/>
      <c r="R56" s="22">
        <v>1</v>
      </c>
      <c r="S56" s="21">
        <f t="shared" si="25"/>
        <v>-1</v>
      </c>
      <c r="T56" s="56"/>
      <c r="U56" s="55">
        <v>1</v>
      </c>
      <c r="V56" s="19">
        <f t="shared" si="4"/>
        <v>-1</v>
      </c>
    </row>
    <row r="57" spans="1:22" ht="18.75" x14ac:dyDescent="0.3">
      <c r="A57" s="70" t="s">
        <v>410</v>
      </c>
      <c r="B57" s="22">
        <v>0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6">
        <f t="shared" si="23"/>
        <v>0</v>
      </c>
      <c r="O57" s="60">
        <f t="shared" si="1"/>
        <v>0</v>
      </c>
      <c r="P57" s="59">
        <f t="shared" si="24"/>
        <v>0</v>
      </c>
      <c r="Q57" s="58"/>
      <c r="R57" s="22">
        <v>1</v>
      </c>
      <c r="S57" s="21">
        <f t="shared" si="25"/>
        <v>-1</v>
      </c>
      <c r="T57" s="56"/>
      <c r="U57" s="55">
        <v>1</v>
      </c>
      <c r="V57" s="19">
        <f t="shared" si="4"/>
        <v>-1</v>
      </c>
    </row>
    <row r="58" spans="1:22" s="8" customFormat="1" ht="19.5" thickBot="1" x14ac:dyDescent="0.35">
      <c r="A58" s="69" t="s">
        <v>1</v>
      </c>
      <c r="B58" s="68">
        <f t="shared" ref="B58:P58" si="26">SUM(B5:B57)</f>
        <v>1903</v>
      </c>
      <c r="C58" s="13">
        <f t="shared" si="26"/>
        <v>0</v>
      </c>
      <c r="D58" s="13">
        <f t="shared" si="26"/>
        <v>0</v>
      </c>
      <c r="E58" s="13">
        <f t="shared" si="26"/>
        <v>0</v>
      </c>
      <c r="F58" s="13">
        <f t="shared" si="26"/>
        <v>0</v>
      </c>
      <c r="G58" s="13">
        <f t="shared" si="26"/>
        <v>0</v>
      </c>
      <c r="H58" s="13">
        <f t="shared" si="26"/>
        <v>0</v>
      </c>
      <c r="I58" s="13">
        <f t="shared" si="26"/>
        <v>0</v>
      </c>
      <c r="J58" s="13">
        <f t="shared" si="26"/>
        <v>0</v>
      </c>
      <c r="K58" s="13">
        <f t="shared" si="26"/>
        <v>0</v>
      </c>
      <c r="L58" s="13">
        <f t="shared" si="26"/>
        <v>0</v>
      </c>
      <c r="M58" s="13">
        <f t="shared" si="26"/>
        <v>0</v>
      </c>
      <c r="N58" s="12">
        <f t="shared" si="26"/>
        <v>0.99999999999999944</v>
      </c>
      <c r="O58" s="66">
        <f t="shared" si="26"/>
        <v>1903</v>
      </c>
      <c r="P58" s="67">
        <f t="shared" si="26"/>
        <v>0.99999999999999944</v>
      </c>
      <c r="Q58" s="53"/>
      <c r="R58" s="13">
        <f>SUM(R5:R57)</f>
        <v>1495</v>
      </c>
      <c r="S58" s="15">
        <f t="shared" si="25"/>
        <v>0.27290969899665551</v>
      </c>
      <c r="T58" s="52"/>
      <c r="U58" s="66">
        <f>SUM(U5:U57)</f>
        <v>1495</v>
      </c>
      <c r="V58" s="12">
        <f t="shared" ref="V58" si="27">IFERROR(O58/U58-1,"-")</f>
        <v>0.27290969899665551</v>
      </c>
    </row>
    <row r="59" spans="1:22" ht="19.5" thickTop="1" x14ac:dyDescent="0.3">
      <c r="A59" s="11"/>
      <c r="B59" s="49"/>
      <c r="C59" s="49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51"/>
      <c r="O59" s="11"/>
      <c r="P59" s="11"/>
      <c r="R59" s="47"/>
      <c r="S59" s="51"/>
      <c r="T59" s="50"/>
      <c r="U59" s="44"/>
    </row>
    <row r="60" spans="1:22" ht="18.75" x14ac:dyDescent="0.3">
      <c r="A60" s="11" t="s">
        <v>7</v>
      </c>
      <c r="B60" s="49"/>
      <c r="C60" s="49"/>
      <c r="D60" s="47"/>
      <c r="E60" s="49"/>
      <c r="F60" s="49"/>
      <c r="G60" s="49"/>
      <c r="H60" s="49"/>
      <c r="I60" s="49"/>
      <c r="J60" s="49"/>
      <c r="K60" s="49"/>
      <c r="L60" s="49"/>
      <c r="M60" s="49"/>
      <c r="N60" s="46"/>
      <c r="O60" s="11"/>
      <c r="P60" s="11"/>
      <c r="R60" s="47"/>
      <c r="S60" s="46"/>
      <c r="T60" s="45"/>
      <c r="U60" s="44"/>
    </row>
    <row r="61" spans="1:22" ht="18.75" x14ac:dyDescent="0.3">
      <c r="A61" s="11"/>
      <c r="B61" s="49"/>
      <c r="C61" s="49"/>
      <c r="D61" s="47"/>
      <c r="E61" s="49"/>
      <c r="F61" s="49"/>
      <c r="G61" s="49"/>
      <c r="H61" s="49"/>
      <c r="I61" s="49"/>
      <c r="J61" s="49"/>
      <c r="K61" s="49"/>
      <c r="L61" s="49"/>
      <c r="M61" s="49"/>
      <c r="N61" s="46"/>
      <c r="O61" s="11"/>
      <c r="P61" s="11"/>
      <c r="R61" s="47"/>
      <c r="S61" s="46"/>
      <c r="T61" s="45"/>
      <c r="U61" s="44"/>
    </row>
    <row r="63" spans="1:22" x14ac:dyDescent="0.25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</row>
    <row r="65" spans="3:13" s="1" customFormat="1" x14ac:dyDescent="0.2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3:13" s="1" customFormat="1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3:13" s="1" customFormat="1" x14ac:dyDescent="0.25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3:13" s="1" customFormat="1" x14ac:dyDescent="0.25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3:13" s="1" customFormat="1" x14ac:dyDescent="0.25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3:13" s="1" customFormat="1" x14ac:dyDescent="0.25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3:13" s="1" customFormat="1" x14ac:dyDescent="0.25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3:13" s="1" customFormat="1" x14ac:dyDescent="0.25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3:13" s="1" customFormat="1" x14ac:dyDescent="0.25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3:13" s="1" customFormat="1" x14ac:dyDescent="0.2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3:13" s="1" customFormat="1" x14ac:dyDescent="0.2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3:13" s="1" customFormat="1" x14ac:dyDescent="0.25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3:13" s="1" customFormat="1" x14ac:dyDescent="0.2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3:13" s="1" customFormat="1" x14ac:dyDescent="0.25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3:13" s="1" customFormat="1" x14ac:dyDescent="0.25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3:13" s="1" customFormat="1" x14ac:dyDescent="0.25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3:13" s="1" customFormat="1" x14ac:dyDescent="0.2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3:13" s="1" customFormat="1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s="1" customFormat="1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3:13" s="1" customFormat="1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3:13" s="1" customFormat="1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3:13" s="1" customFormat="1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3:13" s="1" customFormat="1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3:13" s="1" customFormat="1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3:13" s="1" customFormat="1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3:13" s="1" customFormat="1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s="1" customFormat="1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3:13" s="1" customFormat="1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3:13" s="1" customFormat="1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3:13" s="1" customFormat="1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3:13" s="1" customFormat="1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s="1" customFormat="1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3:13" s="1" customFormat="1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3:13" s="1" customFormat="1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3:13" s="1" customFormat="1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3:13" s="1" customFormat="1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3:13" s="1" customFormat="1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3:13" s="1" customFormat="1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3:13" s="1" customFormat="1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3:13" s="1" customFormat="1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3:13" s="1" customFormat="1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3:13" s="1" customFormat="1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3:13" s="1" customFormat="1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3:13" s="1" customFormat="1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3:13" s="1" customFormat="1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3:13" s="1" customFormat="1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3:13" s="1" customFormat="1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3:13" s="1" customFormat="1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3:13" s="1" customFormat="1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3:13" s="1" customFormat="1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3:13" s="1" customFormat="1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3:13" s="1" customFormat="1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3:13" s="1" customFormat="1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3:13" s="1" customFormat="1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3:13" s="1" customFormat="1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3:13" s="1" customFormat="1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3:13" s="1" customFormat="1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3:13" s="1" customFormat="1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3:13" s="1" customFormat="1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3:13" s="1" customFormat="1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3:13" s="1" customFormat="1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3:13" s="1" customFormat="1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3:13" s="1" customFormat="1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3:13" s="1" customFormat="1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3:13" s="1" customFormat="1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3:13" s="1" customFormat="1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3:13" s="1" customFormat="1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3:13" s="1" customFormat="1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3:13" s="1" customFormat="1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3:13" s="1" customFormat="1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3:13" s="1" customFormat="1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3:13" s="1" customFormat="1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3:13" s="1" customFormat="1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3:13" s="1" customFormat="1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3:13" s="1" customFormat="1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3:13" s="1" customFormat="1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3:13" s="1" customFormat="1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3:13" s="1" customFormat="1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3:13" s="1" customFormat="1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3:13" s="1" customFormat="1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3:13" s="1" customFormat="1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3:13" s="1" customFormat="1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3:13" s="1" customFormat="1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3:13" s="1" customFormat="1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3:13" s="1" customFormat="1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3:13" s="1" customFormat="1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3:13" s="1" customFormat="1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3:13" s="1" customFormat="1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3:13" s="1" customFormat="1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3:13" s="1" customFormat="1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3:13" s="1" customFormat="1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3:13" s="1" customFormat="1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3:13" s="1" customFormat="1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3:13" s="1" customFormat="1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3:13" s="1" customFormat="1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3:13" s="1" customFormat="1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22" x14ac:dyDescent="0.25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</row>
  </sheetData>
  <sortState xmlns:xlrd2="http://schemas.microsoft.com/office/spreadsheetml/2017/richdata2" ref="A5:V57">
    <sortCondition descending="1" ref="O5:O57"/>
  </sortState>
  <dataConsolidate/>
  <mergeCells count="1">
    <mergeCell ref="U2:V2"/>
  </mergeCells>
  <conditionalFormatting sqref="A5:A57">
    <cfRule type="duplicateValues" dxfId="4" priority="28"/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58:E58 F58:M5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V66"/>
  <sheetViews>
    <sheetView zoomScale="80" zoomScaleNormal="80" workbookViewId="0"/>
  </sheetViews>
  <sheetFormatPr baseColWidth="10" defaultRowHeight="18" outlineLevelCol="1" x14ac:dyDescent="0.25"/>
  <cols>
    <col min="1" max="1" width="22.42578125" style="8" customWidth="1"/>
    <col min="2" max="2" width="10.85546875" style="10" customWidth="1"/>
    <col min="3" max="3" width="8" style="10" hidden="1" customWidth="1" outlineLevel="1"/>
    <col min="4" max="4" width="8.42578125" style="6" hidden="1" customWidth="1" outlineLevel="1"/>
    <col min="5" max="5" width="8" style="10" hidden="1" customWidth="1" outlineLevel="1"/>
    <col min="6" max="6" width="8.5703125" style="10" hidden="1" customWidth="1" outlineLevel="1"/>
    <col min="7" max="7" width="7.7109375" style="10" hidden="1" customWidth="1" outlineLevel="1"/>
    <col min="8" max="8" width="7" style="10" hidden="1" customWidth="1" outlineLevel="1"/>
    <col min="9" max="9" width="8.140625" style="10" hidden="1" customWidth="1" outlineLevel="1"/>
    <col min="10" max="10" width="7.7109375" style="10" hidden="1" customWidth="1" outlineLevel="1"/>
    <col min="11" max="11" width="7.85546875" style="10" hidden="1" customWidth="1" outlineLevel="1"/>
    <col min="12" max="13" width="9" style="10" hidden="1" customWidth="1" outlineLevel="1"/>
    <col min="14" max="14" width="12.140625" style="5" customWidth="1" collapsed="1"/>
    <col min="15" max="15" width="14.28515625" style="8" customWidth="1"/>
    <col min="16" max="16" width="16.85546875" style="8" customWidth="1"/>
    <col min="17" max="17" width="0.85546875" style="7" hidden="1" customWidth="1"/>
    <col min="18" max="18" width="12" style="6" customWidth="1"/>
    <col min="19" max="19" width="16.28515625" style="5" customWidth="1"/>
    <col min="20" max="20" width="0.28515625" style="4" customWidth="1"/>
    <col min="21" max="21" width="15.5703125" style="3" customWidth="1"/>
    <col min="22" max="22" width="16.5703125" style="2" customWidth="1"/>
    <col min="23" max="256" width="11.5703125" style="1"/>
    <col min="257" max="257" width="37.7109375" style="1" customWidth="1"/>
    <col min="258" max="258" width="15.85546875" style="1" customWidth="1"/>
    <col min="259" max="260" width="10.85546875" style="1" customWidth="1"/>
    <col min="261" max="269" width="0" style="1" hidden="1" customWidth="1"/>
    <col min="270" max="270" width="13.7109375" style="1" customWidth="1"/>
    <col min="271" max="271" width="17.28515625" style="1" customWidth="1"/>
    <col min="272" max="272" width="16" style="1" customWidth="1"/>
    <col min="273" max="273" width="2" style="1" customWidth="1"/>
    <col min="274" max="274" width="12" style="1" customWidth="1"/>
    <col min="275" max="275" width="10.5703125" style="1" customWidth="1"/>
    <col min="276" max="276" width="1.7109375" style="1" customWidth="1"/>
    <col min="277" max="277" width="14.42578125" style="1" customWidth="1"/>
    <col min="278" max="278" width="11.5703125" style="1" customWidth="1"/>
    <col min="279" max="512" width="11.5703125" style="1"/>
    <col min="513" max="513" width="37.7109375" style="1" customWidth="1"/>
    <col min="514" max="514" width="15.85546875" style="1" customWidth="1"/>
    <col min="515" max="516" width="10.85546875" style="1" customWidth="1"/>
    <col min="517" max="525" width="0" style="1" hidden="1" customWidth="1"/>
    <col min="526" max="526" width="13.7109375" style="1" customWidth="1"/>
    <col min="527" max="527" width="17.28515625" style="1" customWidth="1"/>
    <col min="528" max="528" width="16" style="1" customWidth="1"/>
    <col min="529" max="529" width="2" style="1" customWidth="1"/>
    <col min="530" max="530" width="12" style="1" customWidth="1"/>
    <col min="531" max="531" width="10.5703125" style="1" customWidth="1"/>
    <col min="532" max="532" width="1.7109375" style="1" customWidth="1"/>
    <col min="533" max="533" width="14.42578125" style="1" customWidth="1"/>
    <col min="534" max="534" width="11.5703125" style="1" customWidth="1"/>
    <col min="535" max="768" width="11.5703125" style="1"/>
    <col min="769" max="769" width="37.7109375" style="1" customWidth="1"/>
    <col min="770" max="770" width="15.85546875" style="1" customWidth="1"/>
    <col min="771" max="772" width="10.85546875" style="1" customWidth="1"/>
    <col min="773" max="781" width="0" style="1" hidden="1" customWidth="1"/>
    <col min="782" max="782" width="13.7109375" style="1" customWidth="1"/>
    <col min="783" max="783" width="17.28515625" style="1" customWidth="1"/>
    <col min="784" max="784" width="16" style="1" customWidth="1"/>
    <col min="785" max="785" width="2" style="1" customWidth="1"/>
    <col min="786" max="786" width="12" style="1" customWidth="1"/>
    <col min="787" max="787" width="10.5703125" style="1" customWidth="1"/>
    <col min="788" max="788" width="1.7109375" style="1" customWidth="1"/>
    <col min="789" max="789" width="14.42578125" style="1" customWidth="1"/>
    <col min="790" max="790" width="11.5703125" style="1" customWidth="1"/>
    <col min="791" max="1024" width="11.5703125" style="1"/>
    <col min="1025" max="1025" width="37.7109375" style="1" customWidth="1"/>
    <col min="1026" max="1026" width="15.85546875" style="1" customWidth="1"/>
    <col min="1027" max="1028" width="10.85546875" style="1" customWidth="1"/>
    <col min="1029" max="1037" width="0" style="1" hidden="1" customWidth="1"/>
    <col min="1038" max="1038" width="13.7109375" style="1" customWidth="1"/>
    <col min="1039" max="1039" width="17.28515625" style="1" customWidth="1"/>
    <col min="1040" max="1040" width="16" style="1" customWidth="1"/>
    <col min="1041" max="1041" width="2" style="1" customWidth="1"/>
    <col min="1042" max="1042" width="12" style="1" customWidth="1"/>
    <col min="1043" max="1043" width="10.5703125" style="1" customWidth="1"/>
    <col min="1044" max="1044" width="1.7109375" style="1" customWidth="1"/>
    <col min="1045" max="1045" width="14.42578125" style="1" customWidth="1"/>
    <col min="1046" max="1046" width="11.5703125" style="1" customWidth="1"/>
    <col min="1047" max="1280" width="11.5703125" style="1"/>
    <col min="1281" max="1281" width="37.7109375" style="1" customWidth="1"/>
    <col min="1282" max="1282" width="15.85546875" style="1" customWidth="1"/>
    <col min="1283" max="1284" width="10.85546875" style="1" customWidth="1"/>
    <col min="1285" max="1293" width="0" style="1" hidden="1" customWidth="1"/>
    <col min="1294" max="1294" width="13.7109375" style="1" customWidth="1"/>
    <col min="1295" max="1295" width="17.28515625" style="1" customWidth="1"/>
    <col min="1296" max="1296" width="16" style="1" customWidth="1"/>
    <col min="1297" max="1297" width="2" style="1" customWidth="1"/>
    <col min="1298" max="1298" width="12" style="1" customWidth="1"/>
    <col min="1299" max="1299" width="10.5703125" style="1" customWidth="1"/>
    <col min="1300" max="1300" width="1.7109375" style="1" customWidth="1"/>
    <col min="1301" max="1301" width="14.42578125" style="1" customWidth="1"/>
    <col min="1302" max="1302" width="11.5703125" style="1" customWidth="1"/>
    <col min="1303" max="1536" width="11.5703125" style="1"/>
    <col min="1537" max="1537" width="37.7109375" style="1" customWidth="1"/>
    <col min="1538" max="1538" width="15.85546875" style="1" customWidth="1"/>
    <col min="1539" max="1540" width="10.85546875" style="1" customWidth="1"/>
    <col min="1541" max="1549" width="0" style="1" hidden="1" customWidth="1"/>
    <col min="1550" max="1550" width="13.7109375" style="1" customWidth="1"/>
    <col min="1551" max="1551" width="17.28515625" style="1" customWidth="1"/>
    <col min="1552" max="1552" width="16" style="1" customWidth="1"/>
    <col min="1553" max="1553" width="2" style="1" customWidth="1"/>
    <col min="1554" max="1554" width="12" style="1" customWidth="1"/>
    <col min="1555" max="1555" width="10.5703125" style="1" customWidth="1"/>
    <col min="1556" max="1556" width="1.7109375" style="1" customWidth="1"/>
    <col min="1557" max="1557" width="14.42578125" style="1" customWidth="1"/>
    <col min="1558" max="1558" width="11.5703125" style="1" customWidth="1"/>
    <col min="1559" max="1792" width="11.5703125" style="1"/>
    <col min="1793" max="1793" width="37.7109375" style="1" customWidth="1"/>
    <col min="1794" max="1794" width="15.85546875" style="1" customWidth="1"/>
    <col min="1795" max="1796" width="10.85546875" style="1" customWidth="1"/>
    <col min="1797" max="1805" width="0" style="1" hidden="1" customWidth="1"/>
    <col min="1806" max="1806" width="13.7109375" style="1" customWidth="1"/>
    <col min="1807" max="1807" width="17.28515625" style="1" customWidth="1"/>
    <col min="1808" max="1808" width="16" style="1" customWidth="1"/>
    <col min="1809" max="1809" width="2" style="1" customWidth="1"/>
    <col min="1810" max="1810" width="12" style="1" customWidth="1"/>
    <col min="1811" max="1811" width="10.5703125" style="1" customWidth="1"/>
    <col min="1812" max="1812" width="1.7109375" style="1" customWidth="1"/>
    <col min="1813" max="1813" width="14.42578125" style="1" customWidth="1"/>
    <col min="1814" max="1814" width="11.5703125" style="1" customWidth="1"/>
    <col min="1815" max="2048" width="11.5703125" style="1"/>
    <col min="2049" max="2049" width="37.7109375" style="1" customWidth="1"/>
    <col min="2050" max="2050" width="15.85546875" style="1" customWidth="1"/>
    <col min="2051" max="2052" width="10.85546875" style="1" customWidth="1"/>
    <col min="2053" max="2061" width="0" style="1" hidden="1" customWidth="1"/>
    <col min="2062" max="2062" width="13.7109375" style="1" customWidth="1"/>
    <col min="2063" max="2063" width="17.28515625" style="1" customWidth="1"/>
    <col min="2064" max="2064" width="16" style="1" customWidth="1"/>
    <col min="2065" max="2065" width="2" style="1" customWidth="1"/>
    <col min="2066" max="2066" width="12" style="1" customWidth="1"/>
    <col min="2067" max="2067" width="10.5703125" style="1" customWidth="1"/>
    <col min="2068" max="2068" width="1.7109375" style="1" customWidth="1"/>
    <col min="2069" max="2069" width="14.42578125" style="1" customWidth="1"/>
    <col min="2070" max="2070" width="11.5703125" style="1" customWidth="1"/>
    <col min="2071" max="2304" width="11.5703125" style="1"/>
    <col min="2305" max="2305" width="37.7109375" style="1" customWidth="1"/>
    <col min="2306" max="2306" width="15.85546875" style="1" customWidth="1"/>
    <col min="2307" max="2308" width="10.85546875" style="1" customWidth="1"/>
    <col min="2309" max="2317" width="0" style="1" hidden="1" customWidth="1"/>
    <col min="2318" max="2318" width="13.7109375" style="1" customWidth="1"/>
    <col min="2319" max="2319" width="17.28515625" style="1" customWidth="1"/>
    <col min="2320" max="2320" width="16" style="1" customWidth="1"/>
    <col min="2321" max="2321" width="2" style="1" customWidth="1"/>
    <col min="2322" max="2322" width="12" style="1" customWidth="1"/>
    <col min="2323" max="2323" width="10.5703125" style="1" customWidth="1"/>
    <col min="2324" max="2324" width="1.7109375" style="1" customWidth="1"/>
    <col min="2325" max="2325" width="14.42578125" style="1" customWidth="1"/>
    <col min="2326" max="2326" width="11.5703125" style="1" customWidth="1"/>
    <col min="2327" max="2560" width="11.5703125" style="1"/>
    <col min="2561" max="2561" width="37.7109375" style="1" customWidth="1"/>
    <col min="2562" max="2562" width="15.85546875" style="1" customWidth="1"/>
    <col min="2563" max="2564" width="10.85546875" style="1" customWidth="1"/>
    <col min="2565" max="2573" width="0" style="1" hidden="1" customWidth="1"/>
    <col min="2574" max="2574" width="13.7109375" style="1" customWidth="1"/>
    <col min="2575" max="2575" width="17.28515625" style="1" customWidth="1"/>
    <col min="2576" max="2576" width="16" style="1" customWidth="1"/>
    <col min="2577" max="2577" width="2" style="1" customWidth="1"/>
    <col min="2578" max="2578" width="12" style="1" customWidth="1"/>
    <col min="2579" max="2579" width="10.5703125" style="1" customWidth="1"/>
    <col min="2580" max="2580" width="1.7109375" style="1" customWidth="1"/>
    <col min="2581" max="2581" width="14.42578125" style="1" customWidth="1"/>
    <col min="2582" max="2582" width="11.5703125" style="1" customWidth="1"/>
    <col min="2583" max="2816" width="11.5703125" style="1"/>
    <col min="2817" max="2817" width="37.7109375" style="1" customWidth="1"/>
    <col min="2818" max="2818" width="15.85546875" style="1" customWidth="1"/>
    <col min="2819" max="2820" width="10.85546875" style="1" customWidth="1"/>
    <col min="2821" max="2829" width="0" style="1" hidden="1" customWidth="1"/>
    <col min="2830" max="2830" width="13.7109375" style="1" customWidth="1"/>
    <col min="2831" max="2831" width="17.28515625" style="1" customWidth="1"/>
    <col min="2832" max="2832" width="16" style="1" customWidth="1"/>
    <col min="2833" max="2833" width="2" style="1" customWidth="1"/>
    <col min="2834" max="2834" width="12" style="1" customWidth="1"/>
    <col min="2835" max="2835" width="10.5703125" style="1" customWidth="1"/>
    <col min="2836" max="2836" width="1.7109375" style="1" customWidth="1"/>
    <col min="2837" max="2837" width="14.42578125" style="1" customWidth="1"/>
    <col min="2838" max="2838" width="11.5703125" style="1" customWidth="1"/>
    <col min="2839" max="3072" width="11.5703125" style="1"/>
    <col min="3073" max="3073" width="37.7109375" style="1" customWidth="1"/>
    <col min="3074" max="3074" width="15.85546875" style="1" customWidth="1"/>
    <col min="3075" max="3076" width="10.85546875" style="1" customWidth="1"/>
    <col min="3077" max="3085" width="0" style="1" hidden="1" customWidth="1"/>
    <col min="3086" max="3086" width="13.7109375" style="1" customWidth="1"/>
    <col min="3087" max="3087" width="17.28515625" style="1" customWidth="1"/>
    <col min="3088" max="3088" width="16" style="1" customWidth="1"/>
    <col min="3089" max="3089" width="2" style="1" customWidth="1"/>
    <col min="3090" max="3090" width="12" style="1" customWidth="1"/>
    <col min="3091" max="3091" width="10.5703125" style="1" customWidth="1"/>
    <col min="3092" max="3092" width="1.7109375" style="1" customWidth="1"/>
    <col min="3093" max="3093" width="14.42578125" style="1" customWidth="1"/>
    <col min="3094" max="3094" width="11.5703125" style="1" customWidth="1"/>
    <col min="3095" max="3328" width="11.5703125" style="1"/>
    <col min="3329" max="3329" width="37.7109375" style="1" customWidth="1"/>
    <col min="3330" max="3330" width="15.85546875" style="1" customWidth="1"/>
    <col min="3331" max="3332" width="10.85546875" style="1" customWidth="1"/>
    <col min="3333" max="3341" width="0" style="1" hidden="1" customWidth="1"/>
    <col min="3342" max="3342" width="13.7109375" style="1" customWidth="1"/>
    <col min="3343" max="3343" width="17.28515625" style="1" customWidth="1"/>
    <col min="3344" max="3344" width="16" style="1" customWidth="1"/>
    <col min="3345" max="3345" width="2" style="1" customWidth="1"/>
    <col min="3346" max="3346" width="12" style="1" customWidth="1"/>
    <col min="3347" max="3347" width="10.5703125" style="1" customWidth="1"/>
    <col min="3348" max="3348" width="1.7109375" style="1" customWidth="1"/>
    <col min="3349" max="3349" width="14.42578125" style="1" customWidth="1"/>
    <col min="3350" max="3350" width="11.5703125" style="1" customWidth="1"/>
    <col min="3351" max="3584" width="11.5703125" style="1"/>
    <col min="3585" max="3585" width="37.7109375" style="1" customWidth="1"/>
    <col min="3586" max="3586" width="15.85546875" style="1" customWidth="1"/>
    <col min="3587" max="3588" width="10.85546875" style="1" customWidth="1"/>
    <col min="3589" max="3597" width="0" style="1" hidden="1" customWidth="1"/>
    <col min="3598" max="3598" width="13.7109375" style="1" customWidth="1"/>
    <col min="3599" max="3599" width="17.28515625" style="1" customWidth="1"/>
    <col min="3600" max="3600" width="16" style="1" customWidth="1"/>
    <col min="3601" max="3601" width="2" style="1" customWidth="1"/>
    <col min="3602" max="3602" width="12" style="1" customWidth="1"/>
    <col min="3603" max="3603" width="10.5703125" style="1" customWidth="1"/>
    <col min="3604" max="3604" width="1.7109375" style="1" customWidth="1"/>
    <col min="3605" max="3605" width="14.42578125" style="1" customWidth="1"/>
    <col min="3606" max="3606" width="11.5703125" style="1" customWidth="1"/>
    <col min="3607" max="3840" width="11.5703125" style="1"/>
    <col min="3841" max="3841" width="37.7109375" style="1" customWidth="1"/>
    <col min="3842" max="3842" width="15.85546875" style="1" customWidth="1"/>
    <col min="3843" max="3844" width="10.85546875" style="1" customWidth="1"/>
    <col min="3845" max="3853" width="0" style="1" hidden="1" customWidth="1"/>
    <col min="3854" max="3854" width="13.7109375" style="1" customWidth="1"/>
    <col min="3855" max="3855" width="17.28515625" style="1" customWidth="1"/>
    <col min="3856" max="3856" width="16" style="1" customWidth="1"/>
    <col min="3857" max="3857" width="2" style="1" customWidth="1"/>
    <col min="3858" max="3858" width="12" style="1" customWidth="1"/>
    <col min="3859" max="3859" width="10.5703125" style="1" customWidth="1"/>
    <col min="3860" max="3860" width="1.7109375" style="1" customWidth="1"/>
    <col min="3861" max="3861" width="14.42578125" style="1" customWidth="1"/>
    <col min="3862" max="3862" width="11.5703125" style="1" customWidth="1"/>
    <col min="3863" max="4096" width="11.5703125" style="1"/>
    <col min="4097" max="4097" width="37.7109375" style="1" customWidth="1"/>
    <col min="4098" max="4098" width="15.85546875" style="1" customWidth="1"/>
    <col min="4099" max="4100" width="10.85546875" style="1" customWidth="1"/>
    <col min="4101" max="4109" width="0" style="1" hidden="1" customWidth="1"/>
    <col min="4110" max="4110" width="13.7109375" style="1" customWidth="1"/>
    <col min="4111" max="4111" width="17.28515625" style="1" customWidth="1"/>
    <col min="4112" max="4112" width="16" style="1" customWidth="1"/>
    <col min="4113" max="4113" width="2" style="1" customWidth="1"/>
    <col min="4114" max="4114" width="12" style="1" customWidth="1"/>
    <col min="4115" max="4115" width="10.5703125" style="1" customWidth="1"/>
    <col min="4116" max="4116" width="1.7109375" style="1" customWidth="1"/>
    <col min="4117" max="4117" width="14.42578125" style="1" customWidth="1"/>
    <col min="4118" max="4118" width="11.5703125" style="1" customWidth="1"/>
    <col min="4119" max="4352" width="11.5703125" style="1"/>
    <col min="4353" max="4353" width="37.7109375" style="1" customWidth="1"/>
    <col min="4354" max="4354" width="15.85546875" style="1" customWidth="1"/>
    <col min="4355" max="4356" width="10.85546875" style="1" customWidth="1"/>
    <col min="4357" max="4365" width="0" style="1" hidden="1" customWidth="1"/>
    <col min="4366" max="4366" width="13.7109375" style="1" customWidth="1"/>
    <col min="4367" max="4367" width="17.28515625" style="1" customWidth="1"/>
    <col min="4368" max="4368" width="16" style="1" customWidth="1"/>
    <col min="4369" max="4369" width="2" style="1" customWidth="1"/>
    <col min="4370" max="4370" width="12" style="1" customWidth="1"/>
    <col min="4371" max="4371" width="10.5703125" style="1" customWidth="1"/>
    <col min="4372" max="4372" width="1.7109375" style="1" customWidth="1"/>
    <col min="4373" max="4373" width="14.42578125" style="1" customWidth="1"/>
    <col min="4374" max="4374" width="11.5703125" style="1" customWidth="1"/>
    <col min="4375" max="4608" width="11.5703125" style="1"/>
    <col min="4609" max="4609" width="37.7109375" style="1" customWidth="1"/>
    <col min="4610" max="4610" width="15.85546875" style="1" customWidth="1"/>
    <col min="4611" max="4612" width="10.85546875" style="1" customWidth="1"/>
    <col min="4613" max="4621" width="0" style="1" hidden="1" customWidth="1"/>
    <col min="4622" max="4622" width="13.7109375" style="1" customWidth="1"/>
    <col min="4623" max="4623" width="17.28515625" style="1" customWidth="1"/>
    <col min="4624" max="4624" width="16" style="1" customWidth="1"/>
    <col min="4625" max="4625" width="2" style="1" customWidth="1"/>
    <col min="4626" max="4626" width="12" style="1" customWidth="1"/>
    <col min="4627" max="4627" width="10.5703125" style="1" customWidth="1"/>
    <col min="4628" max="4628" width="1.7109375" style="1" customWidth="1"/>
    <col min="4629" max="4629" width="14.42578125" style="1" customWidth="1"/>
    <col min="4630" max="4630" width="11.5703125" style="1" customWidth="1"/>
    <col min="4631" max="4864" width="11.5703125" style="1"/>
    <col min="4865" max="4865" width="37.7109375" style="1" customWidth="1"/>
    <col min="4866" max="4866" width="15.85546875" style="1" customWidth="1"/>
    <col min="4867" max="4868" width="10.85546875" style="1" customWidth="1"/>
    <col min="4869" max="4877" width="0" style="1" hidden="1" customWidth="1"/>
    <col min="4878" max="4878" width="13.7109375" style="1" customWidth="1"/>
    <col min="4879" max="4879" width="17.28515625" style="1" customWidth="1"/>
    <col min="4880" max="4880" width="16" style="1" customWidth="1"/>
    <col min="4881" max="4881" width="2" style="1" customWidth="1"/>
    <col min="4882" max="4882" width="12" style="1" customWidth="1"/>
    <col min="4883" max="4883" width="10.5703125" style="1" customWidth="1"/>
    <col min="4884" max="4884" width="1.7109375" style="1" customWidth="1"/>
    <col min="4885" max="4885" width="14.42578125" style="1" customWidth="1"/>
    <col min="4886" max="4886" width="11.5703125" style="1" customWidth="1"/>
    <col min="4887" max="5120" width="11.5703125" style="1"/>
    <col min="5121" max="5121" width="37.7109375" style="1" customWidth="1"/>
    <col min="5122" max="5122" width="15.85546875" style="1" customWidth="1"/>
    <col min="5123" max="5124" width="10.85546875" style="1" customWidth="1"/>
    <col min="5125" max="5133" width="0" style="1" hidden="1" customWidth="1"/>
    <col min="5134" max="5134" width="13.7109375" style="1" customWidth="1"/>
    <col min="5135" max="5135" width="17.28515625" style="1" customWidth="1"/>
    <col min="5136" max="5136" width="16" style="1" customWidth="1"/>
    <col min="5137" max="5137" width="2" style="1" customWidth="1"/>
    <col min="5138" max="5138" width="12" style="1" customWidth="1"/>
    <col min="5139" max="5139" width="10.5703125" style="1" customWidth="1"/>
    <col min="5140" max="5140" width="1.7109375" style="1" customWidth="1"/>
    <col min="5141" max="5141" width="14.42578125" style="1" customWidth="1"/>
    <col min="5142" max="5142" width="11.5703125" style="1" customWidth="1"/>
    <col min="5143" max="5376" width="11.5703125" style="1"/>
    <col min="5377" max="5377" width="37.7109375" style="1" customWidth="1"/>
    <col min="5378" max="5378" width="15.85546875" style="1" customWidth="1"/>
    <col min="5379" max="5380" width="10.85546875" style="1" customWidth="1"/>
    <col min="5381" max="5389" width="0" style="1" hidden="1" customWidth="1"/>
    <col min="5390" max="5390" width="13.7109375" style="1" customWidth="1"/>
    <col min="5391" max="5391" width="17.28515625" style="1" customWidth="1"/>
    <col min="5392" max="5392" width="16" style="1" customWidth="1"/>
    <col min="5393" max="5393" width="2" style="1" customWidth="1"/>
    <col min="5394" max="5394" width="12" style="1" customWidth="1"/>
    <col min="5395" max="5395" width="10.5703125" style="1" customWidth="1"/>
    <col min="5396" max="5396" width="1.7109375" style="1" customWidth="1"/>
    <col min="5397" max="5397" width="14.42578125" style="1" customWidth="1"/>
    <col min="5398" max="5398" width="11.5703125" style="1" customWidth="1"/>
    <col min="5399" max="5632" width="11.5703125" style="1"/>
    <col min="5633" max="5633" width="37.7109375" style="1" customWidth="1"/>
    <col min="5634" max="5634" width="15.85546875" style="1" customWidth="1"/>
    <col min="5635" max="5636" width="10.85546875" style="1" customWidth="1"/>
    <col min="5637" max="5645" width="0" style="1" hidden="1" customWidth="1"/>
    <col min="5646" max="5646" width="13.7109375" style="1" customWidth="1"/>
    <col min="5647" max="5647" width="17.28515625" style="1" customWidth="1"/>
    <col min="5648" max="5648" width="16" style="1" customWidth="1"/>
    <col min="5649" max="5649" width="2" style="1" customWidth="1"/>
    <col min="5650" max="5650" width="12" style="1" customWidth="1"/>
    <col min="5651" max="5651" width="10.5703125" style="1" customWidth="1"/>
    <col min="5652" max="5652" width="1.7109375" style="1" customWidth="1"/>
    <col min="5653" max="5653" width="14.42578125" style="1" customWidth="1"/>
    <col min="5654" max="5654" width="11.5703125" style="1" customWidth="1"/>
    <col min="5655" max="5888" width="11.5703125" style="1"/>
    <col min="5889" max="5889" width="37.7109375" style="1" customWidth="1"/>
    <col min="5890" max="5890" width="15.85546875" style="1" customWidth="1"/>
    <col min="5891" max="5892" width="10.85546875" style="1" customWidth="1"/>
    <col min="5893" max="5901" width="0" style="1" hidden="1" customWidth="1"/>
    <col min="5902" max="5902" width="13.7109375" style="1" customWidth="1"/>
    <col min="5903" max="5903" width="17.28515625" style="1" customWidth="1"/>
    <col min="5904" max="5904" width="16" style="1" customWidth="1"/>
    <col min="5905" max="5905" width="2" style="1" customWidth="1"/>
    <col min="5906" max="5906" width="12" style="1" customWidth="1"/>
    <col min="5907" max="5907" width="10.5703125" style="1" customWidth="1"/>
    <col min="5908" max="5908" width="1.7109375" style="1" customWidth="1"/>
    <col min="5909" max="5909" width="14.42578125" style="1" customWidth="1"/>
    <col min="5910" max="5910" width="11.5703125" style="1" customWidth="1"/>
    <col min="5911" max="6144" width="11.5703125" style="1"/>
    <col min="6145" max="6145" width="37.7109375" style="1" customWidth="1"/>
    <col min="6146" max="6146" width="15.85546875" style="1" customWidth="1"/>
    <col min="6147" max="6148" width="10.85546875" style="1" customWidth="1"/>
    <col min="6149" max="6157" width="0" style="1" hidden="1" customWidth="1"/>
    <col min="6158" max="6158" width="13.7109375" style="1" customWidth="1"/>
    <col min="6159" max="6159" width="17.28515625" style="1" customWidth="1"/>
    <col min="6160" max="6160" width="16" style="1" customWidth="1"/>
    <col min="6161" max="6161" width="2" style="1" customWidth="1"/>
    <col min="6162" max="6162" width="12" style="1" customWidth="1"/>
    <col min="6163" max="6163" width="10.5703125" style="1" customWidth="1"/>
    <col min="6164" max="6164" width="1.7109375" style="1" customWidth="1"/>
    <col min="6165" max="6165" width="14.42578125" style="1" customWidth="1"/>
    <col min="6166" max="6166" width="11.5703125" style="1" customWidth="1"/>
    <col min="6167" max="6400" width="11.5703125" style="1"/>
    <col min="6401" max="6401" width="37.7109375" style="1" customWidth="1"/>
    <col min="6402" max="6402" width="15.85546875" style="1" customWidth="1"/>
    <col min="6403" max="6404" width="10.85546875" style="1" customWidth="1"/>
    <col min="6405" max="6413" width="0" style="1" hidden="1" customWidth="1"/>
    <col min="6414" max="6414" width="13.7109375" style="1" customWidth="1"/>
    <col min="6415" max="6415" width="17.28515625" style="1" customWidth="1"/>
    <col min="6416" max="6416" width="16" style="1" customWidth="1"/>
    <col min="6417" max="6417" width="2" style="1" customWidth="1"/>
    <col min="6418" max="6418" width="12" style="1" customWidth="1"/>
    <col min="6419" max="6419" width="10.5703125" style="1" customWidth="1"/>
    <col min="6420" max="6420" width="1.7109375" style="1" customWidth="1"/>
    <col min="6421" max="6421" width="14.42578125" style="1" customWidth="1"/>
    <col min="6422" max="6422" width="11.5703125" style="1" customWidth="1"/>
    <col min="6423" max="6656" width="11.5703125" style="1"/>
    <col min="6657" max="6657" width="37.7109375" style="1" customWidth="1"/>
    <col min="6658" max="6658" width="15.85546875" style="1" customWidth="1"/>
    <col min="6659" max="6660" width="10.85546875" style="1" customWidth="1"/>
    <col min="6661" max="6669" width="0" style="1" hidden="1" customWidth="1"/>
    <col min="6670" max="6670" width="13.7109375" style="1" customWidth="1"/>
    <col min="6671" max="6671" width="17.28515625" style="1" customWidth="1"/>
    <col min="6672" max="6672" width="16" style="1" customWidth="1"/>
    <col min="6673" max="6673" width="2" style="1" customWidth="1"/>
    <col min="6674" max="6674" width="12" style="1" customWidth="1"/>
    <col min="6675" max="6675" width="10.5703125" style="1" customWidth="1"/>
    <col min="6676" max="6676" width="1.7109375" style="1" customWidth="1"/>
    <col min="6677" max="6677" width="14.42578125" style="1" customWidth="1"/>
    <col min="6678" max="6678" width="11.5703125" style="1" customWidth="1"/>
    <col min="6679" max="6912" width="11.5703125" style="1"/>
    <col min="6913" max="6913" width="37.7109375" style="1" customWidth="1"/>
    <col min="6914" max="6914" width="15.85546875" style="1" customWidth="1"/>
    <col min="6915" max="6916" width="10.85546875" style="1" customWidth="1"/>
    <col min="6917" max="6925" width="0" style="1" hidden="1" customWidth="1"/>
    <col min="6926" max="6926" width="13.7109375" style="1" customWidth="1"/>
    <col min="6927" max="6927" width="17.28515625" style="1" customWidth="1"/>
    <col min="6928" max="6928" width="16" style="1" customWidth="1"/>
    <col min="6929" max="6929" width="2" style="1" customWidth="1"/>
    <col min="6930" max="6930" width="12" style="1" customWidth="1"/>
    <col min="6931" max="6931" width="10.5703125" style="1" customWidth="1"/>
    <col min="6932" max="6932" width="1.7109375" style="1" customWidth="1"/>
    <col min="6933" max="6933" width="14.42578125" style="1" customWidth="1"/>
    <col min="6934" max="6934" width="11.5703125" style="1" customWidth="1"/>
    <col min="6935" max="7168" width="11.5703125" style="1"/>
    <col min="7169" max="7169" width="37.7109375" style="1" customWidth="1"/>
    <col min="7170" max="7170" width="15.85546875" style="1" customWidth="1"/>
    <col min="7171" max="7172" width="10.85546875" style="1" customWidth="1"/>
    <col min="7173" max="7181" width="0" style="1" hidden="1" customWidth="1"/>
    <col min="7182" max="7182" width="13.7109375" style="1" customWidth="1"/>
    <col min="7183" max="7183" width="17.28515625" style="1" customWidth="1"/>
    <col min="7184" max="7184" width="16" style="1" customWidth="1"/>
    <col min="7185" max="7185" width="2" style="1" customWidth="1"/>
    <col min="7186" max="7186" width="12" style="1" customWidth="1"/>
    <col min="7187" max="7187" width="10.5703125" style="1" customWidth="1"/>
    <col min="7188" max="7188" width="1.7109375" style="1" customWidth="1"/>
    <col min="7189" max="7189" width="14.42578125" style="1" customWidth="1"/>
    <col min="7190" max="7190" width="11.5703125" style="1" customWidth="1"/>
    <col min="7191" max="7424" width="11.5703125" style="1"/>
    <col min="7425" max="7425" width="37.7109375" style="1" customWidth="1"/>
    <col min="7426" max="7426" width="15.85546875" style="1" customWidth="1"/>
    <col min="7427" max="7428" width="10.85546875" style="1" customWidth="1"/>
    <col min="7429" max="7437" width="0" style="1" hidden="1" customWidth="1"/>
    <col min="7438" max="7438" width="13.7109375" style="1" customWidth="1"/>
    <col min="7439" max="7439" width="17.28515625" style="1" customWidth="1"/>
    <col min="7440" max="7440" width="16" style="1" customWidth="1"/>
    <col min="7441" max="7441" width="2" style="1" customWidth="1"/>
    <col min="7442" max="7442" width="12" style="1" customWidth="1"/>
    <col min="7443" max="7443" width="10.5703125" style="1" customWidth="1"/>
    <col min="7444" max="7444" width="1.7109375" style="1" customWidth="1"/>
    <col min="7445" max="7445" width="14.42578125" style="1" customWidth="1"/>
    <col min="7446" max="7446" width="11.5703125" style="1" customWidth="1"/>
    <col min="7447" max="7680" width="11.5703125" style="1"/>
    <col min="7681" max="7681" width="37.7109375" style="1" customWidth="1"/>
    <col min="7682" max="7682" width="15.85546875" style="1" customWidth="1"/>
    <col min="7683" max="7684" width="10.85546875" style="1" customWidth="1"/>
    <col min="7685" max="7693" width="0" style="1" hidden="1" customWidth="1"/>
    <col min="7694" max="7694" width="13.7109375" style="1" customWidth="1"/>
    <col min="7695" max="7695" width="17.28515625" style="1" customWidth="1"/>
    <col min="7696" max="7696" width="16" style="1" customWidth="1"/>
    <col min="7697" max="7697" width="2" style="1" customWidth="1"/>
    <col min="7698" max="7698" width="12" style="1" customWidth="1"/>
    <col min="7699" max="7699" width="10.5703125" style="1" customWidth="1"/>
    <col min="7700" max="7700" width="1.7109375" style="1" customWidth="1"/>
    <col min="7701" max="7701" width="14.42578125" style="1" customWidth="1"/>
    <col min="7702" max="7702" width="11.5703125" style="1" customWidth="1"/>
    <col min="7703" max="7936" width="11.5703125" style="1"/>
    <col min="7937" max="7937" width="37.7109375" style="1" customWidth="1"/>
    <col min="7938" max="7938" width="15.85546875" style="1" customWidth="1"/>
    <col min="7939" max="7940" width="10.85546875" style="1" customWidth="1"/>
    <col min="7941" max="7949" width="0" style="1" hidden="1" customWidth="1"/>
    <col min="7950" max="7950" width="13.7109375" style="1" customWidth="1"/>
    <col min="7951" max="7951" width="17.28515625" style="1" customWidth="1"/>
    <col min="7952" max="7952" width="16" style="1" customWidth="1"/>
    <col min="7953" max="7953" width="2" style="1" customWidth="1"/>
    <col min="7954" max="7954" width="12" style="1" customWidth="1"/>
    <col min="7955" max="7955" width="10.5703125" style="1" customWidth="1"/>
    <col min="7956" max="7956" width="1.7109375" style="1" customWidth="1"/>
    <col min="7957" max="7957" width="14.42578125" style="1" customWidth="1"/>
    <col min="7958" max="7958" width="11.5703125" style="1" customWidth="1"/>
    <col min="7959" max="8192" width="11.5703125" style="1"/>
    <col min="8193" max="8193" width="37.7109375" style="1" customWidth="1"/>
    <col min="8194" max="8194" width="15.85546875" style="1" customWidth="1"/>
    <col min="8195" max="8196" width="10.85546875" style="1" customWidth="1"/>
    <col min="8197" max="8205" width="0" style="1" hidden="1" customWidth="1"/>
    <col min="8206" max="8206" width="13.7109375" style="1" customWidth="1"/>
    <col min="8207" max="8207" width="17.28515625" style="1" customWidth="1"/>
    <col min="8208" max="8208" width="16" style="1" customWidth="1"/>
    <col min="8209" max="8209" width="2" style="1" customWidth="1"/>
    <col min="8210" max="8210" width="12" style="1" customWidth="1"/>
    <col min="8211" max="8211" width="10.5703125" style="1" customWidth="1"/>
    <col min="8212" max="8212" width="1.7109375" style="1" customWidth="1"/>
    <col min="8213" max="8213" width="14.42578125" style="1" customWidth="1"/>
    <col min="8214" max="8214" width="11.5703125" style="1" customWidth="1"/>
    <col min="8215" max="8448" width="11.5703125" style="1"/>
    <col min="8449" max="8449" width="37.7109375" style="1" customWidth="1"/>
    <col min="8450" max="8450" width="15.85546875" style="1" customWidth="1"/>
    <col min="8451" max="8452" width="10.85546875" style="1" customWidth="1"/>
    <col min="8453" max="8461" width="0" style="1" hidden="1" customWidth="1"/>
    <col min="8462" max="8462" width="13.7109375" style="1" customWidth="1"/>
    <col min="8463" max="8463" width="17.28515625" style="1" customWidth="1"/>
    <col min="8464" max="8464" width="16" style="1" customWidth="1"/>
    <col min="8465" max="8465" width="2" style="1" customWidth="1"/>
    <col min="8466" max="8466" width="12" style="1" customWidth="1"/>
    <col min="8467" max="8467" width="10.5703125" style="1" customWidth="1"/>
    <col min="8468" max="8468" width="1.7109375" style="1" customWidth="1"/>
    <col min="8469" max="8469" width="14.42578125" style="1" customWidth="1"/>
    <col min="8470" max="8470" width="11.5703125" style="1" customWidth="1"/>
    <col min="8471" max="8704" width="11.5703125" style="1"/>
    <col min="8705" max="8705" width="37.7109375" style="1" customWidth="1"/>
    <col min="8706" max="8706" width="15.85546875" style="1" customWidth="1"/>
    <col min="8707" max="8708" width="10.85546875" style="1" customWidth="1"/>
    <col min="8709" max="8717" width="0" style="1" hidden="1" customWidth="1"/>
    <col min="8718" max="8718" width="13.7109375" style="1" customWidth="1"/>
    <col min="8719" max="8719" width="17.28515625" style="1" customWidth="1"/>
    <col min="8720" max="8720" width="16" style="1" customWidth="1"/>
    <col min="8721" max="8721" width="2" style="1" customWidth="1"/>
    <col min="8722" max="8722" width="12" style="1" customWidth="1"/>
    <col min="8723" max="8723" width="10.5703125" style="1" customWidth="1"/>
    <col min="8724" max="8724" width="1.7109375" style="1" customWidth="1"/>
    <col min="8725" max="8725" width="14.42578125" style="1" customWidth="1"/>
    <col min="8726" max="8726" width="11.5703125" style="1" customWidth="1"/>
    <col min="8727" max="8960" width="11.5703125" style="1"/>
    <col min="8961" max="8961" width="37.7109375" style="1" customWidth="1"/>
    <col min="8962" max="8962" width="15.85546875" style="1" customWidth="1"/>
    <col min="8963" max="8964" width="10.85546875" style="1" customWidth="1"/>
    <col min="8965" max="8973" width="0" style="1" hidden="1" customWidth="1"/>
    <col min="8974" max="8974" width="13.7109375" style="1" customWidth="1"/>
    <col min="8975" max="8975" width="17.28515625" style="1" customWidth="1"/>
    <col min="8976" max="8976" width="16" style="1" customWidth="1"/>
    <col min="8977" max="8977" width="2" style="1" customWidth="1"/>
    <col min="8978" max="8978" width="12" style="1" customWidth="1"/>
    <col min="8979" max="8979" width="10.5703125" style="1" customWidth="1"/>
    <col min="8980" max="8980" width="1.7109375" style="1" customWidth="1"/>
    <col min="8981" max="8981" width="14.42578125" style="1" customWidth="1"/>
    <col min="8982" max="8982" width="11.5703125" style="1" customWidth="1"/>
    <col min="8983" max="9216" width="11.5703125" style="1"/>
    <col min="9217" max="9217" width="37.7109375" style="1" customWidth="1"/>
    <col min="9218" max="9218" width="15.85546875" style="1" customWidth="1"/>
    <col min="9219" max="9220" width="10.85546875" style="1" customWidth="1"/>
    <col min="9221" max="9229" width="0" style="1" hidden="1" customWidth="1"/>
    <col min="9230" max="9230" width="13.7109375" style="1" customWidth="1"/>
    <col min="9231" max="9231" width="17.28515625" style="1" customWidth="1"/>
    <col min="9232" max="9232" width="16" style="1" customWidth="1"/>
    <col min="9233" max="9233" width="2" style="1" customWidth="1"/>
    <col min="9234" max="9234" width="12" style="1" customWidth="1"/>
    <col min="9235" max="9235" width="10.5703125" style="1" customWidth="1"/>
    <col min="9236" max="9236" width="1.7109375" style="1" customWidth="1"/>
    <col min="9237" max="9237" width="14.42578125" style="1" customWidth="1"/>
    <col min="9238" max="9238" width="11.5703125" style="1" customWidth="1"/>
    <col min="9239" max="9472" width="11.5703125" style="1"/>
    <col min="9473" max="9473" width="37.7109375" style="1" customWidth="1"/>
    <col min="9474" max="9474" width="15.85546875" style="1" customWidth="1"/>
    <col min="9475" max="9476" width="10.85546875" style="1" customWidth="1"/>
    <col min="9477" max="9485" width="0" style="1" hidden="1" customWidth="1"/>
    <col min="9486" max="9486" width="13.7109375" style="1" customWidth="1"/>
    <col min="9487" max="9487" width="17.28515625" style="1" customWidth="1"/>
    <col min="9488" max="9488" width="16" style="1" customWidth="1"/>
    <col min="9489" max="9489" width="2" style="1" customWidth="1"/>
    <col min="9490" max="9490" width="12" style="1" customWidth="1"/>
    <col min="9491" max="9491" width="10.5703125" style="1" customWidth="1"/>
    <col min="9492" max="9492" width="1.7109375" style="1" customWidth="1"/>
    <col min="9493" max="9493" width="14.42578125" style="1" customWidth="1"/>
    <col min="9494" max="9494" width="11.5703125" style="1" customWidth="1"/>
    <col min="9495" max="9728" width="11.5703125" style="1"/>
    <col min="9729" max="9729" width="37.7109375" style="1" customWidth="1"/>
    <col min="9730" max="9730" width="15.85546875" style="1" customWidth="1"/>
    <col min="9731" max="9732" width="10.85546875" style="1" customWidth="1"/>
    <col min="9733" max="9741" width="0" style="1" hidden="1" customWidth="1"/>
    <col min="9742" max="9742" width="13.7109375" style="1" customWidth="1"/>
    <col min="9743" max="9743" width="17.28515625" style="1" customWidth="1"/>
    <col min="9744" max="9744" width="16" style="1" customWidth="1"/>
    <col min="9745" max="9745" width="2" style="1" customWidth="1"/>
    <col min="9746" max="9746" width="12" style="1" customWidth="1"/>
    <col min="9747" max="9747" width="10.5703125" style="1" customWidth="1"/>
    <col min="9748" max="9748" width="1.7109375" style="1" customWidth="1"/>
    <col min="9749" max="9749" width="14.42578125" style="1" customWidth="1"/>
    <col min="9750" max="9750" width="11.5703125" style="1" customWidth="1"/>
    <col min="9751" max="9984" width="11.5703125" style="1"/>
    <col min="9985" max="9985" width="37.7109375" style="1" customWidth="1"/>
    <col min="9986" max="9986" width="15.85546875" style="1" customWidth="1"/>
    <col min="9987" max="9988" width="10.85546875" style="1" customWidth="1"/>
    <col min="9989" max="9997" width="0" style="1" hidden="1" customWidth="1"/>
    <col min="9998" max="9998" width="13.7109375" style="1" customWidth="1"/>
    <col min="9999" max="9999" width="17.28515625" style="1" customWidth="1"/>
    <col min="10000" max="10000" width="16" style="1" customWidth="1"/>
    <col min="10001" max="10001" width="2" style="1" customWidth="1"/>
    <col min="10002" max="10002" width="12" style="1" customWidth="1"/>
    <col min="10003" max="10003" width="10.5703125" style="1" customWidth="1"/>
    <col min="10004" max="10004" width="1.7109375" style="1" customWidth="1"/>
    <col min="10005" max="10005" width="14.42578125" style="1" customWidth="1"/>
    <col min="10006" max="10006" width="11.5703125" style="1" customWidth="1"/>
    <col min="10007" max="10240" width="11.5703125" style="1"/>
    <col min="10241" max="10241" width="37.7109375" style="1" customWidth="1"/>
    <col min="10242" max="10242" width="15.85546875" style="1" customWidth="1"/>
    <col min="10243" max="10244" width="10.85546875" style="1" customWidth="1"/>
    <col min="10245" max="10253" width="0" style="1" hidden="1" customWidth="1"/>
    <col min="10254" max="10254" width="13.7109375" style="1" customWidth="1"/>
    <col min="10255" max="10255" width="17.28515625" style="1" customWidth="1"/>
    <col min="10256" max="10256" width="16" style="1" customWidth="1"/>
    <col min="10257" max="10257" width="2" style="1" customWidth="1"/>
    <col min="10258" max="10258" width="12" style="1" customWidth="1"/>
    <col min="10259" max="10259" width="10.5703125" style="1" customWidth="1"/>
    <col min="10260" max="10260" width="1.7109375" style="1" customWidth="1"/>
    <col min="10261" max="10261" width="14.42578125" style="1" customWidth="1"/>
    <col min="10262" max="10262" width="11.5703125" style="1" customWidth="1"/>
    <col min="10263" max="10496" width="11.5703125" style="1"/>
    <col min="10497" max="10497" width="37.7109375" style="1" customWidth="1"/>
    <col min="10498" max="10498" width="15.85546875" style="1" customWidth="1"/>
    <col min="10499" max="10500" width="10.85546875" style="1" customWidth="1"/>
    <col min="10501" max="10509" width="0" style="1" hidden="1" customWidth="1"/>
    <col min="10510" max="10510" width="13.7109375" style="1" customWidth="1"/>
    <col min="10511" max="10511" width="17.28515625" style="1" customWidth="1"/>
    <col min="10512" max="10512" width="16" style="1" customWidth="1"/>
    <col min="10513" max="10513" width="2" style="1" customWidth="1"/>
    <col min="10514" max="10514" width="12" style="1" customWidth="1"/>
    <col min="10515" max="10515" width="10.5703125" style="1" customWidth="1"/>
    <col min="10516" max="10516" width="1.7109375" style="1" customWidth="1"/>
    <col min="10517" max="10517" width="14.42578125" style="1" customWidth="1"/>
    <col min="10518" max="10518" width="11.5703125" style="1" customWidth="1"/>
    <col min="10519" max="10752" width="11.5703125" style="1"/>
    <col min="10753" max="10753" width="37.7109375" style="1" customWidth="1"/>
    <col min="10754" max="10754" width="15.85546875" style="1" customWidth="1"/>
    <col min="10755" max="10756" width="10.85546875" style="1" customWidth="1"/>
    <col min="10757" max="10765" width="0" style="1" hidden="1" customWidth="1"/>
    <col min="10766" max="10766" width="13.7109375" style="1" customWidth="1"/>
    <col min="10767" max="10767" width="17.28515625" style="1" customWidth="1"/>
    <col min="10768" max="10768" width="16" style="1" customWidth="1"/>
    <col min="10769" max="10769" width="2" style="1" customWidth="1"/>
    <col min="10770" max="10770" width="12" style="1" customWidth="1"/>
    <col min="10771" max="10771" width="10.5703125" style="1" customWidth="1"/>
    <col min="10772" max="10772" width="1.7109375" style="1" customWidth="1"/>
    <col min="10773" max="10773" width="14.42578125" style="1" customWidth="1"/>
    <col min="10774" max="10774" width="11.5703125" style="1" customWidth="1"/>
    <col min="10775" max="11008" width="11.5703125" style="1"/>
    <col min="11009" max="11009" width="37.7109375" style="1" customWidth="1"/>
    <col min="11010" max="11010" width="15.85546875" style="1" customWidth="1"/>
    <col min="11011" max="11012" width="10.85546875" style="1" customWidth="1"/>
    <col min="11013" max="11021" width="0" style="1" hidden="1" customWidth="1"/>
    <col min="11022" max="11022" width="13.7109375" style="1" customWidth="1"/>
    <col min="11023" max="11023" width="17.28515625" style="1" customWidth="1"/>
    <col min="11024" max="11024" width="16" style="1" customWidth="1"/>
    <col min="11025" max="11025" width="2" style="1" customWidth="1"/>
    <col min="11026" max="11026" width="12" style="1" customWidth="1"/>
    <col min="11027" max="11027" width="10.5703125" style="1" customWidth="1"/>
    <col min="11028" max="11028" width="1.7109375" style="1" customWidth="1"/>
    <col min="11029" max="11029" width="14.42578125" style="1" customWidth="1"/>
    <col min="11030" max="11030" width="11.5703125" style="1" customWidth="1"/>
    <col min="11031" max="11264" width="11.5703125" style="1"/>
    <col min="11265" max="11265" width="37.7109375" style="1" customWidth="1"/>
    <col min="11266" max="11266" width="15.85546875" style="1" customWidth="1"/>
    <col min="11267" max="11268" width="10.85546875" style="1" customWidth="1"/>
    <col min="11269" max="11277" width="0" style="1" hidden="1" customWidth="1"/>
    <col min="11278" max="11278" width="13.7109375" style="1" customWidth="1"/>
    <col min="11279" max="11279" width="17.28515625" style="1" customWidth="1"/>
    <col min="11280" max="11280" width="16" style="1" customWidth="1"/>
    <col min="11281" max="11281" width="2" style="1" customWidth="1"/>
    <col min="11282" max="11282" width="12" style="1" customWidth="1"/>
    <col min="11283" max="11283" width="10.5703125" style="1" customWidth="1"/>
    <col min="11284" max="11284" width="1.7109375" style="1" customWidth="1"/>
    <col min="11285" max="11285" width="14.42578125" style="1" customWidth="1"/>
    <col min="11286" max="11286" width="11.5703125" style="1" customWidth="1"/>
    <col min="11287" max="11520" width="11.5703125" style="1"/>
    <col min="11521" max="11521" width="37.7109375" style="1" customWidth="1"/>
    <col min="11522" max="11522" width="15.85546875" style="1" customWidth="1"/>
    <col min="11523" max="11524" width="10.85546875" style="1" customWidth="1"/>
    <col min="11525" max="11533" width="0" style="1" hidden="1" customWidth="1"/>
    <col min="11534" max="11534" width="13.7109375" style="1" customWidth="1"/>
    <col min="11535" max="11535" width="17.28515625" style="1" customWidth="1"/>
    <col min="11536" max="11536" width="16" style="1" customWidth="1"/>
    <col min="11537" max="11537" width="2" style="1" customWidth="1"/>
    <col min="11538" max="11538" width="12" style="1" customWidth="1"/>
    <col min="11539" max="11539" width="10.5703125" style="1" customWidth="1"/>
    <col min="11540" max="11540" width="1.7109375" style="1" customWidth="1"/>
    <col min="11541" max="11541" width="14.42578125" style="1" customWidth="1"/>
    <col min="11542" max="11542" width="11.5703125" style="1" customWidth="1"/>
    <col min="11543" max="11776" width="11.5703125" style="1"/>
    <col min="11777" max="11777" width="37.7109375" style="1" customWidth="1"/>
    <col min="11778" max="11778" width="15.85546875" style="1" customWidth="1"/>
    <col min="11779" max="11780" width="10.85546875" style="1" customWidth="1"/>
    <col min="11781" max="11789" width="0" style="1" hidden="1" customWidth="1"/>
    <col min="11790" max="11790" width="13.7109375" style="1" customWidth="1"/>
    <col min="11791" max="11791" width="17.28515625" style="1" customWidth="1"/>
    <col min="11792" max="11792" width="16" style="1" customWidth="1"/>
    <col min="11793" max="11793" width="2" style="1" customWidth="1"/>
    <col min="11794" max="11794" width="12" style="1" customWidth="1"/>
    <col min="11795" max="11795" width="10.5703125" style="1" customWidth="1"/>
    <col min="11796" max="11796" width="1.7109375" style="1" customWidth="1"/>
    <col min="11797" max="11797" width="14.42578125" style="1" customWidth="1"/>
    <col min="11798" max="11798" width="11.5703125" style="1" customWidth="1"/>
    <col min="11799" max="12032" width="11.5703125" style="1"/>
    <col min="12033" max="12033" width="37.7109375" style="1" customWidth="1"/>
    <col min="12034" max="12034" width="15.85546875" style="1" customWidth="1"/>
    <col min="12035" max="12036" width="10.85546875" style="1" customWidth="1"/>
    <col min="12037" max="12045" width="0" style="1" hidden="1" customWidth="1"/>
    <col min="12046" max="12046" width="13.7109375" style="1" customWidth="1"/>
    <col min="12047" max="12047" width="17.28515625" style="1" customWidth="1"/>
    <col min="12048" max="12048" width="16" style="1" customWidth="1"/>
    <col min="12049" max="12049" width="2" style="1" customWidth="1"/>
    <col min="12050" max="12050" width="12" style="1" customWidth="1"/>
    <col min="12051" max="12051" width="10.5703125" style="1" customWidth="1"/>
    <col min="12052" max="12052" width="1.7109375" style="1" customWidth="1"/>
    <col min="12053" max="12053" width="14.42578125" style="1" customWidth="1"/>
    <col min="12054" max="12054" width="11.5703125" style="1" customWidth="1"/>
    <col min="12055" max="12288" width="11.5703125" style="1"/>
    <col min="12289" max="12289" width="37.7109375" style="1" customWidth="1"/>
    <col min="12290" max="12290" width="15.85546875" style="1" customWidth="1"/>
    <col min="12291" max="12292" width="10.85546875" style="1" customWidth="1"/>
    <col min="12293" max="12301" width="0" style="1" hidden="1" customWidth="1"/>
    <col min="12302" max="12302" width="13.7109375" style="1" customWidth="1"/>
    <col min="12303" max="12303" width="17.28515625" style="1" customWidth="1"/>
    <col min="12304" max="12304" width="16" style="1" customWidth="1"/>
    <col min="12305" max="12305" width="2" style="1" customWidth="1"/>
    <col min="12306" max="12306" width="12" style="1" customWidth="1"/>
    <col min="12307" max="12307" width="10.5703125" style="1" customWidth="1"/>
    <col min="12308" max="12308" width="1.7109375" style="1" customWidth="1"/>
    <col min="12309" max="12309" width="14.42578125" style="1" customWidth="1"/>
    <col min="12310" max="12310" width="11.5703125" style="1" customWidth="1"/>
    <col min="12311" max="12544" width="11.5703125" style="1"/>
    <col min="12545" max="12545" width="37.7109375" style="1" customWidth="1"/>
    <col min="12546" max="12546" width="15.85546875" style="1" customWidth="1"/>
    <col min="12547" max="12548" width="10.85546875" style="1" customWidth="1"/>
    <col min="12549" max="12557" width="0" style="1" hidden="1" customWidth="1"/>
    <col min="12558" max="12558" width="13.7109375" style="1" customWidth="1"/>
    <col min="12559" max="12559" width="17.28515625" style="1" customWidth="1"/>
    <col min="12560" max="12560" width="16" style="1" customWidth="1"/>
    <col min="12561" max="12561" width="2" style="1" customWidth="1"/>
    <col min="12562" max="12562" width="12" style="1" customWidth="1"/>
    <col min="12563" max="12563" width="10.5703125" style="1" customWidth="1"/>
    <col min="12564" max="12564" width="1.7109375" style="1" customWidth="1"/>
    <col min="12565" max="12565" width="14.42578125" style="1" customWidth="1"/>
    <col min="12566" max="12566" width="11.5703125" style="1" customWidth="1"/>
    <col min="12567" max="12800" width="11.5703125" style="1"/>
    <col min="12801" max="12801" width="37.7109375" style="1" customWidth="1"/>
    <col min="12802" max="12802" width="15.85546875" style="1" customWidth="1"/>
    <col min="12803" max="12804" width="10.85546875" style="1" customWidth="1"/>
    <col min="12805" max="12813" width="0" style="1" hidden="1" customWidth="1"/>
    <col min="12814" max="12814" width="13.7109375" style="1" customWidth="1"/>
    <col min="12815" max="12815" width="17.28515625" style="1" customWidth="1"/>
    <col min="12816" max="12816" width="16" style="1" customWidth="1"/>
    <col min="12817" max="12817" width="2" style="1" customWidth="1"/>
    <col min="12818" max="12818" width="12" style="1" customWidth="1"/>
    <col min="12819" max="12819" width="10.5703125" style="1" customWidth="1"/>
    <col min="12820" max="12820" width="1.7109375" style="1" customWidth="1"/>
    <col min="12821" max="12821" width="14.42578125" style="1" customWidth="1"/>
    <col min="12822" max="12822" width="11.5703125" style="1" customWidth="1"/>
    <col min="12823" max="13056" width="11.5703125" style="1"/>
    <col min="13057" max="13057" width="37.7109375" style="1" customWidth="1"/>
    <col min="13058" max="13058" width="15.85546875" style="1" customWidth="1"/>
    <col min="13059" max="13060" width="10.85546875" style="1" customWidth="1"/>
    <col min="13061" max="13069" width="0" style="1" hidden="1" customWidth="1"/>
    <col min="13070" max="13070" width="13.7109375" style="1" customWidth="1"/>
    <col min="13071" max="13071" width="17.28515625" style="1" customWidth="1"/>
    <col min="13072" max="13072" width="16" style="1" customWidth="1"/>
    <col min="13073" max="13073" width="2" style="1" customWidth="1"/>
    <col min="13074" max="13074" width="12" style="1" customWidth="1"/>
    <col min="13075" max="13075" width="10.5703125" style="1" customWidth="1"/>
    <col min="13076" max="13076" width="1.7109375" style="1" customWidth="1"/>
    <col min="13077" max="13077" width="14.42578125" style="1" customWidth="1"/>
    <col min="13078" max="13078" width="11.5703125" style="1" customWidth="1"/>
    <col min="13079" max="13312" width="11.5703125" style="1"/>
    <col min="13313" max="13313" width="37.7109375" style="1" customWidth="1"/>
    <col min="13314" max="13314" width="15.85546875" style="1" customWidth="1"/>
    <col min="13315" max="13316" width="10.85546875" style="1" customWidth="1"/>
    <col min="13317" max="13325" width="0" style="1" hidden="1" customWidth="1"/>
    <col min="13326" max="13326" width="13.7109375" style="1" customWidth="1"/>
    <col min="13327" max="13327" width="17.28515625" style="1" customWidth="1"/>
    <col min="13328" max="13328" width="16" style="1" customWidth="1"/>
    <col min="13329" max="13329" width="2" style="1" customWidth="1"/>
    <col min="13330" max="13330" width="12" style="1" customWidth="1"/>
    <col min="13331" max="13331" width="10.5703125" style="1" customWidth="1"/>
    <col min="13332" max="13332" width="1.7109375" style="1" customWidth="1"/>
    <col min="13333" max="13333" width="14.42578125" style="1" customWidth="1"/>
    <col min="13334" max="13334" width="11.5703125" style="1" customWidth="1"/>
    <col min="13335" max="13568" width="11.5703125" style="1"/>
    <col min="13569" max="13569" width="37.7109375" style="1" customWidth="1"/>
    <col min="13570" max="13570" width="15.85546875" style="1" customWidth="1"/>
    <col min="13571" max="13572" width="10.85546875" style="1" customWidth="1"/>
    <col min="13573" max="13581" width="0" style="1" hidden="1" customWidth="1"/>
    <col min="13582" max="13582" width="13.7109375" style="1" customWidth="1"/>
    <col min="13583" max="13583" width="17.28515625" style="1" customWidth="1"/>
    <col min="13584" max="13584" width="16" style="1" customWidth="1"/>
    <col min="13585" max="13585" width="2" style="1" customWidth="1"/>
    <col min="13586" max="13586" width="12" style="1" customWidth="1"/>
    <col min="13587" max="13587" width="10.5703125" style="1" customWidth="1"/>
    <col min="13588" max="13588" width="1.7109375" style="1" customWidth="1"/>
    <col min="13589" max="13589" width="14.42578125" style="1" customWidth="1"/>
    <col min="13590" max="13590" width="11.5703125" style="1" customWidth="1"/>
    <col min="13591" max="13824" width="11.5703125" style="1"/>
    <col min="13825" max="13825" width="37.7109375" style="1" customWidth="1"/>
    <col min="13826" max="13826" width="15.85546875" style="1" customWidth="1"/>
    <col min="13827" max="13828" width="10.85546875" style="1" customWidth="1"/>
    <col min="13829" max="13837" width="0" style="1" hidden="1" customWidth="1"/>
    <col min="13838" max="13838" width="13.7109375" style="1" customWidth="1"/>
    <col min="13839" max="13839" width="17.28515625" style="1" customWidth="1"/>
    <col min="13840" max="13840" width="16" style="1" customWidth="1"/>
    <col min="13841" max="13841" width="2" style="1" customWidth="1"/>
    <col min="13842" max="13842" width="12" style="1" customWidth="1"/>
    <col min="13843" max="13843" width="10.5703125" style="1" customWidth="1"/>
    <col min="13844" max="13844" width="1.7109375" style="1" customWidth="1"/>
    <col min="13845" max="13845" width="14.42578125" style="1" customWidth="1"/>
    <col min="13846" max="13846" width="11.5703125" style="1" customWidth="1"/>
    <col min="13847" max="14080" width="11.5703125" style="1"/>
    <col min="14081" max="14081" width="37.7109375" style="1" customWidth="1"/>
    <col min="14082" max="14082" width="15.85546875" style="1" customWidth="1"/>
    <col min="14083" max="14084" width="10.85546875" style="1" customWidth="1"/>
    <col min="14085" max="14093" width="0" style="1" hidden="1" customWidth="1"/>
    <col min="14094" max="14094" width="13.7109375" style="1" customWidth="1"/>
    <col min="14095" max="14095" width="17.28515625" style="1" customWidth="1"/>
    <col min="14096" max="14096" width="16" style="1" customWidth="1"/>
    <col min="14097" max="14097" width="2" style="1" customWidth="1"/>
    <col min="14098" max="14098" width="12" style="1" customWidth="1"/>
    <col min="14099" max="14099" width="10.5703125" style="1" customWidth="1"/>
    <col min="14100" max="14100" width="1.7109375" style="1" customWidth="1"/>
    <col min="14101" max="14101" width="14.42578125" style="1" customWidth="1"/>
    <col min="14102" max="14102" width="11.5703125" style="1" customWidth="1"/>
    <col min="14103" max="14336" width="11.5703125" style="1"/>
    <col min="14337" max="14337" width="37.7109375" style="1" customWidth="1"/>
    <col min="14338" max="14338" width="15.85546875" style="1" customWidth="1"/>
    <col min="14339" max="14340" width="10.85546875" style="1" customWidth="1"/>
    <col min="14341" max="14349" width="0" style="1" hidden="1" customWidth="1"/>
    <col min="14350" max="14350" width="13.7109375" style="1" customWidth="1"/>
    <col min="14351" max="14351" width="17.28515625" style="1" customWidth="1"/>
    <col min="14352" max="14352" width="16" style="1" customWidth="1"/>
    <col min="14353" max="14353" width="2" style="1" customWidth="1"/>
    <col min="14354" max="14354" width="12" style="1" customWidth="1"/>
    <col min="14355" max="14355" width="10.5703125" style="1" customWidth="1"/>
    <col min="14356" max="14356" width="1.7109375" style="1" customWidth="1"/>
    <col min="14357" max="14357" width="14.42578125" style="1" customWidth="1"/>
    <col min="14358" max="14358" width="11.5703125" style="1" customWidth="1"/>
    <col min="14359" max="14592" width="11.5703125" style="1"/>
    <col min="14593" max="14593" width="37.7109375" style="1" customWidth="1"/>
    <col min="14594" max="14594" width="15.85546875" style="1" customWidth="1"/>
    <col min="14595" max="14596" width="10.85546875" style="1" customWidth="1"/>
    <col min="14597" max="14605" width="0" style="1" hidden="1" customWidth="1"/>
    <col min="14606" max="14606" width="13.7109375" style="1" customWidth="1"/>
    <col min="14607" max="14607" width="17.28515625" style="1" customWidth="1"/>
    <col min="14608" max="14608" width="16" style="1" customWidth="1"/>
    <col min="14609" max="14609" width="2" style="1" customWidth="1"/>
    <col min="14610" max="14610" width="12" style="1" customWidth="1"/>
    <col min="14611" max="14611" width="10.5703125" style="1" customWidth="1"/>
    <col min="14612" max="14612" width="1.7109375" style="1" customWidth="1"/>
    <col min="14613" max="14613" width="14.42578125" style="1" customWidth="1"/>
    <col min="14614" max="14614" width="11.5703125" style="1" customWidth="1"/>
    <col min="14615" max="14848" width="11.5703125" style="1"/>
    <col min="14849" max="14849" width="37.7109375" style="1" customWidth="1"/>
    <col min="14850" max="14850" width="15.85546875" style="1" customWidth="1"/>
    <col min="14851" max="14852" width="10.85546875" style="1" customWidth="1"/>
    <col min="14853" max="14861" width="0" style="1" hidden="1" customWidth="1"/>
    <col min="14862" max="14862" width="13.7109375" style="1" customWidth="1"/>
    <col min="14863" max="14863" width="17.28515625" style="1" customWidth="1"/>
    <col min="14864" max="14864" width="16" style="1" customWidth="1"/>
    <col min="14865" max="14865" width="2" style="1" customWidth="1"/>
    <col min="14866" max="14866" width="12" style="1" customWidth="1"/>
    <col min="14867" max="14867" width="10.5703125" style="1" customWidth="1"/>
    <col min="14868" max="14868" width="1.7109375" style="1" customWidth="1"/>
    <col min="14869" max="14869" width="14.42578125" style="1" customWidth="1"/>
    <col min="14870" max="14870" width="11.5703125" style="1" customWidth="1"/>
    <col min="14871" max="15104" width="11.5703125" style="1"/>
    <col min="15105" max="15105" width="37.7109375" style="1" customWidth="1"/>
    <col min="15106" max="15106" width="15.85546875" style="1" customWidth="1"/>
    <col min="15107" max="15108" width="10.85546875" style="1" customWidth="1"/>
    <col min="15109" max="15117" width="0" style="1" hidden="1" customWidth="1"/>
    <col min="15118" max="15118" width="13.7109375" style="1" customWidth="1"/>
    <col min="15119" max="15119" width="17.28515625" style="1" customWidth="1"/>
    <col min="15120" max="15120" width="16" style="1" customWidth="1"/>
    <col min="15121" max="15121" width="2" style="1" customWidth="1"/>
    <col min="15122" max="15122" width="12" style="1" customWidth="1"/>
    <col min="15123" max="15123" width="10.5703125" style="1" customWidth="1"/>
    <col min="15124" max="15124" width="1.7109375" style="1" customWidth="1"/>
    <col min="15125" max="15125" width="14.42578125" style="1" customWidth="1"/>
    <col min="15126" max="15126" width="11.5703125" style="1" customWidth="1"/>
    <col min="15127" max="15360" width="11.5703125" style="1"/>
    <col min="15361" max="15361" width="37.7109375" style="1" customWidth="1"/>
    <col min="15362" max="15362" width="15.85546875" style="1" customWidth="1"/>
    <col min="15363" max="15364" width="10.85546875" style="1" customWidth="1"/>
    <col min="15365" max="15373" width="0" style="1" hidden="1" customWidth="1"/>
    <col min="15374" max="15374" width="13.7109375" style="1" customWidth="1"/>
    <col min="15375" max="15375" width="17.28515625" style="1" customWidth="1"/>
    <col min="15376" max="15376" width="16" style="1" customWidth="1"/>
    <col min="15377" max="15377" width="2" style="1" customWidth="1"/>
    <col min="15378" max="15378" width="12" style="1" customWidth="1"/>
    <col min="15379" max="15379" width="10.5703125" style="1" customWidth="1"/>
    <col min="15380" max="15380" width="1.7109375" style="1" customWidth="1"/>
    <col min="15381" max="15381" width="14.42578125" style="1" customWidth="1"/>
    <col min="15382" max="15382" width="11.5703125" style="1" customWidth="1"/>
    <col min="15383" max="15616" width="11.5703125" style="1"/>
    <col min="15617" max="15617" width="37.7109375" style="1" customWidth="1"/>
    <col min="15618" max="15618" width="15.85546875" style="1" customWidth="1"/>
    <col min="15619" max="15620" width="10.85546875" style="1" customWidth="1"/>
    <col min="15621" max="15629" width="0" style="1" hidden="1" customWidth="1"/>
    <col min="15630" max="15630" width="13.7109375" style="1" customWidth="1"/>
    <col min="15631" max="15631" width="17.28515625" style="1" customWidth="1"/>
    <col min="15632" max="15632" width="16" style="1" customWidth="1"/>
    <col min="15633" max="15633" width="2" style="1" customWidth="1"/>
    <col min="15634" max="15634" width="12" style="1" customWidth="1"/>
    <col min="15635" max="15635" width="10.5703125" style="1" customWidth="1"/>
    <col min="15636" max="15636" width="1.7109375" style="1" customWidth="1"/>
    <col min="15637" max="15637" width="14.42578125" style="1" customWidth="1"/>
    <col min="15638" max="15638" width="11.5703125" style="1" customWidth="1"/>
    <col min="15639" max="15872" width="11.5703125" style="1"/>
    <col min="15873" max="15873" width="37.7109375" style="1" customWidth="1"/>
    <col min="15874" max="15874" width="15.85546875" style="1" customWidth="1"/>
    <col min="15875" max="15876" width="10.85546875" style="1" customWidth="1"/>
    <col min="15877" max="15885" width="0" style="1" hidden="1" customWidth="1"/>
    <col min="15886" max="15886" width="13.7109375" style="1" customWidth="1"/>
    <col min="15887" max="15887" width="17.28515625" style="1" customWidth="1"/>
    <col min="15888" max="15888" width="16" style="1" customWidth="1"/>
    <col min="15889" max="15889" width="2" style="1" customWidth="1"/>
    <col min="15890" max="15890" width="12" style="1" customWidth="1"/>
    <col min="15891" max="15891" width="10.5703125" style="1" customWidth="1"/>
    <col min="15892" max="15892" width="1.7109375" style="1" customWidth="1"/>
    <col min="15893" max="15893" width="14.42578125" style="1" customWidth="1"/>
    <col min="15894" max="15894" width="11.5703125" style="1" customWidth="1"/>
    <col min="15895" max="16128" width="11.5703125" style="1"/>
    <col min="16129" max="16129" width="37.7109375" style="1" customWidth="1"/>
    <col min="16130" max="16130" width="15.85546875" style="1" customWidth="1"/>
    <col min="16131" max="16132" width="10.85546875" style="1" customWidth="1"/>
    <col min="16133" max="16141" width="0" style="1" hidden="1" customWidth="1"/>
    <col min="16142" max="16142" width="13.7109375" style="1" customWidth="1"/>
    <col min="16143" max="16143" width="17.28515625" style="1" customWidth="1"/>
    <col min="16144" max="16144" width="16" style="1" customWidth="1"/>
    <col min="16145" max="16145" width="2" style="1" customWidth="1"/>
    <col min="16146" max="16146" width="12" style="1" customWidth="1"/>
    <col min="16147" max="16147" width="10.5703125" style="1" customWidth="1"/>
    <col min="16148" max="16148" width="1.7109375" style="1" customWidth="1"/>
    <col min="16149" max="16149" width="14.42578125" style="1" customWidth="1"/>
    <col min="16150" max="16150" width="11.5703125" style="1" customWidth="1"/>
    <col min="16151" max="16384" width="11.5703125" style="1"/>
  </cols>
  <sheetData>
    <row r="1" spans="1:22" ht="8.25" customHeight="1" x14ac:dyDescent="0.25"/>
    <row r="2" spans="1:22" s="80" customFormat="1" ht="18.75" x14ac:dyDescent="0.3">
      <c r="A2" s="76" t="s">
        <v>17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3"/>
      <c r="O2" s="76"/>
      <c r="P2" s="76"/>
      <c r="Q2" s="78"/>
      <c r="R2" s="77"/>
      <c r="S2" s="43"/>
      <c r="T2" s="79"/>
      <c r="U2" s="207" t="str">
        <f>+'Marca y mes'!U2:V2</f>
        <v>Enero</v>
      </c>
      <c r="V2" s="208"/>
    </row>
    <row r="3" spans="1:22" s="80" customFormat="1" ht="18.75" x14ac:dyDescent="0.3">
      <c r="A3" s="81" t="s">
        <v>16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4"/>
      <c r="O3" s="81"/>
      <c r="P3" s="81"/>
      <c r="Q3" s="78"/>
      <c r="R3" s="83"/>
      <c r="S3" s="84"/>
      <c r="T3" s="79"/>
      <c r="U3" s="85"/>
      <c r="V3" s="86"/>
    </row>
    <row r="4" spans="1:22" s="32" customFormat="1" ht="31.5" x14ac:dyDescent="0.2">
      <c r="A4" s="94" t="s">
        <v>2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66</v>
      </c>
      <c r="O4" s="39" t="str">
        <f>'Marca y mes'!O4</f>
        <v>ACUMULADO 
2025</v>
      </c>
      <c r="P4" s="39" t="str">
        <f>'RESUMEN '!P4</f>
        <v>% Part ACUM 
 2025</v>
      </c>
      <c r="Q4" s="38"/>
      <c r="R4" s="37">
        <f>+'Marca y mes'!R4</f>
        <v>45292</v>
      </c>
      <c r="S4" s="36" t="str">
        <f>'RESUMEN '!U4</f>
        <v>Var. %  Ene '25 vs Ene '24</v>
      </c>
      <c r="T4" s="35"/>
      <c r="U4" s="34" t="str">
        <f>'RESUMEN '!W4</f>
        <v>ACUMULADO
 2024</v>
      </c>
      <c r="V4" s="33" t="str">
        <f>'RESUMEN '!X4</f>
        <v>Var. %
ACUM  25/24</v>
      </c>
    </row>
    <row r="5" spans="1:22" ht="18.75" x14ac:dyDescent="0.3">
      <c r="A5" s="74" t="s">
        <v>24</v>
      </c>
      <c r="B5" s="30">
        <v>210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26">
        <f t="shared" ref="N5:N41" si="0">IFERROR(+B5/$B$42,"-")</f>
        <v>0.17632241813602015</v>
      </c>
      <c r="O5" s="72">
        <f t="shared" ref="O5:O39" si="1">SUM(B5:M5)</f>
        <v>210</v>
      </c>
      <c r="P5" s="71">
        <f t="shared" ref="P5:P41" si="2">+O5/$O$42</f>
        <v>0.17632241813602015</v>
      </c>
      <c r="Q5" s="58"/>
      <c r="R5" s="30">
        <v>178</v>
      </c>
      <c r="S5" s="29">
        <f t="shared" ref="S5:S42" si="3">+IFERROR(B5/R5-1,"-")</f>
        <v>0.1797752808988764</v>
      </c>
      <c r="T5" s="56"/>
      <c r="U5" s="55">
        <v>178</v>
      </c>
      <c r="V5" s="19">
        <f t="shared" ref="V5:V39" si="4">IFERROR(O5/U5-1,"-")</f>
        <v>0.1797752808988764</v>
      </c>
    </row>
    <row r="6" spans="1:22" ht="18.75" x14ac:dyDescent="0.3">
      <c r="A6" s="70" t="s">
        <v>20</v>
      </c>
      <c r="B6" s="22">
        <v>149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63">
        <f t="shared" si="0"/>
        <v>0.12510495382031905</v>
      </c>
      <c r="O6" s="60">
        <f t="shared" si="1"/>
        <v>149</v>
      </c>
      <c r="P6" s="59">
        <f t="shared" si="2"/>
        <v>0.12510495382031905</v>
      </c>
      <c r="Q6" s="58"/>
      <c r="R6" s="22">
        <v>119</v>
      </c>
      <c r="S6" s="21">
        <f t="shared" si="3"/>
        <v>0.25210084033613445</v>
      </c>
      <c r="T6" s="56"/>
      <c r="U6" s="55">
        <v>119</v>
      </c>
      <c r="V6" s="19">
        <f t="shared" si="4"/>
        <v>0.25210084033613445</v>
      </c>
    </row>
    <row r="7" spans="1:22" ht="18.75" x14ac:dyDescent="0.3">
      <c r="A7" s="70" t="s">
        <v>22</v>
      </c>
      <c r="B7" s="22">
        <v>106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6">
        <f t="shared" si="0"/>
        <v>8.9000839630562559E-2</v>
      </c>
      <c r="O7" s="60">
        <f t="shared" si="1"/>
        <v>106</v>
      </c>
      <c r="P7" s="59">
        <f t="shared" si="2"/>
        <v>8.9000839630562559E-2</v>
      </c>
      <c r="Q7" s="58"/>
      <c r="R7" s="22">
        <v>107</v>
      </c>
      <c r="S7" s="21">
        <f t="shared" si="3"/>
        <v>-9.3457943925233655E-3</v>
      </c>
      <c r="T7" s="56"/>
      <c r="U7" s="55">
        <v>107</v>
      </c>
      <c r="V7" s="19">
        <f t="shared" si="4"/>
        <v>-9.3457943925233655E-3</v>
      </c>
    </row>
    <row r="8" spans="1:22" ht="18.75" x14ac:dyDescent="0.3">
      <c r="A8" s="70" t="s">
        <v>34</v>
      </c>
      <c r="B8" s="22">
        <v>101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6">
        <f t="shared" si="0"/>
        <v>8.4802686817800163E-2</v>
      </c>
      <c r="O8" s="60">
        <f t="shared" si="1"/>
        <v>101</v>
      </c>
      <c r="P8" s="59">
        <f t="shared" si="2"/>
        <v>8.4802686817800163E-2</v>
      </c>
      <c r="Q8" s="58"/>
      <c r="R8" s="22">
        <v>64</v>
      </c>
      <c r="S8" s="21">
        <f t="shared" si="3"/>
        <v>0.578125</v>
      </c>
      <c r="T8" s="56"/>
      <c r="U8" s="55">
        <v>64</v>
      </c>
      <c r="V8" s="19">
        <f t="shared" si="4"/>
        <v>0.578125</v>
      </c>
    </row>
    <row r="9" spans="1:22" ht="18.75" x14ac:dyDescent="0.3">
      <c r="A9" s="70" t="s">
        <v>19</v>
      </c>
      <c r="B9" s="22">
        <v>87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6">
        <f t="shared" si="0"/>
        <v>7.3047858942065488E-2</v>
      </c>
      <c r="O9" s="60">
        <f t="shared" si="1"/>
        <v>87</v>
      </c>
      <c r="P9" s="59">
        <f t="shared" si="2"/>
        <v>7.3047858942065488E-2</v>
      </c>
      <c r="Q9" s="58"/>
      <c r="R9" s="22">
        <v>124</v>
      </c>
      <c r="S9" s="21">
        <f t="shared" si="3"/>
        <v>-0.29838709677419351</v>
      </c>
      <c r="T9" s="56"/>
      <c r="U9" s="55">
        <v>124</v>
      </c>
      <c r="V9" s="19">
        <f t="shared" si="4"/>
        <v>-0.29838709677419351</v>
      </c>
    </row>
    <row r="10" spans="1:22" ht="18.75" x14ac:dyDescent="0.3">
      <c r="A10" s="70" t="s">
        <v>23</v>
      </c>
      <c r="B10" s="22">
        <v>84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6">
        <f t="shared" si="0"/>
        <v>7.0528967254408062E-2</v>
      </c>
      <c r="O10" s="60">
        <f t="shared" ref="O10:O11" si="5">SUM(B10:M10)</f>
        <v>84</v>
      </c>
      <c r="P10" s="59">
        <f t="shared" si="2"/>
        <v>7.0528967254408062E-2</v>
      </c>
      <c r="Q10" s="58"/>
      <c r="R10" s="22">
        <v>53</v>
      </c>
      <c r="S10" s="21">
        <f t="shared" si="3"/>
        <v>0.58490566037735858</v>
      </c>
      <c r="T10" s="56"/>
      <c r="U10" s="55">
        <v>53</v>
      </c>
      <c r="V10" s="19">
        <f t="shared" ref="V10:V12" si="6">IFERROR(O10/U10-1,"-")</f>
        <v>0.58490566037735858</v>
      </c>
    </row>
    <row r="11" spans="1:22" ht="18.75" x14ac:dyDescent="0.3">
      <c r="A11" s="70" t="s">
        <v>65</v>
      </c>
      <c r="B11" s="22">
        <v>82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6">
        <f t="shared" si="0"/>
        <v>6.8849706129303107E-2</v>
      </c>
      <c r="O11" s="60">
        <f t="shared" si="5"/>
        <v>82</v>
      </c>
      <c r="P11" s="59">
        <f t="shared" si="2"/>
        <v>6.8849706129303107E-2</v>
      </c>
      <c r="Q11" s="58"/>
      <c r="R11" s="22">
        <v>85</v>
      </c>
      <c r="S11" s="21">
        <f t="shared" si="3"/>
        <v>-3.5294117647058809E-2</v>
      </c>
      <c r="T11" s="56"/>
      <c r="U11" s="55">
        <v>85</v>
      </c>
      <c r="V11" s="19">
        <f t="shared" si="6"/>
        <v>-3.5294117647058809E-2</v>
      </c>
    </row>
    <row r="12" spans="1:22" ht="18.75" x14ac:dyDescent="0.3">
      <c r="A12" s="70" t="s">
        <v>29</v>
      </c>
      <c r="B12" s="22">
        <v>76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6">
        <f t="shared" si="0"/>
        <v>6.381192275398824E-2</v>
      </c>
      <c r="O12" s="60">
        <f t="shared" ref="O12" si="7">SUM(B12:M12)</f>
        <v>76</v>
      </c>
      <c r="P12" s="59">
        <f t="shared" si="2"/>
        <v>6.381192275398824E-2</v>
      </c>
      <c r="Q12" s="58"/>
      <c r="R12" s="22">
        <v>68</v>
      </c>
      <c r="S12" s="21">
        <f t="shared" si="3"/>
        <v>0.11764705882352944</v>
      </c>
      <c r="T12" s="56"/>
      <c r="U12" s="55">
        <v>68</v>
      </c>
      <c r="V12" s="19">
        <f t="shared" si="6"/>
        <v>0.11764705882352944</v>
      </c>
    </row>
    <row r="13" spans="1:22" ht="18.75" x14ac:dyDescent="0.3">
      <c r="A13" s="70" t="s">
        <v>21</v>
      </c>
      <c r="B13" s="22">
        <v>50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6">
        <f t="shared" si="0"/>
        <v>4.1981528127623846E-2</v>
      </c>
      <c r="O13" s="60">
        <f t="shared" ref="O13:O15" si="8">SUM(B13:M13)</f>
        <v>50</v>
      </c>
      <c r="P13" s="59">
        <f t="shared" si="2"/>
        <v>4.1981528127623846E-2</v>
      </c>
      <c r="Q13" s="58"/>
      <c r="R13" s="22">
        <v>29</v>
      </c>
      <c r="S13" s="21">
        <f t="shared" si="3"/>
        <v>0.72413793103448265</v>
      </c>
      <c r="T13" s="56"/>
      <c r="U13" s="55">
        <v>29</v>
      </c>
      <c r="V13" s="19">
        <f t="shared" si="4"/>
        <v>0.72413793103448265</v>
      </c>
    </row>
    <row r="14" spans="1:22" ht="18.75" x14ac:dyDescent="0.3">
      <c r="A14" s="70" t="s">
        <v>25</v>
      </c>
      <c r="B14" s="22">
        <v>38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6">
        <f t="shared" si="0"/>
        <v>3.190596137699412E-2</v>
      </c>
      <c r="O14" s="60">
        <f t="shared" ref="O14" si="9">SUM(B14:M14)</f>
        <v>38</v>
      </c>
      <c r="P14" s="59">
        <f t="shared" si="2"/>
        <v>3.190596137699412E-2</v>
      </c>
      <c r="Q14" s="58"/>
      <c r="R14" s="22">
        <v>23</v>
      </c>
      <c r="S14" s="21">
        <f t="shared" si="3"/>
        <v>0.65217391304347827</v>
      </c>
      <c r="T14" s="56"/>
      <c r="U14" s="55">
        <v>23</v>
      </c>
      <c r="V14" s="19">
        <f t="shared" ref="V14" si="10">IFERROR(O14/U14-1,"-")</f>
        <v>0.65217391304347827</v>
      </c>
    </row>
    <row r="15" spans="1:22" ht="18.75" x14ac:dyDescent="0.3">
      <c r="A15" s="70" t="s">
        <v>31</v>
      </c>
      <c r="B15" s="22">
        <v>30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si="0"/>
        <v>2.5188916876574308E-2</v>
      </c>
      <c r="O15" s="60">
        <f t="shared" si="8"/>
        <v>30</v>
      </c>
      <c r="P15" s="59">
        <f t="shared" si="2"/>
        <v>2.5188916876574308E-2</v>
      </c>
      <c r="Q15" s="58"/>
      <c r="R15" s="22">
        <v>46</v>
      </c>
      <c r="S15" s="21">
        <f t="shared" si="3"/>
        <v>-0.34782608695652173</v>
      </c>
      <c r="T15" s="56"/>
      <c r="U15" s="55">
        <v>46</v>
      </c>
      <c r="V15" s="19">
        <f t="shared" si="4"/>
        <v>-0.34782608695652173</v>
      </c>
    </row>
    <row r="16" spans="1:22" ht="18.75" x14ac:dyDescent="0.3">
      <c r="A16" s="70" t="s">
        <v>40</v>
      </c>
      <c r="B16" s="22">
        <v>29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0"/>
        <v>2.4349286314021831E-2</v>
      </c>
      <c r="O16" s="60">
        <f t="shared" ref="O16:O31" si="11">SUM(B16:M16)</f>
        <v>29</v>
      </c>
      <c r="P16" s="59">
        <f t="shared" si="2"/>
        <v>2.4349286314021831E-2</v>
      </c>
      <c r="Q16" s="58"/>
      <c r="R16" s="22">
        <v>9</v>
      </c>
      <c r="S16" s="21">
        <f t="shared" si="3"/>
        <v>2.2222222222222223</v>
      </c>
      <c r="T16" s="56"/>
      <c r="U16" s="55">
        <v>9</v>
      </c>
      <c r="V16" s="19">
        <f t="shared" ref="V16:V31" si="12">IFERROR(O16/U16-1,"-")</f>
        <v>2.2222222222222223</v>
      </c>
    </row>
    <row r="17" spans="1:22" ht="18.75" x14ac:dyDescent="0.3">
      <c r="A17" s="70" t="s">
        <v>27</v>
      </c>
      <c r="B17" s="22">
        <v>28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0"/>
        <v>2.3509655751469353E-2</v>
      </c>
      <c r="O17" s="60">
        <f t="shared" si="11"/>
        <v>28</v>
      </c>
      <c r="P17" s="59">
        <f t="shared" si="2"/>
        <v>2.3509655751469353E-2</v>
      </c>
      <c r="Q17" s="58"/>
      <c r="R17" s="22">
        <v>34</v>
      </c>
      <c r="S17" s="21">
        <f t="shared" si="3"/>
        <v>-0.17647058823529416</v>
      </c>
      <c r="T17" s="56"/>
      <c r="U17" s="55">
        <v>34</v>
      </c>
      <c r="V17" s="19">
        <f t="shared" si="12"/>
        <v>-0.17647058823529416</v>
      </c>
    </row>
    <row r="18" spans="1:22" ht="18.75" x14ac:dyDescent="0.3">
      <c r="A18" s="70" t="s">
        <v>30</v>
      </c>
      <c r="B18" s="22">
        <v>25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0"/>
        <v>2.0990764063811923E-2</v>
      </c>
      <c r="O18" s="60">
        <f t="shared" si="11"/>
        <v>25</v>
      </c>
      <c r="P18" s="59">
        <f t="shared" si="2"/>
        <v>2.0990764063811923E-2</v>
      </c>
      <c r="Q18" s="58"/>
      <c r="R18" s="22">
        <v>30</v>
      </c>
      <c r="S18" s="21">
        <f t="shared" si="3"/>
        <v>-0.16666666666666663</v>
      </c>
      <c r="T18" s="56"/>
      <c r="U18" s="55">
        <v>30</v>
      </c>
      <c r="V18" s="19">
        <f t="shared" si="12"/>
        <v>-0.16666666666666663</v>
      </c>
    </row>
    <row r="19" spans="1:22" ht="18.75" x14ac:dyDescent="0.3">
      <c r="A19" s="70" t="s">
        <v>35</v>
      </c>
      <c r="B19" s="22">
        <v>22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0"/>
        <v>1.8471872376154493E-2</v>
      </c>
      <c r="O19" s="60">
        <f t="shared" si="11"/>
        <v>22</v>
      </c>
      <c r="P19" s="59">
        <f t="shared" si="2"/>
        <v>1.8471872376154493E-2</v>
      </c>
      <c r="Q19" s="58"/>
      <c r="R19" s="22">
        <v>10</v>
      </c>
      <c r="S19" s="21">
        <f t="shared" si="3"/>
        <v>1.2000000000000002</v>
      </c>
      <c r="T19" s="56"/>
      <c r="U19" s="55">
        <v>10</v>
      </c>
      <c r="V19" s="19">
        <f t="shared" si="12"/>
        <v>1.2000000000000002</v>
      </c>
    </row>
    <row r="20" spans="1:22" ht="18.75" x14ac:dyDescent="0.3">
      <c r="A20" s="70" t="s">
        <v>39</v>
      </c>
      <c r="B20" s="22">
        <v>21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0"/>
        <v>1.7632241813602016E-2</v>
      </c>
      <c r="O20" s="60">
        <f t="shared" si="11"/>
        <v>21</v>
      </c>
      <c r="P20" s="59">
        <f t="shared" si="2"/>
        <v>1.7632241813602016E-2</v>
      </c>
      <c r="Q20" s="58"/>
      <c r="R20" s="22">
        <v>26</v>
      </c>
      <c r="S20" s="21">
        <f t="shared" si="3"/>
        <v>-0.19230769230769229</v>
      </c>
      <c r="T20" s="56"/>
      <c r="U20" s="55">
        <v>26</v>
      </c>
      <c r="V20" s="19">
        <f t="shared" si="12"/>
        <v>-0.19230769230769229</v>
      </c>
    </row>
    <row r="21" spans="1:22" ht="18.75" x14ac:dyDescent="0.3">
      <c r="A21" s="70" t="s">
        <v>26</v>
      </c>
      <c r="B21" s="22">
        <v>12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0"/>
        <v>1.0075566750629723E-2</v>
      </c>
      <c r="O21" s="60">
        <f t="shared" si="11"/>
        <v>12</v>
      </c>
      <c r="P21" s="59">
        <f t="shared" si="2"/>
        <v>1.0075566750629723E-2</v>
      </c>
      <c r="Q21" s="58"/>
      <c r="R21" s="22">
        <v>2</v>
      </c>
      <c r="S21" s="21">
        <f t="shared" si="3"/>
        <v>5</v>
      </c>
      <c r="T21" s="56"/>
      <c r="U21" s="55">
        <v>2</v>
      </c>
      <c r="V21" s="19">
        <f t="shared" si="12"/>
        <v>5</v>
      </c>
    </row>
    <row r="22" spans="1:22" ht="18.75" x14ac:dyDescent="0.3">
      <c r="A22" s="70" t="s">
        <v>47</v>
      </c>
      <c r="B22" s="22">
        <v>9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0"/>
        <v>7.556675062972292E-3</v>
      </c>
      <c r="O22" s="60">
        <f t="shared" ref="O22:O26" si="13">SUM(B22:M22)</f>
        <v>9</v>
      </c>
      <c r="P22" s="59">
        <f t="shared" si="2"/>
        <v>7.556675062972292E-3</v>
      </c>
      <c r="Q22" s="58"/>
      <c r="R22" s="22">
        <v>3</v>
      </c>
      <c r="S22" s="21">
        <f t="shared" si="3"/>
        <v>2</v>
      </c>
      <c r="T22" s="56"/>
      <c r="U22" s="55">
        <v>3</v>
      </c>
      <c r="V22" s="19">
        <f t="shared" ref="V22:V26" si="14">IFERROR(O22/U22-1,"-")</f>
        <v>2</v>
      </c>
    </row>
    <row r="23" spans="1:22" ht="18.75" x14ac:dyDescent="0.3">
      <c r="A23" s="70" t="s">
        <v>297</v>
      </c>
      <c r="B23" s="22">
        <v>8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0"/>
        <v>6.7170445004198151E-3</v>
      </c>
      <c r="O23" s="60">
        <f t="shared" si="13"/>
        <v>8</v>
      </c>
      <c r="P23" s="59">
        <f t="shared" si="2"/>
        <v>6.7170445004198151E-3</v>
      </c>
      <c r="Q23" s="58"/>
      <c r="R23" s="22">
        <v>3</v>
      </c>
      <c r="S23" s="21">
        <f t="shared" si="3"/>
        <v>1.6666666666666665</v>
      </c>
      <c r="T23" s="56"/>
      <c r="U23" s="55">
        <v>3</v>
      </c>
      <c r="V23" s="19">
        <f t="shared" si="14"/>
        <v>1.6666666666666665</v>
      </c>
    </row>
    <row r="24" spans="1:22" ht="18.75" x14ac:dyDescent="0.3">
      <c r="A24" s="70" t="s">
        <v>37</v>
      </c>
      <c r="B24" s="22">
        <v>7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0"/>
        <v>5.8774139378673382E-3</v>
      </c>
      <c r="O24" s="60">
        <f t="shared" si="13"/>
        <v>7</v>
      </c>
      <c r="P24" s="59">
        <f t="shared" si="2"/>
        <v>5.8774139378673382E-3</v>
      </c>
      <c r="Q24" s="58"/>
      <c r="R24" s="22">
        <v>0</v>
      </c>
      <c r="S24" s="21" t="str">
        <f t="shared" si="3"/>
        <v>-</v>
      </c>
      <c r="T24" s="56"/>
      <c r="U24" s="55">
        <v>0</v>
      </c>
      <c r="V24" s="19" t="str">
        <f t="shared" si="14"/>
        <v>-</v>
      </c>
    </row>
    <row r="25" spans="1:22" ht="18.75" x14ac:dyDescent="0.3">
      <c r="A25" s="70" t="s">
        <v>72</v>
      </c>
      <c r="B25" s="22">
        <v>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0"/>
        <v>4.1981528127623844E-3</v>
      </c>
      <c r="O25" s="60">
        <f t="shared" si="13"/>
        <v>5</v>
      </c>
      <c r="P25" s="59">
        <f t="shared" si="2"/>
        <v>4.1981528127623844E-3</v>
      </c>
      <c r="Q25" s="58"/>
      <c r="R25" s="22">
        <v>7</v>
      </c>
      <c r="S25" s="21">
        <f t="shared" si="3"/>
        <v>-0.2857142857142857</v>
      </c>
      <c r="T25" s="56"/>
      <c r="U25" s="55">
        <v>7</v>
      </c>
      <c r="V25" s="19">
        <f t="shared" si="14"/>
        <v>-0.2857142857142857</v>
      </c>
    </row>
    <row r="26" spans="1:22" ht="18.75" x14ac:dyDescent="0.3">
      <c r="A26" s="70" t="s">
        <v>449</v>
      </c>
      <c r="B26" s="22">
        <v>4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0"/>
        <v>3.3585222502099076E-3</v>
      </c>
      <c r="O26" s="60">
        <f t="shared" si="13"/>
        <v>4</v>
      </c>
      <c r="P26" s="59">
        <f t="shared" si="2"/>
        <v>3.3585222502099076E-3</v>
      </c>
      <c r="Q26" s="58"/>
      <c r="R26" s="22">
        <v>0</v>
      </c>
      <c r="S26" s="21" t="str">
        <f t="shared" si="3"/>
        <v>-</v>
      </c>
      <c r="T26" s="56"/>
      <c r="U26" s="55">
        <v>0</v>
      </c>
      <c r="V26" s="19" t="str">
        <f t="shared" si="14"/>
        <v>-</v>
      </c>
    </row>
    <row r="27" spans="1:22" ht="18.75" x14ac:dyDescent="0.3">
      <c r="A27" s="70" t="s">
        <v>71</v>
      </c>
      <c r="B27" s="22">
        <v>2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0"/>
        <v>1.6792611251049538E-3</v>
      </c>
      <c r="O27" s="60">
        <f t="shared" si="11"/>
        <v>2</v>
      </c>
      <c r="P27" s="59">
        <f t="shared" si="2"/>
        <v>1.6792611251049538E-3</v>
      </c>
      <c r="Q27" s="58"/>
      <c r="R27" s="22">
        <v>4</v>
      </c>
      <c r="S27" s="21">
        <f t="shared" si="3"/>
        <v>-0.5</v>
      </c>
      <c r="T27" s="56"/>
      <c r="U27" s="55">
        <v>4</v>
      </c>
      <c r="V27" s="19">
        <f t="shared" si="12"/>
        <v>-0.5</v>
      </c>
    </row>
    <row r="28" spans="1:22" ht="18.75" x14ac:dyDescent="0.3">
      <c r="A28" s="70" t="s">
        <v>450</v>
      </c>
      <c r="B28" s="22">
        <v>2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0"/>
        <v>1.6792611251049538E-3</v>
      </c>
      <c r="O28" s="60">
        <f t="shared" si="11"/>
        <v>2</v>
      </c>
      <c r="P28" s="59">
        <f t="shared" si="2"/>
        <v>1.6792611251049538E-3</v>
      </c>
      <c r="Q28" s="58"/>
      <c r="R28" s="22">
        <v>0</v>
      </c>
      <c r="S28" s="21" t="str">
        <f t="shared" si="3"/>
        <v>-</v>
      </c>
      <c r="T28" s="56"/>
      <c r="U28" s="55">
        <v>0</v>
      </c>
      <c r="V28" s="19" t="str">
        <f t="shared" si="12"/>
        <v>-</v>
      </c>
    </row>
    <row r="29" spans="1:22" ht="18.75" x14ac:dyDescent="0.3">
      <c r="A29" s="70" t="s">
        <v>41</v>
      </c>
      <c r="B29" s="22">
        <v>1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0"/>
        <v>8.3963056255247689E-4</v>
      </c>
      <c r="O29" s="60">
        <f t="shared" si="11"/>
        <v>1</v>
      </c>
      <c r="P29" s="59">
        <f t="shared" si="2"/>
        <v>8.3963056255247689E-4</v>
      </c>
      <c r="Q29" s="58"/>
      <c r="R29" s="22">
        <v>9</v>
      </c>
      <c r="S29" s="21">
        <f t="shared" si="3"/>
        <v>-0.88888888888888884</v>
      </c>
      <c r="T29" s="56"/>
      <c r="U29" s="55">
        <v>9</v>
      </c>
      <c r="V29" s="19">
        <f t="shared" si="12"/>
        <v>-0.88888888888888884</v>
      </c>
    </row>
    <row r="30" spans="1:22" ht="18.75" x14ac:dyDescent="0.3">
      <c r="A30" s="70" t="s">
        <v>455</v>
      </c>
      <c r="B30" s="22">
        <v>1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0"/>
        <v>8.3963056255247689E-4</v>
      </c>
      <c r="O30" s="60">
        <f t="shared" si="11"/>
        <v>1</v>
      </c>
      <c r="P30" s="59">
        <f t="shared" si="2"/>
        <v>8.3963056255247689E-4</v>
      </c>
      <c r="Q30" s="58"/>
      <c r="R30" s="22">
        <v>0</v>
      </c>
      <c r="S30" s="21" t="str">
        <f t="shared" si="3"/>
        <v>-</v>
      </c>
      <c r="T30" s="56"/>
      <c r="U30" s="55">
        <v>0</v>
      </c>
      <c r="V30" s="19" t="str">
        <f t="shared" si="12"/>
        <v>-</v>
      </c>
    </row>
    <row r="31" spans="1:22" ht="18.75" x14ac:dyDescent="0.3">
      <c r="A31" s="70" t="s">
        <v>302</v>
      </c>
      <c r="B31" s="22">
        <v>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6">
        <f t="shared" si="0"/>
        <v>8.3963056255247689E-4</v>
      </c>
      <c r="O31" s="60">
        <f t="shared" si="11"/>
        <v>1</v>
      </c>
      <c r="P31" s="59">
        <f t="shared" si="2"/>
        <v>8.3963056255247689E-4</v>
      </c>
      <c r="Q31" s="58"/>
      <c r="R31" s="22">
        <v>0</v>
      </c>
      <c r="S31" s="21" t="str">
        <f t="shared" si="3"/>
        <v>-</v>
      </c>
      <c r="T31" s="56"/>
      <c r="U31" s="55">
        <v>0</v>
      </c>
      <c r="V31" s="19" t="str">
        <f t="shared" si="12"/>
        <v>-</v>
      </c>
    </row>
    <row r="32" spans="1:22" ht="18.75" x14ac:dyDescent="0.3">
      <c r="A32" s="70" t="s">
        <v>451</v>
      </c>
      <c r="B32" s="22">
        <v>1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6">
        <f t="shared" si="0"/>
        <v>8.3963056255247689E-4</v>
      </c>
      <c r="O32" s="60">
        <f t="shared" si="1"/>
        <v>1</v>
      </c>
      <c r="P32" s="59">
        <f t="shared" si="2"/>
        <v>8.3963056255247689E-4</v>
      </c>
      <c r="Q32" s="58"/>
      <c r="R32" s="22">
        <v>0</v>
      </c>
      <c r="S32" s="21" t="str">
        <f t="shared" si="3"/>
        <v>-</v>
      </c>
      <c r="T32" s="56"/>
      <c r="U32" s="55">
        <v>0</v>
      </c>
      <c r="V32" s="19" t="str">
        <f t="shared" si="4"/>
        <v>-</v>
      </c>
    </row>
    <row r="33" spans="1:22" ht="18.75" x14ac:dyDescent="0.3">
      <c r="A33" s="70" t="s">
        <v>291</v>
      </c>
      <c r="B33" s="22">
        <v>0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6">
        <f t="shared" si="0"/>
        <v>0</v>
      </c>
      <c r="O33" s="60">
        <f t="shared" si="1"/>
        <v>0</v>
      </c>
      <c r="P33" s="59">
        <f t="shared" si="2"/>
        <v>0</v>
      </c>
      <c r="Q33" s="58"/>
      <c r="R33" s="22">
        <v>4</v>
      </c>
      <c r="S33" s="21">
        <f t="shared" si="3"/>
        <v>-1</v>
      </c>
      <c r="T33" s="56"/>
      <c r="U33" s="55">
        <v>4</v>
      </c>
      <c r="V33" s="19">
        <f t="shared" si="4"/>
        <v>-1</v>
      </c>
    </row>
    <row r="34" spans="1:22" ht="18.75" x14ac:dyDescent="0.3">
      <c r="A34" s="70" t="s">
        <v>46</v>
      </c>
      <c r="B34" s="22">
        <v>0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6">
        <f t="shared" si="0"/>
        <v>0</v>
      </c>
      <c r="O34" s="60">
        <f t="shared" ref="O34" si="15">SUM(B34:M34)</f>
        <v>0</v>
      </c>
      <c r="P34" s="59">
        <f t="shared" si="2"/>
        <v>0</v>
      </c>
      <c r="Q34" s="58"/>
      <c r="R34" s="22">
        <v>1</v>
      </c>
      <c r="S34" s="21">
        <f t="shared" si="3"/>
        <v>-1</v>
      </c>
      <c r="T34" s="56"/>
      <c r="U34" s="55">
        <v>1</v>
      </c>
      <c r="V34" s="19">
        <f t="shared" ref="V34" si="16">IFERROR(O34/U34-1,"-")</f>
        <v>-1</v>
      </c>
    </row>
    <row r="35" spans="1:22" ht="18.75" x14ac:dyDescent="0.3">
      <c r="A35" s="70" t="s">
        <v>287</v>
      </c>
      <c r="B35" s="22">
        <v>0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>
        <f t="shared" si="0"/>
        <v>0</v>
      </c>
      <c r="O35" s="60">
        <f t="shared" si="1"/>
        <v>0</v>
      </c>
      <c r="P35" s="59">
        <f t="shared" si="2"/>
        <v>0</v>
      </c>
      <c r="Q35" s="58"/>
      <c r="R35" s="22">
        <v>1</v>
      </c>
      <c r="S35" s="21">
        <f t="shared" si="3"/>
        <v>-1</v>
      </c>
      <c r="T35" s="56"/>
      <c r="U35" s="55">
        <v>1</v>
      </c>
      <c r="V35" s="19">
        <f t="shared" si="4"/>
        <v>-1</v>
      </c>
    </row>
    <row r="36" spans="1:22" ht="18.75" x14ac:dyDescent="0.3">
      <c r="A36" s="70" t="s">
        <v>44</v>
      </c>
      <c r="B36" s="22">
        <v>0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6">
        <f t="shared" si="0"/>
        <v>0</v>
      </c>
      <c r="O36" s="60">
        <f t="shared" si="1"/>
        <v>0</v>
      </c>
      <c r="P36" s="59">
        <f t="shared" si="2"/>
        <v>0</v>
      </c>
      <c r="Q36" s="58"/>
      <c r="R36" s="22">
        <v>2</v>
      </c>
      <c r="S36" s="21">
        <f t="shared" si="3"/>
        <v>-1</v>
      </c>
      <c r="T36" s="56"/>
      <c r="U36" s="55">
        <v>2</v>
      </c>
      <c r="V36" s="19">
        <f t="shared" si="4"/>
        <v>-1</v>
      </c>
    </row>
    <row r="37" spans="1:22" ht="18.75" x14ac:dyDescent="0.3">
      <c r="A37" s="70" t="s">
        <v>352</v>
      </c>
      <c r="B37" s="22">
        <v>0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6">
        <f t="shared" si="0"/>
        <v>0</v>
      </c>
      <c r="O37" s="60">
        <f t="shared" si="1"/>
        <v>0</v>
      </c>
      <c r="P37" s="59">
        <f t="shared" si="2"/>
        <v>0</v>
      </c>
      <c r="Q37" s="58"/>
      <c r="R37" s="22">
        <v>1</v>
      </c>
      <c r="S37" s="21">
        <f t="shared" si="3"/>
        <v>-1</v>
      </c>
      <c r="T37" s="56"/>
      <c r="U37" s="55">
        <v>1</v>
      </c>
      <c r="V37" s="19">
        <f t="shared" si="4"/>
        <v>-1</v>
      </c>
    </row>
    <row r="38" spans="1:22" ht="18.75" x14ac:dyDescent="0.3">
      <c r="A38" s="70" t="s">
        <v>45</v>
      </c>
      <c r="B38" s="22">
        <v>0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6">
        <f t="shared" si="0"/>
        <v>0</v>
      </c>
      <c r="O38" s="60">
        <f t="shared" si="1"/>
        <v>0</v>
      </c>
      <c r="P38" s="59">
        <f t="shared" si="2"/>
        <v>0</v>
      </c>
      <c r="Q38" s="58"/>
      <c r="R38" s="22">
        <v>4</v>
      </c>
      <c r="S38" s="21">
        <f t="shared" si="3"/>
        <v>-1</v>
      </c>
      <c r="T38" s="56"/>
      <c r="U38" s="55">
        <v>4</v>
      </c>
      <c r="V38" s="19">
        <f t="shared" si="4"/>
        <v>-1</v>
      </c>
    </row>
    <row r="39" spans="1:22" ht="18.75" x14ac:dyDescent="0.3">
      <c r="A39" s="70" t="s">
        <v>351</v>
      </c>
      <c r="B39" s="22">
        <v>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6">
        <f t="shared" si="0"/>
        <v>0</v>
      </c>
      <c r="O39" s="60">
        <f t="shared" si="1"/>
        <v>0</v>
      </c>
      <c r="P39" s="59">
        <f t="shared" si="2"/>
        <v>0</v>
      </c>
      <c r="Q39" s="58"/>
      <c r="R39" s="22">
        <v>2</v>
      </c>
      <c r="S39" s="21">
        <f t="shared" si="3"/>
        <v>-1</v>
      </c>
      <c r="T39" s="56"/>
      <c r="U39" s="55">
        <v>2</v>
      </c>
      <c r="V39" s="19">
        <f t="shared" si="4"/>
        <v>-1</v>
      </c>
    </row>
    <row r="40" spans="1:22" ht="18.75" x14ac:dyDescent="0.3">
      <c r="A40" s="70" t="s">
        <v>303</v>
      </c>
      <c r="B40" s="22">
        <v>0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6">
        <f t="shared" si="0"/>
        <v>0</v>
      </c>
      <c r="O40" s="60">
        <f t="shared" ref="O40:O41" si="17">SUM(B40:M40)</f>
        <v>0</v>
      </c>
      <c r="P40" s="59">
        <f t="shared" si="2"/>
        <v>0</v>
      </c>
      <c r="Q40" s="58"/>
      <c r="R40" s="22">
        <v>1</v>
      </c>
      <c r="S40" s="21">
        <f t="shared" si="3"/>
        <v>-1</v>
      </c>
      <c r="T40" s="56"/>
      <c r="U40" s="55">
        <v>1</v>
      </c>
      <c r="V40" s="19">
        <f t="shared" ref="V40:V41" si="18">IFERROR(O40/U40-1,"-")</f>
        <v>-1</v>
      </c>
    </row>
    <row r="41" spans="1:22" ht="18.75" x14ac:dyDescent="0.3">
      <c r="A41" s="70" t="s">
        <v>410</v>
      </c>
      <c r="B41" s="22">
        <v>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6">
        <f t="shared" si="0"/>
        <v>0</v>
      </c>
      <c r="O41" s="60">
        <f t="shared" si="17"/>
        <v>0</v>
      </c>
      <c r="P41" s="59">
        <f t="shared" si="2"/>
        <v>0</v>
      </c>
      <c r="Q41" s="58"/>
      <c r="R41" s="22">
        <v>1</v>
      </c>
      <c r="S41" s="21">
        <f t="shared" si="3"/>
        <v>-1</v>
      </c>
      <c r="T41" s="56"/>
      <c r="U41" s="55">
        <v>1</v>
      </c>
      <c r="V41" s="19">
        <f t="shared" si="18"/>
        <v>-1</v>
      </c>
    </row>
    <row r="42" spans="1:22" s="8" customFormat="1" ht="19.5" thickBot="1" x14ac:dyDescent="0.35">
      <c r="A42" s="69" t="s">
        <v>1</v>
      </c>
      <c r="B42" s="68">
        <f t="shared" ref="B42:P42" si="19">SUM(B5:B41)</f>
        <v>1191</v>
      </c>
      <c r="C42" s="13">
        <f t="shared" si="19"/>
        <v>0</v>
      </c>
      <c r="D42" s="13">
        <f t="shared" si="19"/>
        <v>0</v>
      </c>
      <c r="E42" s="13">
        <f t="shared" si="19"/>
        <v>0</v>
      </c>
      <c r="F42" s="13">
        <f t="shared" si="19"/>
        <v>0</v>
      </c>
      <c r="G42" s="13">
        <f t="shared" si="19"/>
        <v>0</v>
      </c>
      <c r="H42" s="13">
        <f t="shared" si="19"/>
        <v>0</v>
      </c>
      <c r="I42" s="13">
        <f t="shared" si="19"/>
        <v>0</v>
      </c>
      <c r="J42" s="13">
        <f t="shared" si="19"/>
        <v>0</v>
      </c>
      <c r="K42" s="13">
        <f t="shared" si="19"/>
        <v>0</v>
      </c>
      <c r="L42" s="13">
        <f t="shared" si="19"/>
        <v>0</v>
      </c>
      <c r="M42" s="13">
        <f t="shared" si="19"/>
        <v>0</v>
      </c>
      <c r="N42" s="16">
        <f t="shared" si="19"/>
        <v>0.99999999999999967</v>
      </c>
      <c r="O42" s="66">
        <f t="shared" si="19"/>
        <v>1191</v>
      </c>
      <c r="P42" s="67">
        <f t="shared" si="19"/>
        <v>0.99999999999999967</v>
      </c>
      <c r="Q42" s="53"/>
      <c r="R42" s="13">
        <f>SUM(R5:R41)</f>
        <v>1050</v>
      </c>
      <c r="S42" s="15">
        <f t="shared" si="3"/>
        <v>0.13428571428571434</v>
      </c>
      <c r="T42" s="52"/>
      <c r="U42" s="66">
        <f>SUM(U5:U41)</f>
        <v>1050</v>
      </c>
      <c r="V42" s="12">
        <f t="shared" ref="V42" si="20">IFERROR(O42/U42-1,"-")</f>
        <v>0.13428571428571434</v>
      </c>
    </row>
    <row r="43" spans="1:22" ht="8.25" customHeight="1" thickTop="1" x14ac:dyDescent="0.3">
      <c r="A43" s="11"/>
      <c r="B43" s="49"/>
      <c r="C43" s="49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51"/>
      <c r="O43" s="11"/>
      <c r="P43" s="11"/>
      <c r="R43" s="47"/>
      <c r="S43" s="51"/>
      <c r="T43" s="50"/>
      <c r="U43" s="44"/>
    </row>
    <row r="44" spans="1:22" ht="18.75" x14ac:dyDescent="0.3">
      <c r="A44" s="11" t="s">
        <v>7</v>
      </c>
      <c r="B44" s="49"/>
      <c r="C44" s="49"/>
      <c r="D44" s="47"/>
      <c r="E44" s="49"/>
      <c r="F44" s="49"/>
      <c r="G44" s="49"/>
      <c r="H44" s="49"/>
      <c r="I44" s="49"/>
      <c r="J44" s="49"/>
      <c r="K44" s="49"/>
      <c r="L44" s="49"/>
      <c r="M44" s="49"/>
      <c r="N44" s="46"/>
      <c r="O44" s="11"/>
      <c r="P44" s="11"/>
      <c r="R44" s="47"/>
      <c r="S44" s="46"/>
      <c r="T44" s="45"/>
      <c r="U44" s="44"/>
    </row>
    <row r="45" spans="1:22" x14ac:dyDescent="0.25">
      <c r="A45" s="1"/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</row>
    <row r="46" spans="1:22" s="80" customFormat="1" ht="18.75" x14ac:dyDescent="0.3">
      <c r="A46" s="76" t="s">
        <v>15</v>
      </c>
      <c r="B46" s="65"/>
      <c r="C46" s="65"/>
      <c r="D46" s="77"/>
      <c r="E46" s="65"/>
      <c r="F46" s="65"/>
      <c r="G46" s="65"/>
      <c r="H46" s="65"/>
      <c r="I46" s="65"/>
      <c r="J46" s="65"/>
      <c r="K46" s="65"/>
      <c r="L46" s="65"/>
      <c r="M46" s="65"/>
      <c r="N46" s="43"/>
      <c r="O46" s="76"/>
      <c r="P46" s="76"/>
      <c r="Q46" s="78"/>
      <c r="R46" s="77"/>
      <c r="S46" s="43"/>
      <c r="T46" s="79"/>
      <c r="U46" s="207" t="str">
        <f>+U2</f>
        <v>Enero</v>
      </c>
      <c r="V46" s="208"/>
    </row>
    <row r="47" spans="1:22" s="80" customFormat="1" ht="18.75" x14ac:dyDescent="0.3">
      <c r="A47" s="81" t="s">
        <v>14</v>
      </c>
      <c r="B47" s="82"/>
      <c r="C47" s="82"/>
      <c r="D47" s="83"/>
      <c r="E47" s="82"/>
      <c r="F47" s="82"/>
      <c r="G47" s="82"/>
      <c r="H47" s="82"/>
      <c r="I47" s="82"/>
      <c r="J47" s="82"/>
      <c r="K47" s="82"/>
      <c r="L47" s="82"/>
      <c r="M47" s="82"/>
      <c r="N47" s="84"/>
      <c r="O47" s="81"/>
      <c r="P47" s="81"/>
      <c r="Q47" s="78"/>
      <c r="R47" s="83"/>
      <c r="S47" s="84"/>
      <c r="T47" s="79"/>
      <c r="U47" s="85"/>
      <c r="V47" s="86"/>
    </row>
    <row r="48" spans="1:22" s="32" customFormat="1" ht="36.75" customHeight="1" x14ac:dyDescent="0.25">
      <c r="A48" s="41" t="s">
        <v>2</v>
      </c>
      <c r="B48" s="95">
        <v>45292</v>
      </c>
      <c r="C48" s="95">
        <v>45323</v>
      </c>
      <c r="D48" s="95">
        <v>45352</v>
      </c>
      <c r="E48" s="95">
        <v>45383</v>
      </c>
      <c r="F48" s="95">
        <v>45413</v>
      </c>
      <c r="G48" s="95">
        <v>45444</v>
      </c>
      <c r="H48" s="95">
        <v>45474</v>
      </c>
      <c r="I48" s="95">
        <v>45505</v>
      </c>
      <c r="J48" s="95">
        <v>45536</v>
      </c>
      <c r="K48" s="95">
        <v>45566</v>
      </c>
      <c r="L48" s="95">
        <v>45597</v>
      </c>
      <c r="M48" s="95">
        <v>45627</v>
      </c>
      <c r="N48" s="40" t="s">
        <v>66</v>
      </c>
      <c r="O48" s="39" t="str">
        <f>'RESUMEN '!O4</f>
        <v>ACUMULADO 
2025</v>
      </c>
      <c r="P48" s="39" t="str">
        <f>'RESUMEN '!P4</f>
        <v>% Part ACUM 
 2025</v>
      </c>
      <c r="Q48" s="38"/>
      <c r="R48" s="37">
        <f>+'Marca y mes'!R4</f>
        <v>45292</v>
      </c>
      <c r="S48" s="36" t="str">
        <f>'RESUMEN '!U4</f>
        <v>Var. %  Ene '25 vs Ene '24</v>
      </c>
      <c r="T48" s="35"/>
      <c r="U48" s="34" t="str">
        <f>'RESUMEN '!W4</f>
        <v>ACUMULADO
 2024</v>
      </c>
      <c r="V48" s="33" t="str">
        <f>'RESUMEN '!X4</f>
        <v>Var. %
ACUM  25/24</v>
      </c>
    </row>
    <row r="49" spans="1:22" ht="18.75" x14ac:dyDescent="0.3">
      <c r="A49" s="74" t="s">
        <v>25</v>
      </c>
      <c r="B49" s="30">
        <v>99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26">
        <f t="shared" ref="N49:N63" si="21">IFERROR(+B49/$B$64,"-")</f>
        <v>0.2661290322580645</v>
      </c>
      <c r="O49" s="72">
        <f t="shared" ref="O49:O63" si="22">SUM(B49:M49)</f>
        <v>99</v>
      </c>
      <c r="P49" s="71">
        <f t="shared" ref="P49:P63" si="23">+O49/$O$64</f>
        <v>0.2661290322580645</v>
      </c>
      <c r="Q49" s="58"/>
      <c r="R49" s="30">
        <v>93</v>
      </c>
      <c r="S49" s="21">
        <f t="shared" ref="S49:S64" si="24">+IFERROR(B49/R49-1,"-")</f>
        <v>6.4516129032258007E-2</v>
      </c>
      <c r="T49" s="56"/>
      <c r="U49" s="55">
        <v>93</v>
      </c>
      <c r="V49" s="19">
        <f t="shared" ref="V49:V63" si="25">IFERROR(O49/U49-1,"-")</f>
        <v>6.4516129032258007E-2</v>
      </c>
    </row>
    <row r="50" spans="1:22" ht="18.75" x14ac:dyDescent="0.3">
      <c r="A50" s="70" t="s">
        <v>20</v>
      </c>
      <c r="B50" s="22">
        <v>83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6">
        <f t="shared" si="21"/>
        <v>0.22311827956989247</v>
      </c>
      <c r="O50" s="60">
        <f t="shared" si="22"/>
        <v>83</v>
      </c>
      <c r="P50" s="59">
        <f t="shared" si="23"/>
        <v>0.22311827956989247</v>
      </c>
      <c r="Q50" s="58"/>
      <c r="R50" s="22">
        <v>48</v>
      </c>
      <c r="S50" s="21">
        <f t="shared" si="24"/>
        <v>0.72916666666666674</v>
      </c>
      <c r="T50" s="56"/>
      <c r="U50" s="55">
        <v>48</v>
      </c>
      <c r="V50" s="19">
        <f t="shared" si="25"/>
        <v>0.72916666666666674</v>
      </c>
    </row>
    <row r="51" spans="1:22" ht="16.5" customHeight="1" x14ac:dyDescent="0.3">
      <c r="A51" s="70" t="s">
        <v>23</v>
      </c>
      <c r="B51" s="22">
        <v>34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6">
        <f t="shared" si="21"/>
        <v>9.1397849462365593E-2</v>
      </c>
      <c r="O51" s="60">
        <f t="shared" si="22"/>
        <v>34</v>
      </c>
      <c r="P51" s="59">
        <f t="shared" si="23"/>
        <v>9.1397849462365593E-2</v>
      </c>
      <c r="Q51" s="58"/>
      <c r="R51" s="22">
        <v>20</v>
      </c>
      <c r="S51" s="21">
        <f t="shared" si="24"/>
        <v>0.7</v>
      </c>
      <c r="T51" s="56"/>
      <c r="U51" s="55">
        <v>20</v>
      </c>
      <c r="V51" s="19">
        <f t="shared" si="25"/>
        <v>0.7</v>
      </c>
    </row>
    <row r="52" spans="1:22" ht="18.75" x14ac:dyDescent="0.3">
      <c r="A52" s="70" t="s">
        <v>26</v>
      </c>
      <c r="B52" s="22">
        <v>28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6">
        <f t="shared" si="21"/>
        <v>7.5268817204301078E-2</v>
      </c>
      <c r="O52" s="60">
        <f t="shared" si="22"/>
        <v>28</v>
      </c>
      <c r="P52" s="59">
        <f t="shared" si="23"/>
        <v>7.5268817204301078E-2</v>
      </c>
      <c r="Q52" s="58"/>
      <c r="R52" s="22">
        <v>7</v>
      </c>
      <c r="S52" s="21">
        <f t="shared" si="24"/>
        <v>3</v>
      </c>
      <c r="T52" s="56"/>
      <c r="U52" s="55">
        <v>7</v>
      </c>
      <c r="V52" s="19">
        <f t="shared" si="25"/>
        <v>3</v>
      </c>
    </row>
    <row r="53" spans="1:22" ht="18.75" x14ac:dyDescent="0.3">
      <c r="A53" s="70" t="s">
        <v>34</v>
      </c>
      <c r="B53" s="22">
        <v>24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6">
        <f t="shared" si="21"/>
        <v>6.4516129032258063E-2</v>
      </c>
      <c r="O53" s="60">
        <f t="shared" si="22"/>
        <v>24</v>
      </c>
      <c r="P53" s="59">
        <f t="shared" si="23"/>
        <v>6.4516129032258063E-2</v>
      </c>
      <c r="Q53" s="58"/>
      <c r="R53" s="22">
        <v>4</v>
      </c>
      <c r="S53" s="21">
        <f t="shared" si="24"/>
        <v>5</v>
      </c>
      <c r="T53" s="56"/>
      <c r="U53" s="55">
        <v>4</v>
      </c>
      <c r="V53" s="19">
        <f t="shared" si="25"/>
        <v>5</v>
      </c>
    </row>
    <row r="54" spans="1:22" ht="18.75" x14ac:dyDescent="0.3">
      <c r="A54" s="70" t="s">
        <v>31</v>
      </c>
      <c r="B54" s="22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6">
        <f t="shared" si="21"/>
        <v>6.1827956989247312E-2</v>
      </c>
      <c r="O54" s="60">
        <f t="shared" si="22"/>
        <v>23</v>
      </c>
      <c r="P54" s="59">
        <f t="shared" si="23"/>
        <v>6.1827956989247312E-2</v>
      </c>
      <c r="Q54" s="58"/>
      <c r="R54" s="22">
        <v>33</v>
      </c>
      <c r="S54" s="21">
        <f t="shared" si="24"/>
        <v>-0.30303030303030298</v>
      </c>
      <c r="T54" s="56"/>
      <c r="U54" s="55">
        <v>33</v>
      </c>
      <c r="V54" s="19">
        <f t="shared" si="25"/>
        <v>-0.30303030303030298</v>
      </c>
    </row>
    <row r="55" spans="1:22" ht="18.75" x14ac:dyDescent="0.3">
      <c r="A55" s="70" t="s">
        <v>42</v>
      </c>
      <c r="B55" s="22">
        <v>20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6">
        <f t="shared" si="21"/>
        <v>5.3763440860215055E-2</v>
      </c>
      <c r="O55" s="60">
        <f t="shared" ref="O55:O56" si="26">SUM(B55:M55)</f>
        <v>20</v>
      </c>
      <c r="P55" s="59">
        <f t="shared" si="23"/>
        <v>5.3763440860215055E-2</v>
      </c>
      <c r="Q55" s="58"/>
      <c r="R55" s="22">
        <v>4</v>
      </c>
      <c r="S55" s="21">
        <f t="shared" si="24"/>
        <v>4</v>
      </c>
      <c r="T55" s="56"/>
      <c r="U55" s="55">
        <v>4</v>
      </c>
      <c r="V55" s="19">
        <f t="shared" ref="V55:V56" si="27">IFERROR(O55/U55-1,"-")</f>
        <v>4</v>
      </c>
    </row>
    <row r="56" spans="1:22" ht="18.75" x14ac:dyDescent="0.3">
      <c r="A56" s="70" t="s">
        <v>40</v>
      </c>
      <c r="B56" s="22">
        <v>19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6">
        <f t="shared" si="21"/>
        <v>5.1075268817204304E-2</v>
      </c>
      <c r="O56" s="60">
        <f t="shared" si="26"/>
        <v>19</v>
      </c>
      <c r="P56" s="59">
        <f t="shared" si="23"/>
        <v>5.1075268817204304E-2</v>
      </c>
      <c r="Q56" s="58"/>
      <c r="R56" s="22">
        <v>6</v>
      </c>
      <c r="S56" s="21">
        <f t="shared" si="24"/>
        <v>2.1666666666666665</v>
      </c>
      <c r="T56" s="56"/>
      <c r="U56" s="55">
        <v>6</v>
      </c>
      <c r="V56" s="19">
        <f t="shared" si="27"/>
        <v>2.1666666666666665</v>
      </c>
    </row>
    <row r="57" spans="1:22" ht="18.75" x14ac:dyDescent="0.3">
      <c r="A57" s="70" t="s">
        <v>19</v>
      </c>
      <c r="B57" s="22">
        <v>18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6">
        <f t="shared" si="21"/>
        <v>4.8387096774193547E-2</v>
      </c>
      <c r="O57" s="60">
        <f t="shared" si="22"/>
        <v>18</v>
      </c>
      <c r="P57" s="59">
        <f t="shared" si="23"/>
        <v>4.8387096774193547E-2</v>
      </c>
      <c r="Q57" s="58"/>
      <c r="R57" s="22">
        <v>5</v>
      </c>
      <c r="S57" s="21">
        <f t="shared" si="24"/>
        <v>2.6</v>
      </c>
      <c r="T57" s="56"/>
      <c r="U57" s="55">
        <v>5</v>
      </c>
      <c r="V57" s="19">
        <f t="shared" si="25"/>
        <v>2.6</v>
      </c>
    </row>
    <row r="58" spans="1:22" ht="18.75" x14ac:dyDescent="0.3">
      <c r="A58" s="70" t="s">
        <v>28</v>
      </c>
      <c r="B58" s="22">
        <v>10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6">
        <f t="shared" si="21"/>
        <v>2.6881720430107527E-2</v>
      </c>
      <c r="O58" s="60">
        <f t="shared" si="22"/>
        <v>10</v>
      </c>
      <c r="P58" s="59">
        <f t="shared" si="23"/>
        <v>2.6881720430107527E-2</v>
      </c>
      <c r="Q58" s="58"/>
      <c r="R58" s="22">
        <v>12</v>
      </c>
      <c r="S58" s="21">
        <f t="shared" si="24"/>
        <v>-0.16666666666666663</v>
      </c>
      <c r="T58" s="56"/>
      <c r="U58" s="55">
        <v>12</v>
      </c>
      <c r="V58" s="19">
        <f t="shared" si="25"/>
        <v>-0.16666666666666663</v>
      </c>
    </row>
    <row r="59" spans="1:22" ht="16.5" customHeight="1" x14ac:dyDescent="0.3">
      <c r="A59" s="70" t="s">
        <v>44</v>
      </c>
      <c r="B59" s="22">
        <v>6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6">
        <f t="shared" si="21"/>
        <v>1.6129032258064516E-2</v>
      </c>
      <c r="O59" s="60">
        <f t="shared" si="22"/>
        <v>6</v>
      </c>
      <c r="P59" s="59">
        <f t="shared" si="23"/>
        <v>1.6129032258064516E-2</v>
      </c>
      <c r="Q59" s="58"/>
      <c r="R59" s="22">
        <v>6</v>
      </c>
      <c r="S59" s="21">
        <f t="shared" si="24"/>
        <v>0</v>
      </c>
      <c r="T59" s="56"/>
      <c r="U59" s="55">
        <v>6</v>
      </c>
      <c r="V59" s="19">
        <f t="shared" si="25"/>
        <v>0</v>
      </c>
    </row>
    <row r="60" spans="1:22" ht="18.75" x14ac:dyDescent="0.3">
      <c r="A60" s="70" t="s">
        <v>448</v>
      </c>
      <c r="B60" s="22">
        <v>5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6">
        <f t="shared" si="21"/>
        <v>1.3440860215053764E-2</v>
      </c>
      <c r="O60" s="60">
        <f t="shared" ref="O60" si="28">SUM(B60:M60)</f>
        <v>5</v>
      </c>
      <c r="P60" s="59">
        <f t="shared" si="23"/>
        <v>1.3440860215053764E-2</v>
      </c>
      <c r="Q60" s="58"/>
      <c r="R60" s="22">
        <v>0</v>
      </c>
      <c r="S60" s="21" t="str">
        <f t="shared" si="24"/>
        <v>-</v>
      </c>
      <c r="T60" s="56"/>
      <c r="U60" s="55">
        <v>0</v>
      </c>
      <c r="V60" s="19" t="str">
        <f t="shared" ref="V60" si="29">IFERROR(O60/U60-1,"-")</f>
        <v>-</v>
      </c>
    </row>
    <row r="61" spans="1:22" ht="18.75" x14ac:dyDescent="0.3">
      <c r="A61" s="70" t="s">
        <v>30</v>
      </c>
      <c r="B61" s="22">
        <v>3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6">
        <f t="shared" si="21"/>
        <v>8.0645161290322578E-3</v>
      </c>
      <c r="O61" s="60">
        <f t="shared" si="22"/>
        <v>3</v>
      </c>
      <c r="P61" s="59">
        <f t="shared" si="23"/>
        <v>8.0645161290322578E-3</v>
      </c>
      <c r="Q61" s="58"/>
      <c r="R61" s="22">
        <v>13</v>
      </c>
      <c r="S61" s="21">
        <f t="shared" si="24"/>
        <v>-0.76923076923076916</v>
      </c>
      <c r="T61" s="56"/>
      <c r="U61" s="55">
        <v>13</v>
      </c>
      <c r="V61" s="19">
        <f t="shared" si="25"/>
        <v>-0.76923076923076916</v>
      </c>
    </row>
    <row r="62" spans="1:22" ht="18.75" x14ac:dyDescent="0.3">
      <c r="A62" s="70" t="s">
        <v>24</v>
      </c>
      <c r="B62" s="22">
        <v>0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6">
        <f t="shared" si="21"/>
        <v>0</v>
      </c>
      <c r="O62" s="60">
        <f t="shared" si="22"/>
        <v>0</v>
      </c>
      <c r="P62" s="59">
        <f t="shared" si="23"/>
        <v>0</v>
      </c>
      <c r="Q62" s="58"/>
      <c r="R62" s="22">
        <v>1</v>
      </c>
      <c r="S62" s="21">
        <f t="shared" si="24"/>
        <v>-1</v>
      </c>
      <c r="T62" s="56"/>
      <c r="U62" s="55">
        <v>1</v>
      </c>
      <c r="V62" s="19">
        <f t="shared" si="25"/>
        <v>-1</v>
      </c>
    </row>
    <row r="63" spans="1:22" ht="18.75" x14ac:dyDescent="0.3">
      <c r="A63" s="70" t="s">
        <v>46</v>
      </c>
      <c r="B63" s="22">
        <v>0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6">
        <f t="shared" si="21"/>
        <v>0</v>
      </c>
      <c r="O63" s="60">
        <f t="shared" si="22"/>
        <v>0</v>
      </c>
      <c r="P63" s="59">
        <f t="shared" si="23"/>
        <v>0</v>
      </c>
      <c r="Q63" s="58"/>
      <c r="R63" s="22">
        <v>2</v>
      </c>
      <c r="S63" s="21">
        <f t="shared" si="24"/>
        <v>-1</v>
      </c>
      <c r="T63" s="56"/>
      <c r="U63" s="55">
        <v>2</v>
      </c>
      <c r="V63" s="19">
        <f t="shared" si="25"/>
        <v>-1</v>
      </c>
    </row>
    <row r="64" spans="1:22" s="8" customFormat="1" ht="19.5" thickBot="1" x14ac:dyDescent="0.35">
      <c r="A64" s="69" t="s">
        <v>1</v>
      </c>
      <c r="B64" s="68">
        <f t="shared" ref="B64:P64" si="30">SUM(B49:B63)</f>
        <v>372</v>
      </c>
      <c r="C64" s="13">
        <f t="shared" si="30"/>
        <v>0</v>
      </c>
      <c r="D64" s="13">
        <f t="shared" si="30"/>
        <v>0</v>
      </c>
      <c r="E64" s="13">
        <f t="shared" si="30"/>
        <v>0</v>
      </c>
      <c r="F64" s="13">
        <f t="shared" si="30"/>
        <v>0</v>
      </c>
      <c r="G64" s="13">
        <f t="shared" si="30"/>
        <v>0</v>
      </c>
      <c r="H64" s="13">
        <f t="shared" si="30"/>
        <v>0</v>
      </c>
      <c r="I64" s="13">
        <f t="shared" si="30"/>
        <v>0</v>
      </c>
      <c r="J64" s="13">
        <f t="shared" si="30"/>
        <v>0</v>
      </c>
      <c r="K64" s="13">
        <f t="shared" si="30"/>
        <v>0</v>
      </c>
      <c r="L64" s="13">
        <f t="shared" si="30"/>
        <v>0</v>
      </c>
      <c r="M64" s="13">
        <f t="shared" si="30"/>
        <v>0</v>
      </c>
      <c r="N64" s="16">
        <f t="shared" si="30"/>
        <v>0.99999999999999978</v>
      </c>
      <c r="O64" s="66">
        <f t="shared" si="30"/>
        <v>372</v>
      </c>
      <c r="P64" s="67">
        <f t="shared" si="30"/>
        <v>0.99999999999999978</v>
      </c>
      <c r="Q64" s="53"/>
      <c r="R64" s="13">
        <f>SUM(R49:R63)</f>
        <v>254</v>
      </c>
      <c r="S64" s="15">
        <f t="shared" si="24"/>
        <v>0.46456692913385833</v>
      </c>
      <c r="T64" s="52"/>
      <c r="U64" s="66">
        <f>SUM(U49:U63)</f>
        <v>254</v>
      </c>
      <c r="V64" s="12">
        <f t="shared" ref="V64" si="31">IFERROR(O64/U64-1,"-")</f>
        <v>0.46456692913385833</v>
      </c>
    </row>
    <row r="65" spans="1:21" ht="19.5" thickTop="1" x14ac:dyDescent="0.3">
      <c r="A65" s="11"/>
      <c r="B65" s="49"/>
      <c r="C65" s="49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51"/>
      <c r="O65" s="11"/>
      <c r="P65" s="11"/>
      <c r="R65" s="47"/>
      <c r="S65" s="51"/>
      <c r="T65" s="50"/>
      <c r="U65" s="44"/>
    </row>
    <row r="66" spans="1:21" ht="18.75" x14ac:dyDescent="0.3">
      <c r="A66" s="11" t="s">
        <v>7</v>
      </c>
      <c r="B66" s="49"/>
      <c r="C66" s="49"/>
      <c r="D66" s="47"/>
      <c r="E66" s="49"/>
      <c r="F66" s="49"/>
      <c r="G66" s="49"/>
      <c r="H66" s="49"/>
      <c r="I66" s="49"/>
      <c r="J66" s="49"/>
      <c r="K66" s="49"/>
      <c r="L66" s="49"/>
      <c r="M66" s="49"/>
      <c r="N66" s="46"/>
      <c r="O66" s="11"/>
      <c r="P66" s="11"/>
      <c r="R66" s="47"/>
      <c r="S66" s="46"/>
      <c r="T66" s="45"/>
      <c r="U66" s="44"/>
    </row>
  </sheetData>
  <sortState xmlns:xlrd2="http://schemas.microsoft.com/office/spreadsheetml/2017/richdata2" ref="A49:V63">
    <sortCondition descending="1" ref="O49:O63"/>
  </sortState>
  <mergeCells count="2">
    <mergeCell ref="U2:V2"/>
    <mergeCell ref="U46:V46"/>
  </mergeCells>
  <conditionalFormatting sqref="A5:A41">
    <cfRule type="duplicateValues" dxfId="3" priority="22"/>
  </conditionalFormatting>
  <conditionalFormatting sqref="A49:A63">
    <cfRule type="duplicateValues" dxfId="2" priority="29"/>
    <cfRule type="duplicateValues" dxfId="1" priority="30"/>
  </conditionalFormatting>
  <pageMargins left="0.75" right="0.75" top="1" bottom="1" header="0" footer="0"/>
  <pageSetup paperSize="9" scale="70" orientation="landscape" r:id="rId1"/>
  <headerFooter alignWithMargins="0"/>
  <ignoredErrors>
    <ignoredError sqref="B42:E42 B64:M6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X36"/>
  <sheetViews>
    <sheetView zoomScale="80" zoomScaleNormal="80" workbookViewId="0"/>
  </sheetViews>
  <sheetFormatPr baseColWidth="10" defaultRowHeight="18" outlineLevelCol="1" x14ac:dyDescent="0.25"/>
  <cols>
    <col min="1" max="1" width="21.42578125" style="8" customWidth="1"/>
    <col min="2" max="2" width="9.5703125" style="10" customWidth="1"/>
    <col min="3" max="3" width="8" style="10" hidden="1" customWidth="1" outlineLevel="1"/>
    <col min="4" max="4" width="8.42578125" style="6" hidden="1" customWidth="1" outlineLevel="1"/>
    <col min="5" max="5" width="8" style="10" hidden="1" customWidth="1" outlineLevel="1"/>
    <col min="6" max="6" width="8.5703125" style="10" hidden="1" customWidth="1" outlineLevel="1"/>
    <col min="7" max="7" width="7.7109375" style="10" hidden="1" customWidth="1" outlineLevel="1"/>
    <col min="8" max="8" width="7" style="10" hidden="1" customWidth="1" outlineLevel="1"/>
    <col min="9" max="9" width="8.140625" style="10" hidden="1" customWidth="1" outlineLevel="1"/>
    <col min="10" max="10" width="7.7109375" style="10" hidden="1" customWidth="1" outlineLevel="1"/>
    <col min="11" max="11" width="9.42578125" style="10" hidden="1" customWidth="1" outlineLevel="1"/>
    <col min="12" max="12" width="10.28515625" style="10" hidden="1" customWidth="1" outlineLevel="1"/>
    <col min="13" max="13" width="8.7109375" style="10" hidden="1" customWidth="1" outlineLevel="1"/>
    <col min="14" max="14" width="16.85546875" style="5" customWidth="1" collapsed="1"/>
    <col min="15" max="15" width="13.85546875" style="8" customWidth="1"/>
    <col min="16" max="16" width="16" style="8" customWidth="1"/>
    <col min="17" max="17" width="0.5703125" style="7" customWidth="1"/>
    <col min="18" max="18" width="12" style="6" customWidth="1"/>
    <col min="19" max="19" width="15" style="5" customWidth="1"/>
    <col min="20" max="20" width="0.28515625" style="4" customWidth="1"/>
    <col min="21" max="21" width="16.28515625" style="3" customWidth="1"/>
    <col min="22" max="22" width="17.85546875" style="2" customWidth="1"/>
    <col min="23" max="256" width="11.5703125" style="1"/>
    <col min="257" max="257" width="37.7109375" style="1" customWidth="1"/>
    <col min="258" max="258" width="15.85546875" style="1" customWidth="1"/>
    <col min="259" max="260" width="10.85546875" style="1" customWidth="1"/>
    <col min="261" max="269" width="0" style="1" hidden="1" customWidth="1"/>
    <col min="270" max="270" width="13.7109375" style="1" customWidth="1"/>
    <col min="271" max="271" width="17.28515625" style="1" customWidth="1"/>
    <col min="272" max="272" width="16" style="1" customWidth="1"/>
    <col min="273" max="273" width="2" style="1" customWidth="1"/>
    <col min="274" max="274" width="12" style="1" customWidth="1"/>
    <col min="275" max="275" width="10.5703125" style="1" customWidth="1"/>
    <col min="276" max="276" width="1.7109375" style="1" customWidth="1"/>
    <col min="277" max="277" width="14.42578125" style="1" customWidth="1"/>
    <col min="278" max="278" width="11.5703125" style="1" customWidth="1"/>
    <col min="279" max="512" width="11.5703125" style="1"/>
    <col min="513" max="513" width="37.7109375" style="1" customWidth="1"/>
    <col min="514" max="514" width="15.85546875" style="1" customWidth="1"/>
    <col min="515" max="516" width="10.85546875" style="1" customWidth="1"/>
    <col min="517" max="525" width="0" style="1" hidden="1" customWidth="1"/>
    <col min="526" max="526" width="13.7109375" style="1" customWidth="1"/>
    <col min="527" max="527" width="17.28515625" style="1" customWidth="1"/>
    <col min="528" max="528" width="16" style="1" customWidth="1"/>
    <col min="529" max="529" width="2" style="1" customWidth="1"/>
    <col min="530" max="530" width="12" style="1" customWidth="1"/>
    <col min="531" max="531" width="10.5703125" style="1" customWidth="1"/>
    <col min="532" max="532" width="1.7109375" style="1" customWidth="1"/>
    <col min="533" max="533" width="14.42578125" style="1" customWidth="1"/>
    <col min="534" max="534" width="11.5703125" style="1" customWidth="1"/>
    <col min="535" max="768" width="11.5703125" style="1"/>
    <col min="769" max="769" width="37.7109375" style="1" customWidth="1"/>
    <col min="770" max="770" width="15.85546875" style="1" customWidth="1"/>
    <col min="771" max="772" width="10.85546875" style="1" customWidth="1"/>
    <col min="773" max="781" width="0" style="1" hidden="1" customWidth="1"/>
    <col min="782" max="782" width="13.7109375" style="1" customWidth="1"/>
    <col min="783" max="783" width="17.28515625" style="1" customWidth="1"/>
    <col min="784" max="784" width="16" style="1" customWidth="1"/>
    <col min="785" max="785" width="2" style="1" customWidth="1"/>
    <col min="786" max="786" width="12" style="1" customWidth="1"/>
    <col min="787" max="787" width="10.5703125" style="1" customWidth="1"/>
    <col min="788" max="788" width="1.7109375" style="1" customWidth="1"/>
    <col min="789" max="789" width="14.42578125" style="1" customWidth="1"/>
    <col min="790" max="790" width="11.5703125" style="1" customWidth="1"/>
    <col min="791" max="1024" width="11.5703125" style="1"/>
    <col min="1025" max="1025" width="37.7109375" style="1" customWidth="1"/>
    <col min="1026" max="1026" width="15.85546875" style="1" customWidth="1"/>
    <col min="1027" max="1028" width="10.85546875" style="1" customWidth="1"/>
    <col min="1029" max="1037" width="0" style="1" hidden="1" customWidth="1"/>
    <col min="1038" max="1038" width="13.7109375" style="1" customWidth="1"/>
    <col min="1039" max="1039" width="17.28515625" style="1" customWidth="1"/>
    <col min="1040" max="1040" width="16" style="1" customWidth="1"/>
    <col min="1041" max="1041" width="2" style="1" customWidth="1"/>
    <col min="1042" max="1042" width="12" style="1" customWidth="1"/>
    <col min="1043" max="1043" width="10.5703125" style="1" customWidth="1"/>
    <col min="1044" max="1044" width="1.7109375" style="1" customWidth="1"/>
    <col min="1045" max="1045" width="14.42578125" style="1" customWidth="1"/>
    <col min="1046" max="1046" width="11.5703125" style="1" customWidth="1"/>
    <col min="1047" max="1280" width="11.5703125" style="1"/>
    <col min="1281" max="1281" width="37.7109375" style="1" customWidth="1"/>
    <col min="1282" max="1282" width="15.85546875" style="1" customWidth="1"/>
    <col min="1283" max="1284" width="10.85546875" style="1" customWidth="1"/>
    <col min="1285" max="1293" width="0" style="1" hidden="1" customWidth="1"/>
    <col min="1294" max="1294" width="13.7109375" style="1" customWidth="1"/>
    <col min="1295" max="1295" width="17.28515625" style="1" customWidth="1"/>
    <col min="1296" max="1296" width="16" style="1" customWidth="1"/>
    <col min="1297" max="1297" width="2" style="1" customWidth="1"/>
    <col min="1298" max="1298" width="12" style="1" customWidth="1"/>
    <col min="1299" max="1299" width="10.5703125" style="1" customWidth="1"/>
    <col min="1300" max="1300" width="1.7109375" style="1" customWidth="1"/>
    <col min="1301" max="1301" width="14.42578125" style="1" customWidth="1"/>
    <col min="1302" max="1302" width="11.5703125" style="1" customWidth="1"/>
    <col min="1303" max="1536" width="11.5703125" style="1"/>
    <col min="1537" max="1537" width="37.7109375" style="1" customWidth="1"/>
    <col min="1538" max="1538" width="15.85546875" style="1" customWidth="1"/>
    <col min="1539" max="1540" width="10.85546875" style="1" customWidth="1"/>
    <col min="1541" max="1549" width="0" style="1" hidden="1" customWidth="1"/>
    <col min="1550" max="1550" width="13.7109375" style="1" customWidth="1"/>
    <col min="1551" max="1551" width="17.28515625" style="1" customWidth="1"/>
    <col min="1552" max="1552" width="16" style="1" customWidth="1"/>
    <col min="1553" max="1553" width="2" style="1" customWidth="1"/>
    <col min="1554" max="1554" width="12" style="1" customWidth="1"/>
    <col min="1555" max="1555" width="10.5703125" style="1" customWidth="1"/>
    <col min="1556" max="1556" width="1.7109375" style="1" customWidth="1"/>
    <col min="1557" max="1557" width="14.42578125" style="1" customWidth="1"/>
    <col min="1558" max="1558" width="11.5703125" style="1" customWidth="1"/>
    <col min="1559" max="1792" width="11.5703125" style="1"/>
    <col min="1793" max="1793" width="37.7109375" style="1" customWidth="1"/>
    <col min="1794" max="1794" width="15.85546875" style="1" customWidth="1"/>
    <col min="1795" max="1796" width="10.85546875" style="1" customWidth="1"/>
    <col min="1797" max="1805" width="0" style="1" hidden="1" customWidth="1"/>
    <col min="1806" max="1806" width="13.7109375" style="1" customWidth="1"/>
    <col min="1807" max="1807" width="17.28515625" style="1" customWidth="1"/>
    <col min="1808" max="1808" width="16" style="1" customWidth="1"/>
    <col min="1809" max="1809" width="2" style="1" customWidth="1"/>
    <col min="1810" max="1810" width="12" style="1" customWidth="1"/>
    <col min="1811" max="1811" width="10.5703125" style="1" customWidth="1"/>
    <col min="1812" max="1812" width="1.7109375" style="1" customWidth="1"/>
    <col min="1813" max="1813" width="14.42578125" style="1" customWidth="1"/>
    <col min="1814" max="1814" width="11.5703125" style="1" customWidth="1"/>
    <col min="1815" max="2048" width="11.5703125" style="1"/>
    <col min="2049" max="2049" width="37.7109375" style="1" customWidth="1"/>
    <col min="2050" max="2050" width="15.85546875" style="1" customWidth="1"/>
    <col min="2051" max="2052" width="10.85546875" style="1" customWidth="1"/>
    <col min="2053" max="2061" width="0" style="1" hidden="1" customWidth="1"/>
    <col min="2062" max="2062" width="13.7109375" style="1" customWidth="1"/>
    <col min="2063" max="2063" width="17.28515625" style="1" customWidth="1"/>
    <col min="2064" max="2064" width="16" style="1" customWidth="1"/>
    <col min="2065" max="2065" width="2" style="1" customWidth="1"/>
    <col min="2066" max="2066" width="12" style="1" customWidth="1"/>
    <col min="2067" max="2067" width="10.5703125" style="1" customWidth="1"/>
    <col min="2068" max="2068" width="1.7109375" style="1" customWidth="1"/>
    <col min="2069" max="2069" width="14.42578125" style="1" customWidth="1"/>
    <col min="2070" max="2070" width="11.5703125" style="1" customWidth="1"/>
    <col min="2071" max="2304" width="11.5703125" style="1"/>
    <col min="2305" max="2305" width="37.7109375" style="1" customWidth="1"/>
    <col min="2306" max="2306" width="15.85546875" style="1" customWidth="1"/>
    <col min="2307" max="2308" width="10.85546875" style="1" customWidth="1"/>
    <col min="2309" max="2317" width="0" style="1" hidden="1" customWidth="1"/>
    <col min="2318" max="2318" width="13.7109375" style="1" customWidth="1"/>
    <col min="2319" max="2319" width="17.28515625" style="1" customWidth="1"/>
    <col min="2320" max="2320" width="16" style="1" customWidth="1"/>
    <col min="2321" max="2321" width="2" style="1" customWidth="1"/>
    <col min="2322" max="2322" width="12" style="1" customWidth="1"/>
    <col min="2323" max="2323" width="10.5703125" style="1" customWidth="1"/>
    <col min="2324" max="2324" width="1.7109375" style="1" customWidth="1"/>
    <col min="2325" max="2325" width="14.42578125" style="1" customWidth="1"/>
    <col min="2326" max="2326" width="11.5703125" style="1" customWidth="1"/>
    <col min="2327" max="2560" width="11.5703125" style="1"/>
    <col min="2561" max="2561" width="37.7109375" style="1" customWidth="1"/>
    <col min="2562" max="2562" width="15.85546875" style="1" customWidth="1"/>
    <col min="2563" max="2564" width="10.85546875" style="1" customWidth="1"/>
    <col min="2565" max="2573" width="0" style="1" hidden="1" customWidth="1"/>
    <col min="2574" max="2574" width="13.7109375" style="1" customWidth="1"/>
    <col min="2575" max="2575" width="17.28515625" style="1" customWidth="1"/>
    <col min="2576" max="2576" width="16" style="1" customWidth="1"/>
    <col min="2577" max="2577" width="2" style="1" customWidth="1"/>
    <col min="2578" max="2578" width="12" style="1" customWidth="1"/>
    <col min="2579" max="2579" width="10.5703125" style="1" customWidth="1"/>
    <col min="2580" max="2580" width="1.7109375" style="1" customWidth="1"/>
    <col min="2581" max="2581" width="14.42578125" style="1" customWidth="1"/>
    <col min="2582" max="2582" width="11.5703125" style="1" customWidth="1"/>
    <col min="2583" max="2816" width="11.5703125" style="1"/>
    <col min="2817" max="2817" width="37.7109375" style="1" customWidth="1"/>
    <col min="2818" max="2818" width="15.85546875" style="1" customWidth="1"/>
    <col min="2819" max="2820" width="10.85546875" style="1" customWidth="1"/>
    <col min="2821" max="2829" width="0" style="1" hidden="1" customWidth="1"/>
    <col min="2830" max="2830" width="13.7109375" style="1" customWidth="1"/>
    <col min="2831" max="2831" width="17.28515625" style="1" customWidth="1"/>
    <col min="2832" max="2832" width="16" style="1" customWidth="1"/>
    <col min="2833" max="2833" width="2" style="1" customWidth="1"/>
    <col min="2834" max="2834" width="12" style="1" customWidth="1"/>
    <col min="2835" max="2835" width="10.5703125" style="1" customWidth="1"/>
    <col min="2836" max="2836" width="1.7109375" style="1" customWidth="1"/>
    <col min="2837" max="2837" width="14.42578125" style="1" customWidth="1"/>
    <col min="2838" max="2838" width="11.5703125" style="1" customWidth="1"/>
    <col min="2839" max="3072" width="11.5703125" style="1"/>
    <col min="3073" max="3073" width="37.7109375" style="1" customWidth="1"/>
    <col min="3074" max="3074" width="15.85546875" style="1" customWidth="1"/>
    <col min="3075" max="3076" width="10.85546875" style="1" customWidth="1"/>
    <col min="3077" max="3085" width="0" style="1" hidden="1" customWidth="1"/>
    <col min="3086" max="3086" width="13.7109375" style="1" customWidth="1"/>
    <col min="3087" max="3087" width="17.28515625" style="1" customWidth="1"/>
    <col min="3088" max="3088" width="16" style="1" customWidth="1"/>
    <col min="3089" max="3089" width="2" style="1" customWidth="1"/>
    <col min="3090" max="3090" width="12" style="1" customWidth="1"/>
    <col min="3091" max="3091" width="10.5703125" style="1" customWidth="1"/>
    <col min="3092" max="3092" width="1.7109375" style="1" customWidth="1"/>
    <col min="3093" max="3093" width="14.42578125" style="1" customWidth="1"/>
    <col min="3094" max="3094" width="11.5703125" style="1" customWidth="1"/>
    <col min="3095" max="3328" width="11.5703125" style="1"/>
    <col min="3329" max="3329" width="37.7109375" style="1" customWidth="1"/>
    <col min="3330" max="3330" width="15.85546875" style="1" customWidth="1"/>
    <col min="3331" max="3332" width="10.85546875" style="1" customWidth="1"/>
    <col min="3333" max="3341" width="0" style="1" hidden="1" customWidth="1"/>
    <col min="3342" max="3342" width="13.7109375" style="1" customWidth="1"/>
    <col min="3343" max="3343" width="17.28515625" style="1" customWidth="1"/>
    <col min="3344" max="3344" width="16" style="1" customWidth="1"/>
    <col min="3345" max="3345" width="2" style="1" customWidth="1"/>
    <col min="3346" max="3346" width="12" style="1" customWidth="1"/>
    <col min="3347" max="3347" width="10.5703125" style="1" customWidth="1"/>
    <col min="3348" max="3348" width="1.7109375" style="1" customWidth="1"/>
    <col min="3349" max="3349" width="14.42578125" style="1" customWidth="1"/>
    <col min="3350" max="3350" width="11.5703125" style="1" customWidth="1"/>
    <col min="3351" max="3584" width="11.5703125" style="1"/>
    <col min="3585" max="3585" width="37.7109375" style="1" customWidth="1"/>
    <col min="3586" max="3586" width="15.85546875" style="1" customWidth="1"/>
    <col min="3587" max="3588" width="10.85546875" style="1" customWidth="1"/>
    <col min="3589" max="3597" width="0" style="1" hidden="1" customWidth="1"/>
    <col min="3598" max="3598" width="13.7109375" style="1" customWidth="1"/>
    <col min="3599" max="3599" width="17.28515625" style="1" customWidth="1"/>
    <col min="3600" max="3600" width="16" style="1" customWidth="1"/>
    <col min="3601" max="3601" width="2" style="1" customWidth="1"/>
    <col min="3602" max="3602" width="12" style="1" customWidth="1"/>
    <col min="3603" max="3603" width="10.5703125" style="1" customWidth="1"/>
    <col min="3604" max="3604" width="1.7109375" style="1" customWidth="1"/>
    <col min="3605" max="3605" width="14.42578125" style="1" customWidth="1"/>
    <col min="3606" max="3606" width="11.5703125" style="1" customWidth="1"/>
    <col min="3607" max="3840" width="11.5703125" style="1"/>
    <col min="3841" max="3841" width="37.7109375" style="1" customWidth="1"/>
    <col min="3842" max="3842" width="15.85546875" style="1" customWidth="1"/>
    <col min="3843" max="3844" width="10.85546875" style="1" customWidth="1"/>
    <col min="3845" max="3853" width="0" style="1" hidden="1" customWidth="1"/>
    <col min="3854" max="3854" width="13.7109375" style="1" customWidth="1"/>
    <col min="3855" max="3855" width="17.28515625" style="1" customWidth="1"/>
    <col min="3856" max="3856" width="16" style="1" customWidth="1"/>
    <col min="3857" max="3857" width="2" style="1" customWidth="1"/>
    <col min="3858" max="3858" width="12" style="1" customWidth="1"/>
    <col min="3859" max="3859" width="10.5703125" style="1" customWidth="1"/>
    <col min="3860" max="3860" width="1.7109375" style="1" customWidth="1"/>
    <col min="3861" max="3861" width="14.42578125" style="1" customWidth="1"/>
    <col min="3862" max="3862" width="11.5703125" style="1" customWidth="1"/>
    <col min="3863" max="4096" width="11.5703125" style="1"/>
    <col min="4097" max="4097" width="37.7109375" style="1" customWidth="1"/>
    <col min="4098" max="4098" width="15.85546875" style="1" customWidth="1"/>
    <col min="4099" max="4100" width="10.85546875" style="1" customWidth="1"/>
    <col min="4101" max="4109" width="0" style="1" hidden="1" customWidth="1"/>
    <col min="4110" max="4110" width="13.7109375" style="1" customWidth="1"/>
    <col min="4111" max="4111" width="17.28515625" style="1" customWidth="1"/>
    <col min="4112" max="4112" width="16" style="1" customWidth="1"/>
    <col min="4113" max="4113" width="2" style="1" customWidth="1"/>
    <col min="4114" max="4114" width="12" style="1" customWidth="1"/>
    <col min="4115" max="4115" width="10.5703125" style="1" customWidth="1"/>
    <col min="4116" max="4116" width="1.7109375" style="1" customWidth="1"/>
    <col min="4117" max="4117" width="14.42578125" style="1" customWidth="1"/>
    <col min="4118" max="4118" width="11.5703125" style="1" customWidth="1"/>
    <col min="4119" max="4352" width="11.5703125" style="1"/>
    <col min="4353" max="4353" width="37.7109375" style="1" customWidth="1"/>
    <col min="4354" max="4354" width="15.85546875" style="1" customWidth="1"/>
    <col min="4355" max="4356" width="10.85546875" style="1" customWidth="1"/>
    <col min="4357" max="4365" width="0" style="1" hidden="1" customWidth="1"/>
    <col min="4366" max="4366" width="13.7109375" style="1" customWidth="1"/>
    <col min="4367" max="4367" width="17.28515625" style="1" customWidth="1"/>
    <col min="4368" max="4368" width="16" style="1" customWidth="1"/>
    <col min="4369" max="4369" width="2" style="1" customWidth="1"/>
    <col min="4370" max="4370" width="12" style="1" customWidth="1"/>
    <col min="4371" max="4371" width="10.5703125" style="1" customWidth="1"/>
    <col min="4372" max="4372" width="1.7109375" style="1" customWidth="1"/>
    <col min="4373" max="4373" width="14.42578125" style="1" customWidth="1"/>
    <col min="4374" max="4374" width="11.5703125" style="1" customWidth="1"/>
    <col min="4375" max="4608" width="11.5703125" style="1"/>
    <col min="4609" max="4609" width="37.7109375" style="1" customWidth="1"/>
    <col min="4610" max="4610" width="15.85546875" style="1" customWidth="1"/>
    <col min="4611" max="4612" width="10.85546875" style="1" customWidth="1"/>
    <col min="4613" max="4621" width="0" style="1" hidden="1" customWidth="1"/>
    <col min="4622" max="4622" width="13.7109375" style="1" customWidth="1"/>
    <col min="4623" max="4623" width="17.28515625" style="1" customWidth="1"/>
    <col min="4624" max="4624" width="16" style="1" customWidth="1"/>
    <col min="4625" max="4625" width="2" style="1" customWidth="1"/>
    <col min="4626" max="4626" width="12" style="1" customWidth="1"/>
    <col min="4627" max="4627" width="10.5703125" style="1" customWidth="1"/>
    <col min="4628" max="4628" width="1.7109375" style="1" customWidth="1"/>
    <col min="4629" max="4629" width="14.42578125" style="1" customWidth="1"/>
    <col min="4630" max="4630" width="11.5703125" style="1" customWidth="1"/>
    <col min="4631" max="4864" width="11.5703125" style="1"/>
    <col min="4865" max="4865" width="37.7109375" style="1" customWidth="1"/>
    <col min="4866" max="4866" width="15.85546875" style="1" customWidth="1"/>
    <col min="4867" max="4868" width="10.85546875" style="1" customWidth="1"/>
    <col min="4869" max="4877" width="0" style="1" hidden="1" customWidth="1"/>
    <col min="4878" max="4878" width="13.7109375" style="1" customWidth="1"/>
    <col min="4879" max="4879" width="17.28515625" style="1" customWidth="1"/>
    <col min="4880" max="4880" width="16" style="1" customWidth="1"/>
    <col min="4881" max="4881" width="2" style="1" customWidth="1"/>
    <col min="4882" max="4882" width="12" style="1" customWidth="1"/>
    <col min="4883" max="4883" width="10.5703125" style="1" customWidth="1"/>
    <col min="4884" max="4884" width="1.7109375" style="1" customWidth="1"/>
    <col min="4885" max="4885" width="14.42578125" style="1" customWidth="1"/>
    <col min="4886" max="4886" width="11.5703125" style="1" customWidth="1"/>
    <col min="4887" max="5120" width="11.5703125" style="1"/>
    <col min="5121" max="5121" width="37.7109375" style="1" customWidth="1"/>
    <col min="5122" max="5122" width="15.85546875" style="1" customWidth="1"/>
    <col min="5123" max="5124" width="10.85546875" style="1" customWidth="1"/>
    <col min="5125" max="5133" width="0" style="1" hidden="1" customWidth="1"/>
    <col min="5134" max="5134" width="13.7109375" style="1" customWidth="1"/>
    <col min="5135" max="5135" width="17.28515625" style="1" customWidth="1"/>
    <col min="5136" max="5136" width="16" style="1" customWidth="1"/>
    <col min="5137" max="5137" width="2" style="1" customWidth="1"/>
    <col min="5138" max="5138" width="12" style="1" customWidth="1"/>
    <col min="5139" max="5139" width="10.5703125" style="1" customWidth="1"/>
    <col min="5140" max="5140" width="1.7109375" style="1" customWidth="1"/>
    <col min="5141" max="5141" width="14.42578125" style="1" customWidth="1"/>
    <col min="5142" max="5142" width="11.5703125" style="1" customWidth="1"/>
    <col min="5143" max="5376" width="11.5703125" style="1"/>
    <col min="5377" max="5377" width="37.7109375" style="1" customWidth="1"/>
    <col min="5378" max="5378" width="15.85546875" style="1" customWidth="1"/>
    <col min="5379" max="5380" width="10.85546875" style="1" customWidth="1"/>
    <col min="5381" max="5389" width="0" style="1" hidden="1" customWidth="1"/>
    <col min="5390" max="5390" width="13.7109375" style="1" customWidth="1"/>
    <col min="5391" max="5391" width="17.28515625" style="1" customWidth="1"/>
    <col min="5392" max="5392" width="16" style="1" customWidth="1"/>
    <col min="5393" max="5393" width="2" style="1" customWidth="1"/>
    <col min="5394" max="5394" width="12" style="1" customWidth="1"/>
    <col min="5395" max="5395" width="10.5703125" style="1" customWidth="1"/>
    <col min="5396" max="5396" width="1.7109375" style="1" customWidth="1"/>
    <col min="5397" max="5397" width="14.42578125" style="1" customWidth="1"/>
    <col min="5398" max="5398" width="11.5703125" style="1" customWidth="1"/>
    <col min="5399" max="5632" width="11.5703125" style="1"/>
    <col min="5633" max="5633" width="37.7109375" style="1" customWidth="1"/>
    <col min="5634" max="5634" width="15.85546875" style="1" customWidth="1"/>
    <col min="5635" max="5636" width="10.85546875" style="1" customWidth="1"/>
    <col min="5637" max="5645" width="0" style="1" hidden="1" customWidth="1"/>
    <col min="5646" max="5646" width="13.7109375" style="1" customWidth="1"/>
    <col min="5647" max="5647" width="17.28515625" style="1" customWidth="1"/>
    <col min="5648" max="5648" width="16" style="1" customWidth="1"/>
    <col min="5649" max="5649" width="2" style="1" customWidth="1"/>
    <col min="5650" max="5650" width="12" style="1" customWidth="1"/>
    <col min="5651" max="5651" width="10.5703125" style="1" customWidth="1"/>
    <col min="5652" max="5652" width="1.7109375" style="1" customWidth="1"/>
    <col min="5653" max="5653" width="14.42578125" style="1" customWidth="1"/>
    <col min="5654" max="5654" width="11.5703125" style="1" customWidth="1"/>
    <col min="5655" max="5888" width="11.5703125" style="1"/>
    <col min="5889" max="5889" width="37.7109375" style="1" customWidth="1"/>
    <col min="5890" max="5890" width="15.85546875" style="1" customWidth="1"/>
    <col min="5891" max="5892" width="10.85546875" style="1" customWidth="1"/>
    <col min="5893" max="5901" width="0" style="1" hidden="1" customWidth="1"/>
    <col min="5902" max="5902" width="13.7109375" style="1" customWidth="1"/>
    <col min="5903" max="5903" width="17.28515625" style="1" customWidth="1"/>
    <col min="5904" max="5904" width="16" style="1" customWidth="1"/>
    <col min="5905" max="5905" width="2" style="1" customWidth="1"/>
    <col min="5906" max="5906" width="12" style="1" customWidth="1"/>
    <col min="5907" max="5907" width="10.5703125" style="1" customWidth="1"/>
    <col min="5908" max="5908" width="1.7109375" style="1" customWidth="1"/>
    <col min="5909" max="5909" width="14.42578125" style="1" customWidth="1"/>
    <col min="5910" max="5910" width="11.5703125" style="1" customWidth="1"/>
    <col min="5911" max="6144" width="11.5703125" style="1"/>
    <col min="6145" max="6145" width="37.7109375" style="1" customWidth="1"/>
    <col min="6146" max="6146" width="15.85546875" style="1" customWidth="1"/>
    <col min="6147" max="6148" width="10.85546875" style="1" customWidth="1"/>
    <col min="6149" max="6157" width="0" style="1" hidden="1" customWidth="1"/>
    <col min="6158" max="6158" width="13.7109375" style="1" customWidth="1"/>
    <col min="6159" max="6159" width="17.28515625" style="1" customWidth="1"/>
    <col min="6160" max="6160" width="16" style="1" customWidth="1"/>
    <col min="6161" max="6161" width="2" style="1" customWidth="1"/>
    <col min="6162" max="6162" width="12" style="1" customWidth="1"/>
    <col min="6163" max="6163" width="10.5703125" style="1" customWidth="1"/>
    <col min="6164" max="6164" width="1.7109375" style="1" customWidth="1"/>
    <col min="6165" max="6165" width="14.42578125" style="1" customWidth="1"/>
    <col min="6166" max="6166" width="11.5703125" style="1" customWidth="1"/>
    <col min="6167" max="6400" width="11.5703125" style="1"/>
    <col min="6401" max="6401" width="37.7109375" style="1" customWidth="1"/>
    <col min="6402" max="6402" width="15.85546875" style="1" customWidth="1"/>
    <col min="6403" max="6404" width="10.85546875" style="1" customWidth="1"/>
    <col min="6405" max="6413" width="0" style="1" hidden="1" customWidth="1"/>
    <col min="6414" max="6414" width="13.7109375" style="1" customWidth="1"/>
    <col min="6415" max="6415" width="17.28515625" style="1" customWidth="1"/>
    <col min="6416" max="6416" width="16" style="1" customWidth="1"/>
    <col min="6417" max="6417" width="2" style="1" customWidth="1"/>
    <col min="6418" max="6418" width="12" style="1" customWidth="1"/>
    <col min="6419" max="6419" width="10.5703125" style="1" customWidth="1"/>
    <col min="6420" max="6420" width="1.7109375" style="1" customWidth="1"/>
    <col min="6421" max="6421" width="14.42578125" style="1" customWidth="1"/>
    <col min="6422" max="6422" width="11.5703125" style="1" customWidth="1"/>
    <col min="6423" max="6656" width="11.5703125" style="1"/>
    <col min="6657" max="6657" width="37.7109375" style="1" customWidth="1"/>
    <col min="6658" max="6658" width="15.85546875" style="1" customWidth="1"/>
    <col min="6659" max="6660" width="10.85546875" style="1" customWidth="1"/>
    <col min="6661" max="6669" width="0" style="1" hidden="1" customWidth="1"/>
    <col min="6670" max="6670" width="13.7109375" style="1" customWidth="1"/>
    <col min="6671" max="6671" width="17.28515625" style="1" customWidth="1"/>
    <col min="6672" max="6672" width="16" style="1" customWidth="1"/>
    <col min="6673" max="6673" width="2" style="1" customWidth="1"/>
    <col min="6674" max="6674" width="12" style="1" customWidth="1"/>
    <col min="6675" max="6675" width="10.5703125" style="1" customWidth="1"/>
    <col min="6676" max="6676" width="1.7109375" style="1" customWidth="1"/>
    <col min="6677" max="6677" width="14.42578125" style="1" customWidth="1"/>
    <col min="6678" max="6678" width="11.5703125" style="1" customWidth="1"/>
    <col min="6679" max="6912" width="11.5703125" style="1"/>
    <col min="6913" max="6913" width="37.7109375" style="1" customWidth="1"/>
    <col min="6914" max="6914" width="15.85546875" style="1" customWidth="1"/>
    <col min="6915" max="6916" width="10.85546875" style="1" customWidth="1"/>
    <col min="6917" max="6925" width="0" style="1" hidden="1" customWidth="1"/>
    <col min="6926" max="6926" width="13.7109375" style="1" customWidth="1"/>
    <col min="6927" max="6927" width="17.28515625" style="1" customWidth="1"/>
    <col min="6928" max="6928" width="16" style="1" customWidth="1"/>
    <col min="6929" max="6929" width="2" style="1" customWidth="1"/>
    <col min="6930" max="6930" width="12" style="1" customWidth="1"/>
    <col min="6931" max="6931" width="10.5703125" style="1" customWidth="1"/>
    <col min="6932" max="6932" width="1.7109375" style="1" customWidth="1"/>
    <col min="6933" max="6933" width="14.42578125" style="1" customWidth="1"/>
    <col min="6934" max="6934" width="11.5703125" style="1" customWidth="1"/>
    <col min="6935" max="7168" width="11.5703125" style="1"/>
    <col min="7169" max="7169" width="37.7109375" style="1" customWidth="1"/>
    <col min="7170" max="7170" width="15.85546875" style="1" customWidth="1"/>
    <col min="7171" max="7172" width="10.85546875" style="1" customWidth="1"/>
    <col min="7173" max="7181" width="0" style="1" hidden="1" customWidth="1"/>
    <col min="7182" max="7182" width="13.7109375" style="1" customWidth="1"/>
    <col min="7183" max="7183" width="17.28515625" style="1" customWidth="1"/>
    <col min="7184" max="7184" width="16" style="1" customWidth="1"/>
    <col min="7185" max="7185" width="2" style="1" customWidth="1"/>
    <col min="7186" max="7186" width="12" style="1" customWidth="1"/>
    <col min="7187" max="7187" width="10.5703125" style="1" customWidth="1"/>
    <col min="7188" max="7188" width="1.7109375" style="1" customWidth="1"/>
    <col min="7189" max="7189" width="14.42578125" style="1" customWidth="1"/>
    <col min="7190" max="7190" width="11.5703125" style="1" customWidth="1"/>
    <col min="7191" max="7424" width="11.5703125" style="1"/>
    <col min="7425" max="7425" width="37.7109375" style="1" customWidth="1"/>
    <col min="7426" max="7426" width="15.85546875" style="1" customWidth="1"/>
    <col min="7427" max="7428" width="10.85546875" style="1" customWidth="1"/>
    <col min="7429" max="7437" width="0" style="1" hidden="1" customWidth="1"/>
    <col min="7438" max="7438" width="13.7109375" style="1" customWidth="1"/>
    <col min="7439" max="7439" width="17.28515625" style="1" customWidth="1"/>
    <col min="7440" max="7440" width="16" style="1" customWidth="1"/>
    <col min="7441" max="7441" width="2" style="1" customWidth="1"/>
    <col min="7442" max="7442" width="12" style="1" customWidth="1"/>
    <col min="7443" max="7443" width="10.5703125" style="1" customWidth="1"/>
    <col min="7444" max="7444" width="1.7109375" style="1" customWidth="1"/>
    <col min="7445" max="7445" width="14.42578125" style="1" customWidth="1"/>
    <col min="7446" max="7446" width="11.5703125" style="1" customWidth="1"/>
    <col min="7447" max="7680" width="11.5703125" style="1"/>
    <col min="7681" max="7681" width="37.7109375" style="1" customWidth="1"/>
    <col min="7682" max="7682" width="15.85546875" style="1" customWidth="1"/>
    <col min="7683" max="7684" width="10.85546875" style="1" customWidth="1"/>
    <col min="7685" max="7693" width="0" style="1" hidden="1" customWidth="1"/>
    <col min="7694" max="7694" width="13.7109375" style="1" customWidth="1"/>
    <col min="7695" max="7695" width="17.28515625" style="1" customWidth="1"/>
    <col min="7696" max="7696" width="16" style="1" customWidth="1"/>
    <col min="7697" max="7697" width="2" style="1" customWidth="1"/>
    <col min="7698" max="7698" width="12" style="1" customWidth="1"/>
    <col min="7699" max="7699" width="10.5703125" style="1" customWidth="1"/>
    <col min="7700" max="7700" width="1.7109375" style="1" customWidth="1"/>
    <col min="7701" max="7701" width="14.42578125" style="1" customWidth="1"/>
    <col min="7702" max="7702" width="11.5703125" style="1" customWidth="1"/>
    <col min="7703" max="7936" width="11.5703125" style="1"/>
    <col min="7937" max="7937" width="37.7109375" style="1" customWidth="1"/>
    <col min="7938" max="7938" width="15.85546875" style="1" customWidth="1"/>
    <col min="7939" max="7940" width="10.85546875" style="1" customWidth="1"/>
    <col min="7941" max="7949" width="0" style="1" hidden="1" customWidth="1"/>
    <col min="7950" max="7950" width="13.7109375" style="1" customWidth="1"/>
    <col min="7951" max="7951" width="17.28515625" style="1" customWidth="1"/>
    <col min="7952" max="7952" width="16" style="1" customWidth="1"/>
    <col min="7953" max="7953" width="2" style="1" customWidth="1"/>
    <col min="7954" max="7954" width="12" style="1" customWidth="1"/>
    <col min="7955" max="7955" width="10.5703125" style="1" customWidth="1"/>
    <col min="7956" max="7956" width="1.7109375" style="1" customWidth="1"/>
    <col min="7957" max="7957" width="14.42578125" style="1" customWidth="1"/>
    <col min="7958" max="7958" width="11.5703125" style="1" customWidth="1"/>
    <col min="7959" max="8192" width="11.5703125" style="1"/>
    <col min="8193" max="8193" width="37.7109375" style="1" customWidth="1"/>
    <col min="8194" max="8194" width="15.85546875" style="1" customWidth="1"/>
    <col min="8195" max="8196" width="10.85546875" style="1" customWidth="1"/>
    <col min="8197" max="8205" width="0" style="1" hidden="1" customWidth="1"/>
    <col min="8206" max="8206" width="13.7109375" style="1" customWidth="1"/>
    <col min="8207" max="8207" width="17.28515625" style="1" customWidth="1"/>
    <col min="8208" max="8208" width="16" style="1" customWidth="1"/>
    <col min="8209" max="8209" width="2" style="1" customWidth="1"/>
    <col min="8210" max="8210" width="12" style="1" customWidth="1"/>
    <col min="8211" max="8211" width="10.5703125" style="1" customWidth="1"/>
    <col min="8212" max="8212" width="1.7109375" style="1" customWidth="1"/>
    <col min="8213" max="8213" width="14.42578125" style="1" customWidth="1"/>
    <col min="8214" max="8214" width="11.5703125" style="1" customWidth="1"/>
    <col min="8215" max="8448" width="11.5703125" style="1"/>
    <col min="8449" max="8449" width="37.7109375" style="1" customWidth="1"/>
    <col min="8450" max="8450" width="15.85546875" style="1" customWidth="1"/>
    <col min="8451" max="8452" width="10.85546875" style="1" customWidth="1"/>
    <col min="8453" max="8461" width="0" style="1" hidden="1" customWidth="1"/>
    <col min="8462" max="8462" width="13.7109375" style="1" customWidth="1"/>
    <col min="8463" max="8463" width="17.28515625" style="1" customWidth="1"/>
    <col min="8464" max="8464" width="16" style="1" customWidth="1"/>
    <col min="8465" max="8465" width="2" style="1" customWidth="1"/>
    <col min="8466" max="8466" width="12" style="1" customWidth="1"/>
    <col min="8467" max="8467" width="10.5703125" style="1" customWidth="1"/>
    <col min="8468" max="8468" width="1.7109375" style="1" customWidth="1"/>
    <col min="8469" max="8469" width="14.42578125" style="1" customWidth="1"/>
    <col min="8470" max="8470" width="11.5703125" style="1" customWidth="1"/>
    <col min="8471" max="8704" width="11.5703125" style="1"/>
    <col min="8705" max="8705" width="37.7109375" style="1" customWidth="1"/>
    <col min="8706" max="8706" width="15.85546875" style="1" customWidth="1"/>
    <col min="8707" max="8708" width="10.85546875" style="1" customWidth="1"/>
    <col min="8709" max="8717" width="0" style="1" hidden="1" customWidth="1"/>
    <col min="8718" max="8718" width="13.7109375" style="1" customWidth="1"/>
    <col min="8719" max="8719" width="17.28515625" style="1" customWidth="1"/>
    <col min="8720" max="8720" width="16" style="1" customWidth="1"/>
    <col min="8721" max="8721" width="2" style="1" customWidth="1"/>
    <col min="8722" max="8722" width="12" style="1" customWidth="1"/>
    <col min="8723" max="8723" width="10.5703125" style="1" customWidth="1"/>
    <col min="8724" max="8724" width="1.7109375" style="1" customWidth="1"/>
    <col min="8725" max="8725" width="14.42578125" style="1" customWidth="1"/>
    <col min="8726" max="8726" width="11.5703125" style="1" customWidth="1"/>
    <col min="8727" max="8960" width="11.5703125" style="1"/>
    <col min="8961" max="8961" width="37.7109375" style="1" customWidth="1"/>
    <col min="8962" max="8962" width="15.85546875" style="1" customWidth="1"/>
    <col min="8963" max="8964" width="10.85546875" style="1" customWidth="1"/>
    <col min="8965" max="8973" width="0" style="1" hidden="1" customWidth="1"/>
    <col min="8974" max="8974" width="13.7109375" style="1" customWidth="1"/>
    <col min="8975" max="8975" width="17.28515625" style="1" customWidth="1"/>
    <col min="8976" max="8976" width="16" style="1" customWidth="1"/>
    <col min="8977" max="8977" width="2" style="1" customWidth="1"/>
    <col min="8978" max="8978" width="12" style="1" customWidth="1"/>
    <col min="8979" max="8979" width="10.5703125" style="1" customWidth="1"/>
    <col min="8980" max="8980" width="1.7109375" style="1" customWidth="1"/>
    <col min="8981" max="8981" width="14.42578125" style="1" customWidth="1"/>
    <col min="8982" max="8982" width="11.5703125" style="1" customWidth="1"/>
    <col min="8983" max="9216" width="11.5703125" style="1"/>
    <col min="9217" max="9217" width="37.7109375" style="1" customWidth="1"/>
    <col min="9218" max="9218" width="15.85546875" style="1" customWidth="1"/>
    <col min="9219" max="9220" width="10.85546875" style="1" customWidth="1"/>
    <col min="9221" max="9229" width="0" style="1" hidden="1" customWidth="1"/>
    <col min="9230" max="9230" width="13.7109375" style="1" customWidth="1"/>
    <col min="9231" max="9231" width="17.28515625" style="1" customWidth="1"/>
    <col min="9232" max="9232" width="16" style="1" customWidth="1"/>
    <col min="9233" max="9233" width="2" style="1" customWidth="1"/>
    <col min="9234" max="9234" width="12" style="1" customWidth="1"/>
    <col min="9235" max="9235" width="10.5703125" style="1" customWidth="1"/>
    <col min="9236" max="9236" width="1.7109375" style="1" customWidth="1"/>
    <col min="9237" max="9237" width="14.42578125" style="1" customWidth="1"/>
    <col min="9238" max="9238" width="11.5703125" style="1" customWidth="1"/>
    <col min="9239" max="9472" width="11.5703125" style="1"/>
    <col min="9473" max="9473" width="37.7109375" style="1" customWidth="1"/>
    <col min="9474" max="9474" width="15.85546875" style="1" customWidth="1"/>
    <col min="9475" max="9476" width="10.85546875" style="1" customWidth="1"/>
    <col min="9477" max="9485" width="0" style="1" hidden="1" customWidth="1"/>
    <col min="9486" max="9486" width="13.7109375" style="1" customWidth="1"/>
    <col min="9487" max="9487" width="17.28515625" style="1" customWidth="1"/>
    <col min="9488" max="9488" width="16" style="1" customWidth="1"/>
    <col min="9489" max="9489" width="2" style="1" customWidth="1"/>
    <col min="9490" max="9490" width="12" style="1" customWidth="1"/>
    <col min="9491" max="9491" width="10.5703125" style="1" customWidth="1"/>
    <col min="9492" max="9492" width="1.7109375" style="1" customWidth="1"/>
    <col min="9493" max="9493" width="14.42578125" style="1" customWidth="1"/>
    <col min="9494" max="9494" width="11.5703125" style="1" customWidth="1"/>
    <col min="9495" max="9728" width="11.5703125" style="1"/>
    <col min="9729" max="9729" width="37.7109375" style="1" customWidth="1"/>
    <col min="9730" max="9730" width="15.85546875" style="1" customWidth="1"/>
    <col min="9731" max="9732" width="10.85546875" style="1" customWidth="1"/>
    <col min="9733" max="9741" width="0" style="1" hidden="1" customWidth="1"/>
    <col min="9742" max="9742" width="13.7109375" style="1" customWidth="1"/>
    <col min="9743" max="9743" width="17.28515625" style="1" customWidth="1"/>
    <col min="9744" max="9744" width="16" style="1" customWidth="1"/>
    <col min="9745" max="9745" width="2" style="1" customWidth="1"/>
    <col min="9746" max="9746" width="12" style="1" customWidth="1"/>
    <col min="9747" max="9747" width="10.5703125" style="1" customWidth="1"/>
    <col min="9748" max="9748" width="1.7109375" style="1" customWidth="1"/>
    <col min="9749" max="9749" width="14.42578125" style="1" customWidth="1"/>
    <col min="9750" max="9750" width="11.5703125" style="1" customWidth="1"/>
    <col min="9751" max="9984" width="11.5703125" style="1"/>
    <col min="9985" max="9985" width="37.7109375" style="1" customWidth="1"/>
    <col min="9986" max="9986" width="15.85546875" style="1" customWidth="1"/>
    <col min="9987" max="9988" width="10.85546875" style="1" customWidth="1"/>
    <col min="9989" max="9997" width="0" style="1" hidden="1" customWidth="1"/>
    <col min="9998" max="9998" width="13.7109375" style="1" customWidth="1"/>
    <col min="9999" max="9999" width="17.28515625" style="1" customWidth="1"/>
    <col min="10000" max="10000" width="16" style="1" customWidth="1"/>
    <col min="10001" max="10001" width="2" style="1" customWidth="1"/>
    <col min="10002" max="10002" width="12" style="1" customWidth="1"/>
    <col min="10003" max="10003" width="10.5703125" style="1" customWidth="1"/>
    <col min="10004" max="10004" width="1.7109375" style="1" customWidth="1"/>
    <col min="10005" max="10005" width="14.42578125" style="1" customWidth="1"/>
    <col min="10006" max="10006" width="11.5703125" style="1" customWidth="1"/>
    <col min="10007" max="10240" width="11.5703125" style="1"/>
    <col min="10241" max="10241" width="37.7109375" style="1" customWidth="1"/>
    <col min="10242" max="10242" width="15.85546875" style="1" customWidth="1"/>
    <col min="10243" max="10244" width="10.85546875" style="1" customWidth="1"/>
    <col min="10245" max="10253" width="0" style="1" hidden="1" customWidth="1"/>
    <col min="10254" max="10254" width="13.7109375" style="1" customWidth="1"/>
    <col min="10255" max="10255" width="17.28515625" style="1" customWidth="1"/>
    <col min="10256" max="10256" width="16" style="1" customWidth="1"/>
    <col min="10257" max="10257" width="2" style="1" customWidth="1"/>
    <col min="10258" max="10258" width="12" style="1" customWidth="1"/>
    <col min="10259" max="10259" width="10.5703125" style="1" customWidth="1"/>
    <col min="10260" max="10260" width="1.7109375" style="1" customWidth="1"/>
    <col min="10261" max="10261" width="14.42578125" style="1" customWidth="1"/>
    <col min="10262" max="10262" width="11.5703125" style="1" customWidth="1"/>
    <col min="10263" max="10496" width="11.5703125" style="1"/>
    <col min="10497" max="10497" width="37.7109375" style="1" customWidth="1"/>
    <col min="10498" max="10498" width="15.85546875" style="1" customWidth="1"/>
    <col min="10499" max="10500" width="10.85546875" style="1" customWidth="1"/>
    <col min="10501" max="10509" width="0" style="1" hidden="1" customWidth="1"/>
    <col min="10510" max="10510" width="13.7109375" style="1" customWidth="1"/>
    <col min="10511" max="10511" width="17.28515625" style="1" customWidth="1"/>
    <col min="10512" max="10512" width="16" style="1" customWidth="1"/>
    <col min="10513" max="10513" width="2" style="1" customWidth="1"/>
    <col min="10514" max="10514" width="12" style="1" customWidth="1"/>
    <col min="10515" max="10515" width="10.5703125" style="1" customWidth="1"/>
    <col min="10516" max="10516" width="1.7109375" style="1" customWidth="1"/>
    <col min="10517" max="10517" width="14.42578125" style="1" customWidth="1"/>
    <col min="10518" max="10518" width="11.5703125" style="1" customWidth="1"/>
    <col min="10519" max="10752" width="11.5703125" style="1"/>
    <col min="10753" max="10753" width="37.7109375" style="1" customWidth="1"/>
    <col min="10754" max="10754" width="15.85546875" style="1" customWidth="1"/>
    <col min="10755" max="10756" width="10.85546875" style="1" customWidth="1"/>
    <col min="10757" max="10765" width="0" style="1" hidden="1" customWidth="1"/>
    <col min="10766" max="10766" width="13.7109375" style="1" customWidth="1"/>
    <col min="10767" max="10767" width="17.28515625" style="1" customWidth="1"/>
    <col min="10768" max="10768" width="16" style="1" customWidth="1"/>
    <col min="10769" max="10769" width="2" style="1" customWidth="1"/>
    <col min="10770" max="10770" width="12" style="1" customWidth="1"/>
    <col min="10771" max="10771" width="10.5703125" style="1" customWidth="1"/>
    <col min="10772" max="10772" width="1.7109375" style="1" customWidth="1"/>
    <col min="10773" max="10773" width="14.42578125" style="1" customWidth="1"/>
    <col min="10774" max="10774" width="11.5703125" style="1" customWidth="1"/>
    <col min="10775" max="11008" width="11.5703125" style="1"/>
    <col min="11009" max="11009" width="37.7109375" style="1" customWidth="1"/>
    <col min="11010" max="11010" width="15.85546875" style="1" customWidth="1"/>
    <col min="11011" max="11012" width="10.85546875" style="1" customWidth="1"/>
    <col min="11013" max="11021" width="0" style="1" hidden="1" customWidth="1"/>
    <col min="11022" max="11022" width="13.7109375" style="1" customWidth="1"/>
    <col min="11023" max="11023" width="17.28515625" style="1" customWidth="1"/>
    <col min="11024" max="11024" width="16" style="1" customWidth="1"/>
    <col min="11025" max="11025" width="2" style="1" customWidth="1"/>
    <col min="11026" max="11026" width="12" style="1" customWidth="1"/>
    <col min="11027" max="11027" width="10.5703125" style="1" customWidth="1"/>
    <col min="11028" max="11028" width="1.7109375" style="1" customWidth="1"/>
    <col min="11029" max="11029" width="14.42578125" style="1" customWidth="1"/>
    <col min="11030" max="11030" width="11.5703125" style="1" customWidth="1"/>
    <col min="11031" max="11264" width="11.5703125" style="1"/>
    <col min="11265" max="11265" width="37.7109375" style="1" customWidth="1"/>
    <col min="11266" max="11266" width="15.85546875" style="1" customWidth="1"/>
    <col min="11267" max="11268" width="10.85546875" style="1" customWidth="1"/>
    <col min="11269" max="11277" width="0" style="1" hidden="1" customWidth="1"/>
    <col min="11278" max="11278" width="13.7109375" style="1" customWidth="1"/>
    <col min="11279" max="11279" width="17.28515625" style="1" customWidth="1"/>
    <col min="11280" max="11280" width="16" style="1" customWidth="1"/>
    <col min="11281" max="11281" width="2" style="1" customWidth="1"/>
    <col min="11282" max="11282" width="12" style="1" customWidth="1"/>
    <col min="11283" max="11283" width="10.5703125" style="1" customWidth="1"/>
    <col min="11284" max="11284" width="1.7109375" style="1" customWidth="1"/>
    <col min="11285" max="11285" width="14.42578125" style="1" customWidth="1"/>
    <col min="11286" max="11286" width="11.5703125" style="1" customWidth="1"/>
    <col min="11287" max="11520" width="11.5703125" style="1"/>
    <col min="11521" max="11521" width="37.7109375" style="1" customWidth="1"/>
    <col min="11522" max="11522" width="15.85546875" style="1" customWidth="1"/>
    <col min="11523" max="11524" width="10.85546875" style="1" customWidth="1"/>
    <col min="11525" max="11533" width="0" style="1" hidden="1" customWidth="1"/>
    <col min="11534" max="11534" width="13.7109375" style="1" customWidth="1"/>
    <col min="11535" max="11535" width="17.28515625" style="1" customWidth="1"/>
    <col min="11536" max="11536" width="16" style="1" customWidth="1"/>
    <col min="11537" max="11537" width="2" style="1" customWidth="1"/>
    <col min="11538" max="11538" width="12" style="1" customWidth="1"/>
    <col min="11539" max="11539" width="10.5703125" style="1" customWidth="1"/>
    <col min="11540" max="11540" width="1.7109375" style="1" customWidth="1"/>
    <col min="11541" max="11541" width="14.42578125" style="1" customWidth="1"/>
    <col min="11542" max="11542" width="11.5703125" style="1" customWidth="1"/>
    <col min="11543" max="11776" width="11.5703125" style="1"/>
    <col min="11777" max="11777" width="37.7109375" style="1" customWidth="1"/>
    <col min="11778" max="11778" width="15.85546875" style="1" customWidth="1"/>
    <col min="11779" max="11780" width="10.85546875" style="1" customWidth="1"/>
    <col min="11781" max="11789" width="0" style="1" hidden="1" customWidth="1"/>
    <col min="11790" max="11790" width="13.7109375" style="1" customWidth="1"/>
    <col min="11791" max="11791" width="17.28515625" style="1" customWidth="1"/>
    <col min="11792" max="11792" width="16" style="1" customWidth="1"/>
    <col min="11793" max="11793" width="2" style="1" customWidth="1"/>
    <col min="11794" max="11794" width="12" style="1" customWidth="1"/>
    <col min="11795" max="11795" width="10.5703125" style="1" customWidth="1"/>
    <col min="11796" max="11796" width="1.7109375" style="1" customWidth="1"/>
    <col min="11797" max="11797" width="14.42578125" style="1" customWidth="1"/>
    <col min="11798" max="11798" width="11.5703125" style="1" customWidth="1"/>
    <col min="11799" max="12032" width="11.5703125" style="1"/>
    <col min="12033" max="12033" width="37.7109375" style="1" customWidth="1"/>
    <col min="12034" max="12034" width="15.85546875" style="1" customWidth="1"/>
    <col min="12035" max="12036" width="10.85546875" style="1" customWidth="1"/>
    <col min="12037" max="12045" width="0" style="1" hidden="1" customWidth="1"/>
    <col min="12046" max="12046" width="13.7109375" style="1" customWidth="1"/>
    <col min="12047" max="12047" width="17.28515625" style="1" customWidth="1"/>
    <col min="12048" max="12048" width="16" style="1" customWidth="1"/>
    <col min="12049" max="12049" width="2" style="1" customWidth="1"/>
    <col min="12050" max="12050" width="12" style="1" customWidth="1"/>
    <col min="12051" max="12051" width="10.5703125" style="1" customWidth="1"/>
    <col min="12052" max="12052" width="1.7109375" style="1" customWidth="1"/>
    <col min="12053" max="12053" width="14.42578125" style="1" customWidth="1"/>
    <col min="12054" max="12054" width="11.5703125" style="1" customWidth="1"/>
    <col min="12055" max="12288" width="11.5703125" style="1"/>
    <col min="12289" max="12289" width="37.7109375" style="1" customWidth="1"/>
    <col min="12290" max="12290" width="15.85546875" style="1" customWidth="1"/>
    <col min="12291" max="12292" width="10.85546875" style="1" customWidth="1"/>
    <col min="12293" max="12301" width="0" style="1" hidden="1" customWidth="1"/>
    <col min="12302" max="12302" width="13.7109375" style="1" customWidth="1"/>
    <col min="12303" max="12303" width="17.28515625" style="1" customWidth="1"/>
    <col min="12304" max="12304" width="16" style="1" customWidth="1"/>
    <col min="12305" max="12305" width="2" style="1" customWidth="1"/>
    <col min="12306" max="12306" width="12" style="1" customWidth="1"/>
    <col min="12307" max="12307" width="10.5703125" style="1" customWidth="1"/>
    <col min="12308" max="12308" width="1.7109375" style="1" customWidth="1"/>
    <col min="12309" max="12309" width="14.42578125" style="1" customWidth="1"/>
    <col min="12310" max="12310" width="11.5703125" style="1" customWidth="1"/>
    <col min="12311" max="12544" width="11.5703125" style="1"/>
    <col min="12545" max="12545" width="37.7109375" style="1" customWidth="1"/>
    <col min="12546" max="12546" width="15.85546875" style="1" customWidth="1"/>
    <col min="12547" max="12548" width="10.85546875" style="1" customWidth="1"/>
    <col min="12549" max="12557" width="0" style="1" hidden="1" customWidth="1"/>
    <col min="12558" max="12558" width="13.7109375" style="1" customWidth="1"/>
    <col min="12559" max="12559" width="17.28515625" style="1" customWidth="1"/>
    <col min="12560" max="12560" width="16" style="1" customWidth="1"/>
    <col min="12561" max="12561" width="2" style="1" customWidth="1"/>
    <col min="12562" max="12562" width="12" style="1" customWidth="1"/>
    <col min="12563" max="12563" width="10.5703125" style="1" customWidth="1"/>
    <col min="12564" max="12564" width="1.7109375" style="1" customWidth="1"/>
    <col min="12565" max="12565" width="14.42578125" style="1" customWidth="1"/>
    <col min="12566" max="12566" width="11.5703125" style="1" customWidth="1"/>
    <col min="12567" max="12800" width="11.5703125" style="1"/>
    <col min="12801" max="12801" width="37.7109375" style="1" customWidth="1"/>
    <col min="12802" max="12802" width="15.85546875" style="1" customWidth="1"/>
    <col min="12803" max="12804" width="10.85546875" style="1" customWidth="1"/>
    <col min="12805" max="12813" width="0" style="1" hidden="1" customWidth="1"/>
    <col min="12814" max="12814" width="13.7109375" style="1" customWidth="1"/>
    <col min="12815" max="12815" width="17.28515625" style="1" customWidth="1"/>
    <col min="12816" max="12816" width="16" style="1" customWidth="1"/>
    <col min="12817" max="12817" width="2" style="1" customWidth="1"/>
    <col min="12818" max="12818" width="12" style="1" customWidth="1"/>
    <col min="12819" max="12819" width="10.5703125" style="1" customWidth="1"/>
    <col min="12820" max="12820" width="1.7109375" style="1" customWidth="1"/>
    <col min="12821" max="12821" width="14.42578125" style="1" customWidth="1"/>
    <col min="12822" max="12822" width="11.5703125" style="1" customWidth="1"/>
    <col min="12823" max="13056" width="11.5703125" style="1"/>
    <col min="13057" max="13057" width="37.7109375" style="1" customWidth="1"/>
    <col min="13058" max="13058" width="15.85546875" style="1" customWidth="1"/>
    <col min="13059" max="13060" width="10.85546875" style="1" customWidth="1"/>
    <col min="13061" max="13069" width="0" style="1" hidden="1" customWidth="1"/>
    <col min="13070" max="13070" width="13.7109375" style="1" customWidth="1"/>
    <col min="13071" max="13071" width="17.28515625" style="1" customWidth="1"/>
    <col min="13072" max="13072" width="16" style="1" customWidth="1"/>
    <col min="13073" max="13073" width="2" style="1" customWidth="1"/>
    <col min="13074" max="13074" width="12" style="1" customWidth="1"/>
    <col min="13075" max="13075" width="10.5703125" style="1" customWidth="1"/>
    <col min="13076" max="13076" width="1.7109375" style="1" customWidth="1"/>
    <col min="13077" max="13077" width="14.42578125" style="1" customWidth="1"/>
    <col min="13078" max="13078" width="11.5703125" style="1" customWidth="1"/>
    <col min="13079" max="13312" width="11.5703125" style="1"/>
    <col min="13313" max="13313" width="37.7109375" style="1" customWidth="1"/>
    <col min="13314" max="13314" width="15.85546875" style="1" customWidth="1"/>
    <col min="13315" max="13316" width="10.85546875" style="1" customWidth="1"/>
    <col min="13317" max="13325" width="0" style="1" hidden="1" customWidth="1"/>
    <col min="13326" max="13326" width="13.7109375" style="1" customWidth="1"/>
    <col min="13327" max="13327" width="17.28515625" style="1" customWidth="1"/>
    <col min="13328" max="13328" width="16" style="1" customWidth="1"/>
    <col min="13329" max="13329" width="2" style="1" customWidth="1"/>
    <col min="13330" max="13330" width="12" style="1" customWidth="1"/>
    <col min="13331" max="13331" width="10.5703125" style="1" customWidth="1"/>
    <col min="13332" max="13332" width="1.7109375" style="1" customWidth="1"/>
    <col min="13333" max="13333" width="14.42578125" style="1" customWidth="1"/>
    <col min="13334" max="13334" width="11.5703125" style="1" customWidth="1"/>
    <col min="13335" max="13568" width="11.5703125" style="1"/>
    <col min="13569" max="13569" width="37.7109375" style="1" customWidth="1"/>
    <col min="13570" max="13570" width="15.85546875" style="1" customWidth="1"/>
    <col min="13571" max="13572" width="10.85546875" style="1" customWidth="1"/>
    <col min="13573" max="13581" width="0" style="1" hidden="1" customWidth="1"/>
    <col min="13582" max="13582" width="13.7109375" style="1" customWidth="1"/>
    <col min="13583" max="13583" width="17.28515625" style="1" customWidth="1"/>
    <col min="13584" max="13584" width="16" style="1" customWidth="1"/>
    <col min="13585" max="13585" width="2" style="1" customWidth="1"/>
    <col min="13586" max="13586" width="12" style="1" customWidth="1"/>
    <col min="13587" max="13587" width="10.5703125" style="1" customWidth="1"/>
    <col min="13588" max="13588" width="1.7109375" style="1" customWidth="1"/>
    <col min="13589" max="13589" width="14.42578125" style="1" customWidth="1"/>
    <col min="13590" max="13590" width="11.5703125" style="1" customWidth="1"/>
    <col min="13591" max="13824" width="11.5703125" style="1"/>
    <col min="13825" max="13825" width="37.7109375" style="1" customWidth="1"/>
    <col min="13826" max="13826" width="15.85546875" style="1" customWidth="1"/>
    <col min="13827" max="13828" width="10.85546875" style="1" customWidth="1"/>
    <col min="13829" max="13837" width="0" style="1" hidden="1" customWidth="1"/>
    <col min="13838" max="13838" width="13.7109375" style="1" customWidth="1"/>
    <col min="13839" max="13839" width="17.28515625" style="1" customWidth="1"/>
    <col min="13840" max="13840" width="16" style="1" customWidth="1"/>
    <col min="13841" max="13841" width="2" style="1" customWidth="1"/>
    <col min="13842" max="13842" width="12" style="1" customWidth="1"/>
    <col min="13843" max="13843" width="10.5703125" style="1" customWidth="1"/>
    <col min="13844" max="13844" width="1.7109375" style="1" customWidth="1"/>
    <col min="13845" max="13845" width="14.42578125" style="1" customWidth="1"/>
    <col min="13846" max="13846" width="11.5703125" style="1" customWidth="1"/>
    <col min="13847" max="14080" width="11.5703125" style="1"/>
    <col min="14081" max="14081" width="37.7109375" style="1" customWidth="1"/>
    <col min="14082" max="14082" width="15.85546875" style="1" customWidth="1"/>
    <col min="14083" max="14084" width="10.85546875" style="1" customWidth="1"/>
    <col min="14085" max="14093" width="0" style="1" hidden="1" customWidth="1"/>
    <col min="14094" max="14094" width="13.7109375" style="1" customWidth="1"/>
    <col min="14095" max="14095" width="17.28515625" style="1" customWidth="1"/>
    <col min="14096" max="14096" width="16" style="1" customWidth="1"/>
    <col min="14097" max="14097" width="2" style="1" customWidth="1"/>
    <col min="14098" max="14098" width="12" style="1" customWidth="1"/>
    <col min="14099" max="14099" width="10.5703125" style="1" customWidth="1"/>
    <col min="14100" max="14100" width="1.7109375" style="1" customWidth="1"/>
    <col min="14101" max="14101" width="14.42578125" style="1" customWidth="1"/>
    <col min="14102" max="14102" width="11.5703125" style="1" customWidth="1"/>
    <col min="14103" max="14336" width="11.5703125" style="1"/>
    <col min="14337" max="14337" width="37.7109375" style="1" customWidth="1"/>
    <col min="14338" max="14338" width="15.85546875" style="1" customWidth="1"/>
    <col min="14339" max="14340" width="10.85546875" style="1" customWidth="1"/>
    <col min="14341" max="14349" width="0" style="1" hidden="1" customWidth="1"/>
    <col min="14350" max="14350" width="13.7109375" style="1" customWidth="1"/>
    <col min="14351" max="14351" width="17.28515625" style="1" customWidth="1"/>
    <col min="14352" max="14352" width="16" style="1" customWidth="1"/>
    <col min="14353" max="14353" width="2" style="1" customWidth="1"/>
    <col min="14354" max="14354" width="12" style="1" customWidth="1"/>
    <col min="14355" max="14355" width="10.5703125" style="1" customWidth="1"/>
    <col min="14356" max="14356" width="1.7109375" style="1" customWidth="1"/>
    <col min="14357" max="14357" width="14.42578125" style="1" customWidth="1"/>
    <col min="14358" max="14358" width="11.5703125" style="1" customWidth="1"/>
    <col min="14359" max="14592" width="11.5703125" style="1"/>
    <col min="14593" max="14593" width="37.7109375" style="1" customWidth="1"/>
    <col min="14594" max="14594" width="15.85546875" style="1" customWidth="1"/>
    <col min="14595" max="14596" width="10.85546875" style="1" customWidth="1"/>
    <col min="14597" max="14605" width="0" style="1" hidden="1" customWidth="1"/>
    <col min="14606" max="14606" width="13.7109375" style="1" customWidth="1"/>
    <col min="14607" max="14607" width="17.28515625" style="1" customWidth="1"/>
    <col min="14608" max="14608" width="16" style="1" customWidth="1"/>
    <col min="14609" max="14609" width="2" style="1" customWidth="1"/>
    <col min="14610" max="14610" width="12" style="1" customWidth="1"/>
    <col min="14611" max="14611" width="10.5703125" style="1" customWidth="1"/>
    <col min="14612" max="14612" width="1.7109375" style="1" customWidth="1"/>
    <col min="14613" max="14613" width="14.42578125" style="1" customWidth="1"/>
    <col min="14614" max="14614" width="11.5703125" style="1" customWidth="1"/>
    <col min="14615" max="14848" width="11.5703125" style="1"/>
    <col min="14849" max="14849" width="37.7109375" style="1" customWidth="1"/>
    <col min="14850" max="14850" width="15.85546875" style="1" customWidth="1"/>
    <col min="14851" max="14852" width="10.85546875" style="1" customWidth="1"/>
    <col min="14853" max="14861" width="0" style="1" hidden="1" customWidth="1"/>
    <col min="14862" max="14862" width="13.7109375" style="1" customWidth="1"/>
    <col min="14863" max="14863" width="17.28515625" style="1" customWidth="1"/>
    <col min="14864" max="14864" width="16" style="1" customWidth="1"/>
    <col min="14865" max="14865" width="2" style="1" customWidth="1"/>
    <col min="14866" max="14866" width="12" style="1" customWidth="1"/>
    <col min="14867" max="14867" width="10.5703125" style="1" customWidth="1"/>
    <col min="14868" max="14868" width="1.7109375" style="1" customWidth="1"/>
    <col min="14869" max="14869" width="14.42578125" style="1" customWidth="1"/>
    <col min="14870" max="14870" width="11.5703125" style="1" customWidth="1"/>
    <col min="14871" max="15104" width="11.5703125" style="1"/>
    <col min="15105" max="15105" width="37.7109375" style="1" customWidth="1"/>
    <col min="15106" max="15106" width="15.85546875" style="1" customWidth="1"/>
    <col min="15107" max="15108" width="10.85546875" style="1" customWidth="1"/>
    <col min="15109" max="15117" width="0" style="1" hidden="1" customWidth="1"/>
    <col min="15118" max="15118" width="13.7109375" style="1" customWidth="1"/>
    <col min="15119" max="15119" width="17.28515625" style="1" customWidth="1"/>
    <col min="15120" max="15120" width="16" style="1" customWidth="1"/>
    <col min="15121" max="15121" width="2" style="1" customWidth="1"/>
    <col min="15122" max="15122" width="12" style="1" customWidth="1"/>
    <col min="15123" max="15123" width="10.5703125" style="1" customWidth="1"/>
    <col min="15124" max="15124" width="1.7109375" style="1" customWidth="1"/>
    <col min="15125" max="15125" width="14.42578125" style="1" customWidth="1"/>
    <col min="15126" max="15126" width="11.5703125" style="1" customWidth="1"/>
    <col min="15127" max="15360" width="11.5703125" style="1"/>
    <col min="15361" max="15361" width="37.7109375" style="1" customWidth="1"/>
    <col min="15362" max="15362" width="15.85546875" style="1" customWidth="1"/>
    <col min="15363" max="15364" width="10.85546875" style="1" customWidth="1"/>
    <col min="15365" max="15373" width="0" style="1" hidden="1" customWidth="1"/>
    <col min="15374" max="15374" width="13.7109375" style="1" customWidth="1"/>
    <col min="15375" max="15375" width="17.28515625" style="1" customWidth="1"/>
    <col min="15376" max="15376" width="16" style="1" customWidth="1"/>
    <col min="15377" max="15377" width="2" style="1" customWidth="1"/>
    <col min="15378" max="15378" width="12" style="1" customWidth="1"/>
    <col min="15379" max="15379" width="10.5703125" style="1" customWidth="1"/>
    <col min="15380" max="15380" width="1.7109375" style="1" customWidth="1"/>
    <col min="15381" max="15381" width="14.42578125" style="1" customWidth="1"/>
    <col min="15382" max="15382" width="11.5703125" style="1" customWidth="1"/>
    <col min="15383" max="15616" width="11.5703125" style="1"/>
    <col min="15617" max="15617" width="37.7109375" style="1" customWidth="1"/>
    <col min="15618" max="15618" width="15.85546875" style="1" customWidth="1"/>
    <col min="15619" max="15620" width="10.85546875" style="1" customWidth="1"/>
    <col min="15621" max="15629" width="0" style="1" hidden="1" customWidth="1"/>
    <col min="15630" max="15630" width="13.7109375" style="1" customWidth="1"/>
    <col min="15631" max="15631" width="17.28515625" style="1" customWidth="1"/>
    <col min="15632" max="15632" width="16" style="1" customWidth="1"/>
    <col min="15633" max="15633" width="2" style="1" customWidth="1"/>
    <col min="15634" max="15634" width="12" style="1" customWidth="1"/>
    <col min="15635" max="15635" width="10.5703125" style="1" customWidth="1"/>
    <col min="15636" max="15636" width="1.7109375" style="1" customWidth="1"/>
    <col min="15637" max="15637" width="14.42578125" style="1" customWidth="1"/>
    <col min="15638" max="15638" width="11.5703125" style="1" customWidth="1"/>
    <col min="15639" max="15872" width="11.5703125" style="1"/>
    <col min="15873" max="15873" width="37.7109375" style="1" customWidth="1"/>
    <col min="15874" max="15874" width="15.85546875" style="1" customWidth="1"/>
    <col min="15875" max="15876" width="10.85546875" style="1" customWidth="1"/>
    <col min="15877" max="15885" width="0" style="1" hidden="1" customWidth="1"/>
    <col min="15886" max="15886" width="13.7109375" style="1" customWidth="1"/>
    <col min="15887" max="15887" width="17.28515625" style="1" customWidth="1"/>
    <col min="15888" max="15888" width="16" style="1" customWidth="1"/>
    <col min="15889" max="15889" width="2" style="1" customWidth="1"/>
    <col min="15890" max="15890" width="12" style="1" customWidth="1"/>
    <col min="15891" max="15891" width="10.5703125" style="1" customWidth="1"/>
    <col min="15892" max="15892" width="1.7109375" style="1" customWidth="1"/>
    <col min="15893" max="15893" width="14.42578125" style="1" customWidth="1"/>
    <col min="15894" max="15894" width="11.5703125" style="1" customWidth="1"/>
    <col min="15895" max="16128" width="11.5703125" style="1"/>
    <col min="16129" max="16129" width="37.7109375" style="1" customWidth="1"/>
    <col min="16130" max="16130" width="15.85546875" style="1" customWidth="1"/>
    <col min="16131" max="16132" width="10.85546875" style="1" customWidth="1"/>
    <col min="16133" max="16141" width="0" style="1" hidden="1" customWidth="1"/>
    <col min="16142" max="16142" width="13.7109375" style="1" customWidth="1"/>
    <col min="16143" max="16143" width="17.28515625" style="1" customWidth="1"/>
    <col min="16144" max="16144" width="16" style="1" customWidth="1"/>
    <col min="16145" max="16145" width="2" style="1" customWidth="1"/>
    <col min="16146" max="16146" width="12" style="1" customWidth="1"/>
    <col min="16147" max="16147" width="10.5703125" style="1" customWidth="1"/>
    <col min="16148" max="16148" width="1.7109375" style="1" customWidth="1"/>
    <col min="16149" max="16149" width="14.42578125" style="1" customWidth="1"/>
    <col min="16150" max="16150" width="11.5703125" style="1" customWidth="1"/>
    <col min="16151" max="16384" width="11.5703125" style="1"/>
  </cols>
  <sheetData>
    <row r="1" spans="1:24" ht="8.25" customHeight="1" x14ac:dyDescent="0.25"/>
    <row r="2" spans="1:24" s="80" customFormat="1" ht="18.75" x14ac:dyDescent="0.3">
      <c r="A2" s="76" t="s">
        <v>73</v>
      </c>
      <c r="B2" s="65"/>
      <c r="C2" s="65"/>
      <c r="D2" s="77"/>
      <c r="E2" s="65"/>
      <c r="F2" s="65"/>
      <c r="G2" s="65"/>
      <c r="H2" s="65"/>
      <c r="I2" s="65"/>
      <c r="J2" s="65"/>
      <c r="K2" s="65"/>
      <c r="L2" s="65"/>
      <c r="M2" s="65"/>
      <c r="N2" s="43"/>
      <c r="O2" s="76"/>
      <c r="P2" s="76"/>
      <c r="Q2" s="78"/>
      <c r="R2" s="77"/>
      <c r="S2" s="43"/>
      <c r="T2" s="79"/>
      <c r="U2" s="207" t="str">
        <f>'RESUMEN '!W2</f>
        <v>Enero</v>
      </c>
      <c r="V2" s="208"/>
    </row>
    <row r="3" spans="1:24" s="80" customFormat="1" ht="18.75" x14ac:dyDescent="0.3">
      <c r="A3" s="81" t="s">
        <v>18</v>
      </c>
      <c r="B3" s="82"/>
      <c r="C3" s="82"/>
      <c r="D3" s="83"/>
      <c r="E3" s="82"/>
      <c r="F3" s="82"/>
      <c r="G3" s="82"/>
      <c r="H3" s="82"/>
      <c r="I3" s="82"/>
      <c r="J3" s="82"/>
      <c r="K3" s="82"/>
      <c r="L3" s="82"/>
      <c r="M3" s="82"/>
      <c r="N3" s="84"/>
      <c r="O3" s="81"/>
      <c r="P3" s="81"/>
      <c r="Q3" s="78"/>
      <c r="R3" s="83"/>
      <c r="S3" s="84"/>
      <c r="T3" s="79"/>
      <c r="U3" s="85"/>
      <c r="V3" s="86"/>
    </row>
    <row r="4" spans="1:24" s="32" customFormat="1" ht="30" customHeight="1" x14ac:dyDescent="0.2">
      <c r="A4" s="94" t="s">
        <v>2</v>
      </c>
      <c r="B4" s="95">
        <v>45658</v>
      </c>
      <c r="C4" s="95">
        <v>45689</v>
      </c>
      <c r="D4" s="95">
        <v>45717</v>
      </c>
      <c r="E4" s="95">
        <v>45748</v>
      </c>
      <c r="F4" s="95">
        <v>45778</v>
      </c>
      <c r="G4" s="95">
        <v>45809</v>
      </c>
      <c r="H4" s="95">
        <v>45839</v>
      </c>
      <c r="I4" s="95">
        <v>45870</v>
      </c>
      <c r="J4" s="95">
        <v>45901</v>
      </c>
      <c r="K4" s="95">
        <v>45931</v>
      </c>
      <c r="L4" s="95">
        <v>45962</v>
      </c>
      <c r="M4" s="95">
        <v>45992</v>
      </c>
      <c r="N4" s="40" t="s">
        <v>66</v>
      </c>
      <c r="O4" s="39" t="str">
        <f>'RESUMEN '!O4</f>
        <v>ACUMULADO 
2025</v>
      </c>
      <c r="P4" s="39" t="str">
        <f>'RESUMEN '!P4</f>
        <v>% Part ACUM 
 2025</v>
      </c>
      <c r="Q4" s="38"/>
      <c r="R4" s="37">
        <f>+'Camion y Tracto'!R48</f>
        <v>45292</v>
      </c>
      <c r="S4" s="36" t="str">
        <f>'RESUMEN '!U4</f>
        <v>Var. %  Ene '25 vs Ene '24</v>
      </c>
      <c r="T4" s="35"/>
      <c r="U4" s="34" t="str">
        <f>'RESUMEN '!W4</f>
        <v>ACUMULADO
 2024</v>
      </c>
      <c r="V4" s="33" t="str">
        <f>'RESUMEN '!X4</f>
        <v>Var. %
ACUM  25/24</v>
      </c>
    </row>
    <row r="5" spans="1:24" ht="18.75" x14ac:dyDescent="0.3">
      <c r="A5" s="74" t="s">
        <v>19</v>
      </c>
      <c r="B5" s="30">
        <v>84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5">
        <f t="shared" ref="N5:N30" si="0">IFERROR(+B5/$B$31,"-")</f>
        <v>0.24705882352941178</v>
      </c>
      <c r="O5" s="72">
        <f t="shared" ref="O5:O30" si="1">SUM(B5:M5)</f>
        <v>84</v>
      </c>
      <c r="P5" s="71">
        <f t="shared" ref="P5:P30" si="2">+O5/$O$31</f>
        <v>0.24705882352941178</v>
      </c>
      <c r="Q5" s="58"/>
      <c r="R5" s="30">
        <v>57</v>
      </c>
      <c r="S5" s="29">
        <f t="shared" ref="S5:S31" si="3">+IFERROR(B5/R5-1,"-")</f>
        <v>0.47368421052631571</v>
      </c>
      <c r="T5" s="56"/>
      <c r="U5" s="55">
        <v>57</v>
      </c>
      <c r="V5" s="19">
        <f t="shared" ref="V5:V30" si="4">IFERROR(O5/U5-1,"-")</f>
        <v>0.47368421052631571</v>
      </c>
      <c r="X5" s="3"/>
    </row>
    <row r="6" spans="1:24" ht="18.75" x14ac:dyDescent="0.3">
      <c r="A6" s="70" t="s">
        <v>21</v>
      </c>
      <c r="B6" s="22">
        <v>42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6">
        <f t="shared" si="0"/>
        <v>0.12352941176470589</v>
      </c>
      <c r="O6" s="60">
        <f t="shared" si="1"/>
        <v>42</v>
      </c>
      <c r="P6" s="59">
        <f t="shared" si="2"/>
        <v>0.12352941176470589</v>
      </c>
      <c r="Q6" s="58"/>
      <c r="R6" s="22">
        <v>17</v>
      </c>
      <c r="S6" s="21">
        <f t="shared" si="3"/>
        <v>1.4705882352941178</v>
      </c>
      <c r="T6" s="56"/>
      <c r="U6" s="55">
        <v>17</v>
      </c>
      <c r="V6" s="19">
        <f t="shared" si="4"/>
        <v>1.4705882352941178</v>
      </c>
      <c r="X6" s="3"/>
    </row>
    <row r="7" spans="1:24" ht="15.75" customHeight="1" x14ac:dyDescent="0.3">
      <c r="A7" s="70" t="s">
        <v>65</v>
      </c>
      <c r="B7" s="22">
        <v>25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6">
        <f t="shared" si="0"/>
        <v>7.3529411764705885E-2</v>
      </c>
      <c r="O7" s="60">
        <f t="shared" si="1"/>
        <v>25</v>
      </c>
      <c r="P7" s="59">
        <f t="shared" si="2"/>
        <v>7.3529411764705885E-2</v>
      </c>
      <c r="Q7" s="58"/>
      <c r="R7" s="22">
        <v>13</v>
      </c>
      <c r="S7" s="21">
        <f t="shared" si="3"/>
        <v>0.92307692307692313</v>
      </c>
      <c r="T7" s="56"/>
      <c r="U7" s="55">
        <v>13</v>
      </c>
      <c r="V7" s="19">
        <f t="shared" si="4"/>
        <v>0.92307692307692313</v>
      </c>
      <c r="X7" s="3"/>
    </row>
    <row r="8" spans="1:24" ht="18.75" x14ac:dyDescent="0.3">
      <c r="A8" s="70" t="s">
        <v>32</v>
      </c>
      <c r="B8" s="22">
        <v>23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6">
        <f t="shared" si="0"/>
        <v>6.7647058823529407E-2</v>
      </c>
      <c r="O8" s="60">
        <f t="shared" si="1"/>
        <v>23</v>
      </c>
      <c r="P8" s="59">
        <f t="shared" si="2"/>
        <v>6.7647058823529407E-2</v>
      </c>
      <c r="Q8" s="58"/>
      <c r="R8" s="22">
        <v>5</v>
      </c>
      <c r="S8" s="21">
        <f t="shared" si="3"/>
        <v>3.5999999999999996</v>
      </c>
      <c r="T8" s="56"/>
      <c r="U8" s="55">
        <v>5</v>
      </c>
      <c r="V8" s="19">
        <f t="shared" si="4"/>
        <v>3.5999999999999996</v>
      </c>
      <c r="X8" s="3"/>
    </row>
    <row r="9" spans="1:24" ht="18.75" x14ac:dyDescent="0.3">
      <c r="A9" s="70" t="s">
        <v>23</v>
      </c>
      <c r="B9" s="22">
        <v>22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6">
        <f t="shared" si="0"/>
        <v>6.4705882352941183E-2</v>
      </c>
      <c r="O9" s="60">
        <f t="shared" si="1"/>
        <v>22</v>
      </c>
      <c r="P9" s="59">
        <f t="shared" si="2"/>
        <v>6.4705882352941183E-2</v>
      </c>
      <c r="Q9" s="58"/>
      <c r="R9" s="22">
        <v>14</v>
      </c>
      <c r="S9" s="21">
        <f t="shared" si="3"/>
        <v>0.5714285714285714</v>
      </c>
      <c r="T9" s="56"/>
      <c r="U9" s="55">
        <v>14</v>
      </c>
      <c r="V9" s="19">
        <f t="shared" si="4"/>
        <v>0.5714285714285714</v>
      </c>
      <c r="X9" s="3"/>
    </row>
    <row r="10" spans="1:24" ht="18.75" x14ac:dyDescent="0.3">
      <c r="A10" s="70" t="s">
        <v>25</v>
      </c>
      <c r="B10" s="22">
        <v>20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6">
        <f t="shared" si="0"/>
        <v>5.8823529411764705E-2</v>
      </c>
      <c r="O10" s="60">
        <f t="shared" si="1"/>
        <v>20</v>
      </c>
      <c r="P10" s="59">
        <f t="shared" si="2"/>
        <v>5.8823529411764705E-2</v>
      </c>
      <c r="Q10" s="58"/>
      <c r="R10" s="22">
        <v>1</v>
      </c>
      <c r="S10" s="21">
        <f t="shared" si="3"/>
        <v>19</v>
      </c>
      <c r="T10" s="56"/>
      <c r="U10" s="55">
        <v>1</v>
      </c>
      <c r="V10" s="19">
        <f t="shared" si="4"/>
        <v>19</v>
      </c>
      <c r="X10" s="3"/>
    </row>
    <row r="11" spans="1:24" ht="18.75" x14ac:dyDescent="0.3">
      <c r="A11" s="70" t="s">
        <v>27</v>
      </c>
      <c r="B11" s="22">
        <v>19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6">
        <f t="shared" si="0"/>
        <v>5.5882352941176473E-2</v>
      </c>
      <c r="O11" s="60">
        <f t="shared" ref="O11:O12" si="5">SUM(B11:M11)</f>
        <v>19</v>
      </c>
      <c r="P11" s="59">
        <f t="shared" si="2"/>
        <v>5.5882352941176473E-2</v>
      </c>
      <c r="Q11" s="58"/>
      <c r="R11" s="22">
        <v>7</v>
      </c>
      <c r="S11" s="21">
        <f t="shared" si="3"/>
        <v>1.7142857142857144</v>
      </c>
      <c r="T11" s="56"/>
      <c r="U11" s="55">
        <v>7</v>
      </c>
      <c r="V11" s="19">
        <f t="shared" ref="V11:V12" si="6">IFERROR(O11/U11-1,"-")</f>
        <v>1.7142857142857144</v>
      </c>
      <c r="X11" s="3"/>
    </row>
    <row r="12" spans="1:24" ht="18.75" x14ac:dyDescent="0.3">
      <c r="A12" s="70" t="s">
        <v>36</v>
      </c>
      <c r="B12" s="22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6">
        <f t="shared" si="0"/>
        <v>5.2941176470588235E-2</v>
      </c>
      <c r="O12" s="60">
        <f t="shared" si="5"/>
        <v>18</v>
      </c>
      <c r="P12" s="59">
        <f t="shared" si="2"/>
        <v>5.2941176470588235E-2</v>
      </c>
      <c r="Q12" s="58"/>
      <c r="R12" s="22">
        <v>3</v>
      </c>
      <c r="S12" s="21">
        <f t="shared" si="3"/>
        <v>5</v>
      </c>
      <c r="T12" s="56"/>
      <c r="U12" s="55">
        <v>3</v>
      </c>
      <c r="V12" s="19">
        <f t="shared" si="6"/>
        <v>5</v>
      </c>
      <c r="X12" s="3"/>
    </row>
    <row r="13" spans="1:24" ht="18.75" x14ac:dyDescent="0.3">
      <c r="A13" s="70" t="s">
        <v>29</v>
      </c>
      <c r="B13" s="22">
        <v>18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6">
        <f t="shared" si="0"/>
        <v>5.2941176470588235E-2</v>
      </c>
      <c r="O13" s="60">
        <f t="shared" si="1"/>
        <v>18</v>
      </c>
      <c r="P13" s="59">
        <f t="shared" si="2"/>
        <v>5.2941176470588235E-2</v>
      </c>
      <c r="Q13" s="58"/>
      <c r="R13" s="22">
        <v>13</v>
      </c>
      <c r="S13" s="21">
        <f t="shared" si="3"/>
        <v>0.38461538461538458</v>
      </c>
      <c r="T13" s="56"/>
      <c r="U13" s="55">
        <v>13</v>
      </c>
      <c r="V13" s="19">
        <f t="shared" si="4"/>
        <v>0.38461538461538458</v>
      </c>
      <c r="X13" s="3"/>
    </row>
    <row r="14" spans="1:24" ht="18.75" x14ac:dyDescent="0.3">
      <c r="A14" s="70" t="s">
        <v>33</v>
      </c>
      <c r="B14" s="22">
        <v>16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6">
        <f t="shared" si="0"/>
        <v>4.7058823529411764E-2</v>
      </c>
      <c r="O14" s="60">
        <f t="shared" si="1"/>
        <v>16</v>
      </c>
      <c r="P14" s="59">
        <f t="shared" si="2"/>
        <v>4.7058823529411764E-2</v>
      </c>
      <c r="Q14" s="58"/>
      <c r="R14" s="22">
        <v>2</v>
      </c>
      <c r="S14" s="21">
        <f t="shared" si="3"/>
        <v>7</v>
      </c>
      <c r="T14" s="56"/>
      <c r="U14" s="55">
        <v>2</v>
      </c>
      <c r="V14" s="19">
        <f t="shared" si="4"/>
        <v>7</v>
      </c>
      <c r="X14" s="3"/>
    </row>
    <row r="15" spans="1:24" ht="18.75" x14ac:dyDescent="0.3">
      <c r="A15" s="70" t="s">
        <v>45</v>
      </c>
      <c r="B15" s="22">
        <v>15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6">
        <f t="shared" si="0"/>
        <v>4.4117647058823532E-2</v>
      </c>
      <c r="O15" s="60">
        <f t="shared" ref="O15" si="7">SUM(B15:M15)</f>
        <v>15</v>
      </c>
      <c r="P15" s="59">
        <f t="shared" si="2"/>
        <v>4.4117647058823532E-2</v>
      </c>
      <c r="Q15" s="58"/>
      <c r="R15" s="22">
        <v>16</v>
      </c>
      <c r="S15" s="21">
        <f t="shared" si="3"/>
        <v>-6.25E-2</v>
      </c>
      <c r="T15" s="56"/>
      <c r="U15" s="55">
        <v>16</v>
      </c>
      <c r="V15" s="19">
        <f t="shared" ref="V15:V18" si="8">IFERROR(O15/U15-1,"-")</f>
        <v>-6.25E-2</v>
      </c>
      <c r="X15" s="3"/>
    </row>
    <row r="16" spans="1:24" ht="18.75" x14ac:dyDescent="0.3">
      <c r="A16" s="70" t="s">
        <v>20</v>
      </c>
      <c r="B16" s="22">
        <v>12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6">
        <f t="shared" si="0"/>
        <v>3.5294117647058823E-2</v>
      </c>
      <c r="O16" s="60">
        <f t="shared" ref="O16" si="9">SUM(B16:M16)</f>
        <v>12</v>
      </c>
      <c r="P16" s="59">
        <f t="shared" si="2"/>
        <v>3.5294117647058823E-2</v>
      </c>
      <c r="Q16" s="58"/>
      <c r="R16" s="22">
        <v>12</v>
      </c>
      <c r="S16" s="21">
        <f t="shared" si="3"/>
        <v>0</v>
      </c>
      <c r="T16" s="56"/>
      <c r="U16" s="55">
        <v>12</v>
      </c>
      <c r="V16" s="19">
        <f t="shared" si="8"/>
        <v>0</v>
      </c>
      <c r="X16" s="3"/>
    </row>
    <row r="17" spans="1:24" ht="18.75" x14ac:dyDescent="0.3">
      <c r="A17" s="70" t="s">
        <v>447</v>
      </c>
      <c r="B17" s="22">
        <v>6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6">
        <f t="shared" si="0"/>
        <v>1.7647058823529412E-2</v>
      </c>
      <c r="O17" s="60">
        <f t="shared" ref="O17" si="10">SUM(B17:M17)</f>
        <v>6</v>
      </c>
      <c r="P17" s="59">
        <f t="shared" si="2"/>
        <v>1.7647058823529412E-2</v>
      </c>
      <c r="Q17" s="58"/>
      <c r="R17" s="22">
        <v>0</v>
      </c>
      <c r="S17" s="21" t="str">
        <f t="shared" si="3"/>
        <v>-</v>
      </c>
      <c r="T17" s="56"/>
      <c r="U17" s="55">
        <v>0</v>
      </c>
      <c r="V17" s="19" t="str">
        <f t="shared" si="8"/>
        <v>-</v>
      </c>
      <c r="X17" s="3"/>
    </row>
    <row r="18" spans="1:24" ht="18.75" x14ac:dyDescent="0.3">
      <c r="A18" s="70" t="s">
        <v>68</v>
      </c>
      <c r="B18" s="22">
        <v>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>
        <f t="shared" si="0"/>
        <v>1.7647058823529412E-2</v>
      </c>
      <c r="O18" s="60">
        <f t="shared" ref="O18" si="11">SUM(B18:M18)</f>
        <v>6</v>
      </c>
      <c r="P18" s="59">
        <f t="shared" si="2"/>
        <v>1.7647058823529412E-2</v>
      </c>
      <c r="Q18" s="58"/>
      <c r="R18" s="22">
        <v>6</v>
      </c>
      <c r="S18" s="21">
        <f t="shared" si="3"/>
        <v>0</v>
      </c>
      <c r="T18" s="56"/>
      <c r="U18" s="55">
        <v>6</v>
      </c>
      <c r="V18" s="19">
        <f t="shared" si="8"/>
        <v>0</v>
      </c>
      <c r="X18" s="3"/>
    </row>
    <row r="19" spans="1:24" ht="18.75" x14ac:dyDescent="0.3">
      <c r="A19" s="70" t="s">
        <v>426</v>
      </c>
      <c r="B19" s="22">
        <v>4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>
        <f t="shared" si="0"/>
        <v>1.1764705882352941E-2</v>
      </c>
      <c r="O19" s="60">
        <f t="shared" si="1"/>
        <v>4</v>
      </c>
      <c r="P19" s="59">
        <f t="shared" si="2"/>
        <v>1.1764705882352941E-2</v>
      </c>
      <c r="Q19" s="58"/>
      <c r="R19" s="22">
        <v>1</v>
      </c>
      <c r="S19" s="21">
        <f t="shared" si="3"/>
        <v>3</v>
      </c>
      <c r="T19" s="56"/>
      <c r="U19" s="55">
        <v>1</v>
      </c>
      <c r="V19" s="19">
        <f t="shared" si="4"/>
        <v>3</v>
      </c>
      <c r="X19" s="3"/>
    </row>
    <row r="20" spans="1:24" ht="18.75" x14ac:dyDescent="0.3">
      <c r="A20" s="70" t="s">
        <v>22</v>
      </c>
      <c r="B20" s="22">
        <v>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6">
        <f t="shared" si="0"/>
        <v>8.8235294117647058E-3</v>
      </c>
      <c r="O20" s="60">
        <f t="shared" ref="O20" si="12">SUM(B20:M20)</f>
        <v>3</v>
      </c>
      <c r="P20" s="59">
        <f t="shared" si="2"/>
        <v>8.8235294117647058E-3</v>
      </c>
      <c r="Q20" s="58"/>
      <c r="R20" s="22">
        <v>4</v>
      </c>
      <c r="S20" s="21">
        <f t="shared" si="3"/>
        <v>-0.25</v>
      </c>
      <c r="T20" s="56"/>
      <c r="U20" s="55">
        <v>4</v>
      </c>
      <c r="V20" s="19">
        <f t="shared" ref="V20" si="13">IFERROR(O20/U20-1,"-")</f>
        <v>-0.25</v>
      </c>
      <c r="X20" s="3"/>
    </row>
    <row r="21" spans="1:24" ht="18.75" x14ac:dyDescent="0.3">
      <c r="A21" s="70" t="s">
        <v>297</v>
      </c>
      <c r="B21" s="22">
        <v>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6">
        <f t="shared" si="0"/>
        <v>5.8823529411764705E-3</v>
      </c>
      <c r="O21" s="60">
        <f t="shared" si="1"/>
        <v>2</v>
      </c>
      <c r="P21" s="59">
        <f t="shared" si="2"/>
        <v>5.8823529411764705E-3</v>
      </c>
      <c r="Q21" s="58"/>
      <c r="R21" s="22">
        <v>0</v>
      </c>
      <c r="S21" s="21" t="str">
        <f t="shared" si="3"/>
        <v>-</v>
      </c>
      <c r="T21" s="56"/>
      <c r="U21" s="55">
        <v>0</v>
      </c>
      <c r="V21" s="19" t="str">
        <f t="shared" si="4"/>
        <v>-</v>
      </c>
      <c r="X21" s="3"/>
    </row>
    <row r="22" spans="1:24" ht="18.75" x14ac:dyDescent="0.3">
      <c r="A22" s="70" t="s">
        <v>301</v>
      </c>
      <c r="B22" s="22">
        <v>1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6">
        <f t="shared" si="0"/>
        <v>2.9411764705882353E-3</v>
      </c>
      <c r="O22" s="60">
        <f t="shared" ref="O22:O23" si="14">SUM(B22:M22)</f>
        <v>1</v>
      </c>
      <c r="P22" s="59">
        <f t="shared" si="2"/>
        <v>2.9411764705882353E-3</v>
      </c>
      <c r="Q22" s="58"/>
      <c r="R22" s="22">
        <v>0</v>
      </c>
      <c r="S22" s="21" t="str">
        <f t="shared" si="3"/>
        <v>-</v>
      </c>
      <c r="T22" s="56"/>
      <c r="U22" s="55">
        <v>0</v>
      </c>
      <c r="V22" s="19" t="str">
        <f t="shared" ref="V22:V29" si="15">IFERROR(O22/U22-1,"-")</f>
        <v>-</v>
      </c>
      <c r="X22" s="3"/>
    </row>
    <row r="23" spans="1:24" ht="18.75" x14ac:dyDescent="0.3">
      <c r="A23" s="70" t="s">
        <v>39</v>
      </c>
      <c r="B23" s="22">
        <v>1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>
        <f t="shared" si="0"/>
        <v>2.9411764705882353E-3</v>
      </c>
      <c r="O23" s="60">
        <f t="shared" si="14"/>
        <v>1</v>
      </c>
      <c r="P23" s="59">
        <f t="shared" si="2"/>
        <v>2.9411764705882353E-3</v>
      </c>
      <c r="Q23" s="58"/>
      <c r="R23" s="22">
        <v>1</v>
      </c>
      <c r="S23" s="21">
        <f t="shared" ref="S23:S25" si="16">+IFERROR(B23/R23-1,"-")</f>
        <v>0</v>
      </c>
      <c r="T23" s="56"/>
      <c r="U23" s="55">
        <v>1</v>
      </c>
      <c r="V23" s="19">
        <f t="shared" ref="V23:V25" si="17">IFERROR(O23/U23-1,"-")</f>
        <v>0</v>
      </c>
      <c r="X23" s="3"/>
    </row>
    <row r="24" spans="1:24" ht="18.75" x14ac:dyDescent="0.3">
      <c r="A24" s="70" t="s">
        <v>452</v>
      </c>
      <c r="B24" s="22">
        <v>1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>
        <f t="shared" si="0"/>
        <v>2.9411764705882353E-3</v>
      </c>
      <c r="O24" s="60">
        <f t="shared" ref="O24:O25" si="18">SUM(B24:M24)</f>
        <v>1</v>
      </c>
      <c r="P24" s="59">
        <f t="shared" si="2"/>
        <v>2.9411764705882353E-3</v>
      </c>
      <c r="Q24" s="58"/>
      <c r="R24" s="22">
        <v>0</v>
      </c>
      <c r="S24" s="21" t="str">
        <f t="shared" si="16"/>
        <v>-</v>
      </c>
      <c r="T24" s="56"/>
      <c r="U24" s="55">
        <v>0</v>
      </c>
      <c r="V24" s="19" t="str">
        <f t="shared" si="17"/>
        <v>-</v>
      </c>
      <c r="X24" s="3"/>
    </row>
    <row r="25" spans="1:24" ht="18.75" x14ac:dyDescent="0.3">
      <c r="A25" s="70" t="s">
        <v>454</v>
      </c>
      <c r="B25" s="22">
        <v>1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6">
        <f t="shared" si="0"/>
        <v>2.9411764705882353E-3</v>
      </c>
      <c r="O25" s="60">
        <f t="shared" si="18"/>
        <v>1</v>
      </c>
      <c r="P25" s="59">
        <f t="shared" si="2"/>
        <v>2.9411764705882353E-3</v>
      </c>
      <c r="Q25" s="58"/>
      <c r="R25" s="22">
        <v>0</v>
      </c>
      <c r="S25" s="21" t="str">
        <f t="shared" si="16"/>
        <v>-</v>
      </c>
      <c r="T25" s="56"/>
      <c r="U25" s="55">
        <v>0</v>
      </c>
      <c r="V25" s="19" t="str">
        <f t="shared" si="17"/>
        <v>-</v>
      </c>
      <c r="X25" s="3"/>
    </row>
    <row r="26" spans="1:24" ht="18.75" x14ac:dyDescent="0.3">
      <c r="A26" s="70" t="s">
        <v>453</v>
      </c>
      <c r="B26" s="22">
        <v>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6">
        <f t="shared" si="0"/>
        <v>2.9411764705882353E-3</v>
      </c>
      <c r="O26" s="60">
        <f t="shared" ref="O26" si="19">SUM(B26:M26)</f>
        <v>1</v>
      </c>
      <c r="P26" s="59">
        <f t="shared" si="2"/>
        <v>2.9411764705882353E-3</v>
      </c>
      <c r="Q26" s="58"/>
      <c r="R26" s="22">
        <v>0</v>
      </c>
      <c r="S26" s="21" t="str">
        <f t="shared" si="3"/>
        <v>-</v>
      </c>
      <c r="T26" s="56"/>
      <c r="U26" s="55">
        <v>0</v>
      </c>
      <c r="V26" s="19" t="str">
        <f t="shared" si="15"/>
        <v>-</v>
      </c>
      <c r="X26" s="3"/>
    </row>
    <row r="27" spans="1:24" ht="18.75" x14ac:dyDescent="0.3">
      <c r="A27" s="70" t="s">
        <v>43</v>
      </c>
      <c r="B27" s="22">
        <v>0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6">
        <f t="shared" si="0"/>
        <v>0</v>
      </c>
      <c r="O27" s="60">
        <f t="shared" ref="O27:O29" si="20">SUM(B27:M27)</f>
        <v>0</v>
      </c>
      <c r="P27" s="59">
        <f t="shared" si="2"/>
        <v>0</v>
      </c>
      <c r="Q27" s="58"/>
      <c r="R27" s="22">
        <v>2</v>
      </c>
      <c r="S27" s="21">
        <f t="shared" si="3"/>
        <v>-1</v>
      </c>
      <c r="T27" s="56"/>
      <c r="U27" s="55">
        <v>2</v>
      </c>
      <c r="V27" s="19">
        <f t="shared" si="15"/>
        <v>-1</v>
      </c>
      <c r="X27" s="3"/>
    </row>
    <row r="28" spans="1:24" ht="18.75" x14ac:dyDescent="0.3">
      <c r="A28" s="70" t="s">
        <v>30</v>
      </c>
      <c r="B28" s="22">
        <v>0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6">
        <f t="shared" si="0"/>
        <v>0</v>
      </c>
      <c r="O28" s="60">
        <f t="shared" si="20"/>
        <v>0</v>
      </c>
      <c r="P28" s="59">
        <f t="shared" si="2"/>
        <v>0</v>
      </c>
      <c r="Q28" s="58"/>
      <c r="R28" s="22">
        <v>6</v>
      </c>
      <c r="S28" s="21">
        <f t="shared" si="3"/>
        <v>-1</v>
      </c>
      <c r="T28" s="56"/>
      <c r="U28" s="55">
        <v>6</v>
      </c>
      <c r="V28" s="19">
        <f t="shared" si="15"/>
        <v>-1</v>
      </c>
      <c r="X28" s="3"/>
    </row>
    <row r="29" spans="1:24" ht="18.75" x14ac:dyDescent="0.3">
      <c r="A29" s="70" t="s">
        <v>70</v>
      </c>
      <c r="B29" s="22">
        <v>0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6">
        <f t="shared" si="0"/>
        <v>0</v>
      </c>
      <c r="O29" s="60">
        <f t="shared" si="20"/>
        <v>0</v>
      </c>
      <c r="P29" s="59">
        <f t="shared" si="2"/>
        <v>0</v>
      </c>
      <c r="Q29" s="58"/>
      <c r="R29" s="22">
        <v>10</v>
      </c>
      <c r="S29" s="21">
        <f t="shared" si="3"/>
        <v>-1</v>
      </c>
      <c r="T29" s="56"/>
      <c r="U29" s="55">
        <v>10</v>
      </c>
      <c r="V29" s="19">
        <f t="shared" si="15"/>
        <v>-1</v>
      </c>
      <c r="X29" s="3"/>
    </row>
    <row r="30" spans="1:24" ht="18.75" x14ac:dyDescent="0.3">
      <c r="A30" s="70" t="s">
        <v>38</v>
      </c>
      <c r="B30" s="22">
        <v>0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6">
        <f t="shared" si="0"/>
        <v>0</v>
      </c>
      <c r="O30" s="60">
        <f t="shared" si="1"/>
        <v>0</v>
      </c>
      <c r="P30" s="59">
        <f t="shared" si="2"/>
        <v>0</v>
      </c>
      <c r="Q30" s="58"/>
      <c r="R30" s="22">
        <v>1</v>
      </c>
      <c r="S30" s="21">
        <f t="shared" si="3"/>
        <v>-1</v>
      </c>
      <c r="T30" s="56"/>
      <c r="U30" s="55">
        <v>1</v>
      </c>
      <c r="V30" s="19">
        <f t="shared" si="4"/>
        <v>-1</v>
      </c>
      <c r="X30" s="3"/>
    </row>
    <row r="31" spans="1:24" s="8" customFormat="1" ht="19.5" thickBot="1" x14ac:dyDescent="0.35">
      <c r="A31" s="69" t="s">
        <v>1</v>
      </c>
      <c r="B31" s="68">
        <f t="shared" ref="B31:P31" si="21">SUM(B5:B30)</f>
        <v>340</v>
      </c>
      <c r="C31" s="13">
        <f t="shared" si="21"/>
        <v>0</v>
      </c>
      <c r="D31" s="13">
        <f t="shared" si="21"/>
        <v>0</v>
      </c>
      <c r="E31" s="13">
        <f t="shared" si="21"/>
        <v>0</v>
      </c>
      <c r="F31" s="13">
        <f t="shared" si="21"/>
        <v>0</v>
      </c>
      <c r="G31" s="13">
        <f t="shared" si="21"/>
        <v>0</v>
      </c>
      <c r="H31" s="13">
        <f t="shared" si="21"/>
        <v>0</v>
      </c>
      <c r="I31" s="13">
        <f t="shared" si="21"/>
        <v>0</v>
      </c>
      <c r="J31" s="13">
        <f t="shared" si="21"/>
        <v>0</v>
      </c>
      <c r="K31" s="13">
        <f t="shared" si="21"/>
        <v>0</v>
      </c>
      <c r="L31" s="13">
        <f t="shared" si="21"/>
        <v>0</v>
      </c>
      <c r="M31" s="13">
        <f t="shared" si="21"/>
        <v>0</v>
      </c>
      <c r="N31" s="12">
        <f t="shared" si="21"/>
        <v>1</v>
      </c>
      <c r="O31" s="66">
        <f t="shared" si="21"/>
        <v>340</v>
      </c>
      <c r="P31" s="67">
        <f t="shared" si="21"/>
        <v>1</v>
      </c>
      <c r="Q31" s="53"/>
      <c r="R31" s="13">
        <f>SUM(R5:R30)</f>
        <v>191</v>
      </c>
      <c r="S31" s="15">
        <f t="shared" si="3"/>
        <v>0.78010471204188492</v>
      </c>
      <c r="T31" s="52"/>
      <c r="U31" s="66">
        <f>SUM(U5:U30)</f>
        <v>191</v>
      </c>
      <c r="V31" s="12">
        <f t="shared" ref="V31" si="22">IFERROR(O31/U31-1,"-")</f>
        <v>0.78010471204188492</v>
      </c>
      <c r="X31" s="3"/>
    </row>
    <row r="32" spans="1:24" ht="12" customHeight="1" thickTop="1" x14ac:dyDescent="0.3">
      <c r="A32" s="11"/>
      <c r="B32" s="49"/>
      <c r="C32" s="49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51"/>
      <c r="O32" s="11"/>
      <c r="P32" s="11"/>
      <c r="R32" s="47"/>
      <c r="S32" s="51"/>
      <c r="T32" s="50"/>
      <c r="U32" s="44"/>
    </row>
    <row r="33" spans="1:22" ht="18.75" x14ac:dyDescent="0.3">
      <c r="A33" s="11" t="s">
        <v>7</v>
      </c>
      <c r="B33" s="49"/>
      <c r="C33" s="49"/>
      <c r="D33" s="47"/>
      <c r="E33" s="49"/>
      <c r="F33" s="49"/>
      <c r="G33" s="49"/>
      <c r="H33" s="49"/>
      <c r="I33" s="49"/>
      <c r="J33" s="49"/>
      <c r="K33" s="49"/>
      <c r="L33" s="49"/>
      <c r="M33" s="49"/>
      <c r="N33" s="46"/>
      <c r="O33" s="11"/>
      <c r="P33" s="11"/>
      <c r="R33" s="47"/>
      <c r="S33" s="46"/>
      <c r="T33" s="45"/>
      <c r="U33" s="44"/>
    </row>
    <row r="34" spans="1:22" ht="18.75" x14ac:dyDescent="0.3">
      <c r="A34" s="11"/>
      <c r="B34" s="49"/>
      <c r="C34" s="49"/>
      <c r="D34" s="47"/>
      <c r="E34" s="49"/>
      <c r="F34" s="49"/>
      <c r="G34" s="49"/>
      <c r="H34" s="49"/>
      <c r="I34" s="49"/>
      <c r="J34" s="49"/>
      <c r="K34" s="49"/>
      <c r="L34" s="49"/>
      <c r="M34" s="49"/>
      <c r="N34" s="46"/>
      <c r="O34" s="11"/>
      <c r="P34" s="11"/>
      <c r="R34" s="47"/>
      <c r="S34" s="46"/>
      <c r="T34" s="45"/>
      <c r="U34" s="44"/>
    </row>
    <row r="36" spans="1:22" x14ac:dyDescent="0.25">
      <c r="A36" s="1"/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</row>
  </sheetData>
  <sortState xmlns:xlrd2="http://schemas.microsoft.com/office/spreadsheetml/2017/richdata2" ref="A5:V30">
    <sortCondition descending="1" ref="O5:O30"/>
  </sortState>
  <mergeCells count="1">
    <mergeCell ref="U2:V2"/>
  </mergeCells>
  <conditionalFormatting sqref="A5:A30">
    <cfRule type="duplicateValues" dxfId="0" priority="25"/>
  </conditionalFormatting>
  <pageMargins left="0.7" right="0.7" top="0.75" bottom="0.75" header="0.3" footer="0.3"/>
  <pageSetup paperSize="9" orientation="portrait" r:id="rId1"/>
  <ignoredErrors>
    <ignoredError sqref="B31:E31 F31:I3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E934-EB72-4FAE-8D1F-E6AF58894F95}">
  <sheetPr>
    <tabColor indexed="41"/>
  </sheetPr>
  <dimension ref="A1:O196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7.7109375" style="137" customWidth="1"/>
    <col min="2" max="2" width="30.7109375" style="138" customWidth="1"/>
    <col min="3" max="3" width="11.7109375" style="139" customWidth="1"/>
    <col min="4" max="4" width="10" style="139" hidden="1" customWidth="1" outlineLevel="1"/>
    <col min="5" max="6" width="10.42578125" style="139" hidden="1" customWidth="1" outlineLevel="1"/>
    <col min="7" max="8" width="9.140625" style="139" hidden="1" customWidth="1" outlineLevel="1"/>
    <col min="9" max="14" width="8.42578125" style="139" hidden="1" customWidth="1" outlineLevel="1"/>
    <col min="15" max="15" width="15" style="140" bestFit="1" customWidth="1" collapsed="1"/>
    <col min="16" max="16384" width="11.42578125" style="108"/>
  </cols>
  <sheetData>
    <row r="1" spans="1:15" ht="10.5" customHeight="1" x14ac:dyDescent="0.25">
      <c r="A1" s="104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7"/>
    </row>
    <row r="2" spans="1:15" ht="18.75" x14ac:dyDescent="0.3">
      <c r="A2" s="109" t="s">
        <v>74</v>
      </c>
      <c r="B2" s="110"/>
      <c r="C2" s="111"/>
      <c r="D2" s="111"/>
      <c r="E2" s="111"/>
      <c r="F2" s="111"/>
      <c r="G2" s="111"/>
      <c r="H2" s="111"/>
      <c r="I2" s="111"/>
      <c r="J2" s="111"/>
      <c r="K2" s="111"/>
      <c r="L2" s="112"/>
      <c r="M2" s="113"/>
      <c r="N2" s="111"/>
      <c r="O2" s="114"/>
    </row>
    <row r="3" spans="1:15" ht="17.25" x14ac:dyDescent="0.3">
      <c r="A3" s="115" t="s">
        <v>75</v>
      </c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8"/>
      <c r="N3" s="119"/>
      <c r="O3" s="120"/>
    </row>
    <row r="4" spans="1:15" ht="15.75" x14ac:dyDescent="0.25">
      <c r="A4" s="121" t="s">
        <v>2</v>
      </c>
      <c r="B4" s="121" t="s">
        <v>76</v>
      </c>
      <c r="C4" s="122" t="s">
        <v>77</v>
      </c>
      <c r="D4" s="123" t="s">
        <v>78</v>
      </c>
      <c r="E4" s="123" t="s">
        <v>79</v>
      </c>
      <c r="F4" s="123" t="s">
        <v>80</v>
      </c>
      <c r="G4" s="123" t="s">
        <v>81</v>
      </c>
      <c r="H4" s="123" t="s">
        <v>82</v>
      </c>
      <c r="I4" s="123" t="s">
        <v>83</v>
      </c>
      <c r="J4" s="123" t="s">
        <v>84</v>
      </c>
      <c r="K4" s="123" t="s">
        <v>85</v>
      </c>
      <c r="L4" s="123" t="s">
        <v>86</v>
      </c>
      <c r="M4" s="123" t="s">
        <v>87</v>
      </c>
      <c r="N4" s="123" t="s">
        <v>88</v>
      </c>
      <c r="O4" s="124" t="s">
        <v>89</v>
      </c>
    </row>
    <row r="5" spans="1:15" ht="15" x14ac:dyDescent="0.25">
      <c r="A5" s="125" t="s">
        <v>30</v>
      </c>
      <c r="B5" s="126" t="s">
        <v>90</v>
      </c>
      <c r="C5" s="127">
        <v>1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8">
        <f>SUM(C5:N5)</f>
        <v>1</v>
      </c>
    </row>
    <row r="6" spans="1:15" ht="15" x14ac:dyDescent="0.25">
      <c r="A6" s="129"/>
      <c r="B6" s="130" t="s">
        <v>439</v>
      </c>
      <c r="C6" s="127">
        <v>20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8">
        <f t="shared" ref="O6:O194" si="0">SUM(C6:N6)</f>
        <v>20</v>
      </c>
    </row>
    <row r="7" spans="1:15" ht="15" x14ac:dyDescent="0.25">
      <c r="A7" s="129"/>
      <c r="B7" s="130" t="s">
        <v>459</v>
      </c>
      <c r="C7" s="127">
        <v>1</v>
      </c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8">
        <f t="shared" ref="O7:O9" si="1">SUM(C7:N7)</f>
        <v>1</v>
      </c>
    </row>
    <row r="8" spans="1:15" ht="15" x14ac:dyDescent="0.25">
      <c r="A8" s="129"/>
      <c r="B8" s="130" t="s">
        <v>460</v>
      </c>
      <c r="C8" s="127">
        <v>1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8">
        <f t="shared" si="1"/>
        <v>1</v>
      </c>
    </row>
    <row r="9" spans="1:15" ht="15" x14ac:dyDescent="0.25">
      <c r="A9" s="131"/>
      <c r="B9" s="132" t="s">
        <v>461</v>
      </c>
      <c r="C9" s="127">
        <v>2</v>
      </c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8">
        <f t="shared" si="1"/>
        <v>2</v>
      </c>
    </row>
    <row r="10" spans="1:15" ht="15" x14ac:dyDescent="0.25">
      <c r="A10" s="125" t="s">
        <v>40</v>
      </c>
      <c r="B10" s="126" t="s">
        <v>304</v>
      </c>
      <c r="C10" s="127">
        <v>19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8">
        <f t="shared" si="0"/>
        <v>19</v>
      </c>
    </row>
    <row r="11" spans="1:15" ht="15" x14ac:dyDescent="0.25">
      <c r="A11" s="129"/>
      <c r="B11" s="130" t="s">
        <v>353</v>
      </c>
      <c r="C11" s="127">
        <v>5</v>
      </c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8">
        <f t="shared" si="0"/>
        <v>5</v>
      </c>
    </row>
    <row r="12" spans="1:15" ht="15" x14ac:dyDescent="0.25">
      <c r="A12" s="129"/>
      <c r="B12" s="130" t="s">
        <v>462</v>
      </c>
      <c r="C12" s="127">
        <v>2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8">
        <f t="shared" si="0"/>
        <v>2</v>
      </c>
    </row>
    <row r="13" spans="1:15" ht="15" x14ac:dyDescent="0.25">
      <c r="A13" s="129"/>
      <c r="B13" s="130" t="s">
        <v>463</v>
      </c>
      <c r="C13" s="127">
        <v>2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>
        <f t="shared" ref="O13:O61" si="2">SUM(C13:N13)</f>
        <v>2</v>
      </c>
    </row>
    <row r="14" spans="1:15" ht="15" x14ac:dyDescent="0.25">
      <c r="A14" s="131"/>
      <c r="B14" s="132" t="s">
        <v>464</v>
      </c>
      <c r="C14" s="127">
        <v>1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8">
        <f t="shared" ref="O14:O34" si="3">SUM(C14:N14)</f>
        <v>1</v>
      </c>
    </row>
    <row r="15" spans="1:15" ht="15" x14ac:dyDescent="0.25">
      <c r="A15" s="125" t="s">
        <v>450</v>
      </c>
      <c r="B15" s="126" t="s">
        <v>465</v>
      </c>
      <c r="C15" s="127">
        <v>1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8">
        <f t="shared" si="3"/>
        <v>1</v>
      </c>
    </row>
    <row r="16" spans="1:15" ht="14.25" customHeight="1" x14ac:dyDescent="0.25">
      <c r="A16" s="131"/>
      <c r="B16" s="132" t="s">
        <v>466</v>
      </c>
      <c r="C16" s="127">
        <v>1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8">
        <f t="shared" si="3"/>
        <v>1</v>
      </c>
    </row>
    <row r="17" spans="1:15" ht="13.9" customHeight="1" x14ac:dyDescent="0.25">
      <c r="A17" s="125" t="s">
        <v>35</v>
      </c>
      <c r="B17" s="126" t="s">
        <v>91</v>
      </c>
      <c r="C17" s="127">
        <v>2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8">
        <f t="shared" si="3"/>
        <v>2</v>
      </c>
    </row>
    <row r="18" spans="1:15" ht="15" x14ac:dyDescent="0.25">
      <c r="A18" s="129"/>
      <c r="B18" s="130" t="s">
        <v>92</v>
      </c>
      <c r="C18" s="127">
        <v>2</v>
      </c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8">
        <f t="shared" si="3"/>
        <v>2</v>
      </c>
    </row>
    <row r="19" spans="1:15" ht="15" x14ac:dyDescent="0.25">
      <c r="A19" s="129"/>
      <c r="B19" s="130" t="s">
        <v>467</v>
      </c>
      <c r="C19" s="127">
        <v>1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8">
        <f t="shared" si="3"/>
        <v>1</v>
      </c>
    </row>
    <row r="20" spans="1:15" ht="15" x14ac:dyDescent="0.25">
      <c r="A20" s="129"/>
      <c r="B20" s="130" t="s">
        <v>468</v>
      </c>
      <c r="C20" s="127">
        <v>1</v>
      </c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8">
        <f t="shared" si="3"/>
        <v>1</v>
      </c>
    </row>
    <row r="21" spans="1:15" ht="15" x14ac:dyDescent="0.25">
      <c r="A21" s="129"/>
      <c r="B21" s="130" t="s">
        <v>469</v>
      </c>
      <c r="C21" s="127">
        <v>1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8">
        <f t="shared" si="3"/>
        <v>1</v>
      </c>
    </row>
    <row r="22" spans="1:15" ht="15" x14ac:dyDescent="0.25">
      <c r="A22" s="129"/>
      <c r="B22" s="130" t="s">
        <v>470</v>
      </c>
      <c r="C22" s="127">
        <v>1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8">
        <f t="shared" si="3"/>
        <v>1</v>
      </c>
    </row>
    <row r="23" spans="1:15" ht="14.25" customHeight="1" x14ac:dyDescent="0.25">
      <c r="A23" s="129"/>
      <c r="B23" s="130" t="s">
        <v>471</v>
      </c>
      <c r="C23" s="127">
        <v>2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8">
        <f t="shared" si="3"/>
        <v>2</v>
      </c>
    </row>
    <row r="24" spans="1:15" ht="13.9" customHeight="1" x14ac:dyDescent="0.25">
      <c r="A24" s="129"/>
      <c r="B24" s="130" t="s">
        <v>472</v>
      </c>
      <c r="C24" s="127">
        <v>3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8">
        <f t="shared" si="3"/>
        <v>3</v>
      </c>
    </row>
    <row r="25" spans="1:15" ht="15" x14ac:dyDescent="0.25">
      <c r="A25" s="129"/>
      <c r="B25" s="130" t="s">
        <v>473</v>
      </c>
      <c r="C25" s="127">
        <v>5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8">
        <f t="shared" si="3"/>
        <v>5</v>
      </c>
    </row>
    <row r="26" spans="1:15" ht="14.25" customHeight="1" x14ac:dyDescent="0.25">
      <c r="A26" s="131"/>
      <c r="B26" s="132" t="s">
        <v>474</v>
      </c>
      <c r="C26" s="127">
        <v>4</v>
      </c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8">
        <f t="shared" si="3"/>
        <v>4</v>
      </c>
    </row>
    <row r="27" spans="1:15" ht="13.9" customHeight="1" x14ac:dyDescent="0.25">
      <c r="A27" s="125" t="s">
        <v>23</v>
      </c>
      <c r="B27" s="126" t="s">
        <v>305</v>
      </c>
      <c r="C27" s="127">
        <v>4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8">
        <f t="shared" si="3"/>
        <v>4</v>
      </c>
    </row>
    <row r="28" spans="1:15" ht="15" x14ac:dyDescent="0.25">
      <c r="A28" s="129"/>
      <c r="B28" s="130" t="s">
        <v>100</v>
      </c>
      <c r="C28" s="127">
        <v>4</v>
      </c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8">
        <f t="shared" si="3"/>
        <v>4</v>
      </c>
    </row>
    <row r="29" spans="1:15" ht="15" x14ac:dyDescent="0.25">
      <c r="A29" s="129"/>
      <c r="B29" s="130" t="s">
        <v>306</v>
      </c>
      <c r="C29" s="127">
        <v>9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8">
        <f t="shared" si="3"/>
        <v>9</v>
      </c>
    </row>
    <row r="30" spans="1:15" ht="15" x14ac:dyDescent="0.25">
      <c r="A30" s="129"/>
      <c r="B30" s="130" t="s">
        <v>354</v>
      </c>
      <c r="C30" s="127">
        <v>1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8">
        <f t="shared" si="3"/>
        <v>1</v>
      </c>
    </row>
    <row r="31" spans="1:15" ht="15" x14ac:dyDescent="0.25">
      <c r="A31" s="129"/>
      <c r="B31" s="130" t="s">
        <v>93</v>
      </c>
      <c r="C31" s="127">
        <v>3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8">
        <f t="shared" si="3"/>
        <v>3</v>
      </c>
    </row>
    <row r="32" spans="1:15" ht="15" x14ac:dyDescent="0.25">
      <c r="A32" s="129"/>
      <c r="B32" s="130" t="s">
        <v>94</v>
      </c>
      <c r="C32" s="127">
        <v>12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8">
        <f t="shared" si="3"/>
        <v>12</v>
      </c>
    </row>
    <row r="33" spans="1:15" ht="14.25" customHeight="1" x14ac:dyDescent="0.25">
      <c r="A33" s="129"/>
      <c r="B33" s="130" t="s">
        <v>355</v>
      </c>
      <c r="C33" s="127">
        <v>3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8">
        <f t="shared" si="3"/>
        <v>3</v>
      </c>
    </row>
    <row r="34" spans="1:15" ht="13.9" customHeight="1" x14ac:dyDescent="0.25">
      <c r="A34" s="129"/>
      <c r="B34" s="130" t="s">
        <v>95</v>
      </c>
      <c r="C34" s="127">
        <v>6</v>
      </c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8">
        <f t="shared" si="3"/>
        <v>6</v>
      </c>
    </row>
    <row r="35" spans="1:15" ht="15" x14ac:dyDescent="0.25">
      <c r="A35" s="129"/>
      <c r="B35" s="130" t="s">
        <v>99</v>
      </c>
      <c r="C35" s="127">
        <v>3</v>
      </c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8">
        <f t="shared" si="2"/>
        <v>3</v>
      </c>
    </row>
    <row r="36" spans="1:15" ht="15" x14ac:dyDescent="0.25">
      <c r="A36" s="129"/>
      <c r="B36" s="130" t="s">
        <v>475</v>
      </c>
      <c r="C36" s="127">
        <v>1</v>
      </c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8">
        <f t="shared" si="2"/>
        <v>1</v>
      </c>
    </row>
    <row r="37" spans="1:15" ht="14.25" customHeight="1" x14ac:dyDescent="0.25">
      <c r="A37" s="129"/>
      <c r="B37" s="130" t="s">
        <v>356</v>
      </c>
      <c r="C37" s="127">
        <v>3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8">
        <f t="shared" si="2"/>
        <v>3</v>
      </c>
    </row>
    <row r="38" spans="1:15" ht="13.9" customHeight="1" x14ac:dyDescent="0.25">
      <c r="A38" s="129"/>
      <c r="B38" s="130" t="s">
        <v>307</v>
      </c>
      <c r="C38" s="127">
        <v>3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8">
        <f t="shared" si="2"/>
        <v>3</v>
      </c>
    </row>
    <row r="39" spans="1:15" ht="15" x14ac:dyDescent="0.25">
      <c r="A39" s="129"/>
      <c r="B39" s="130" t="s">
        <v>96</v>
      </c>
      <c r="C39" s="127">
        <v>7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8">
        <f t="shared" si="2"/>
        <v>7</v>
      </c>
    </row>
    <row r="40" spans="1:15" ht="15" x14ac:dyDescent="0.25">
      <c r="A40" s="129"/>
      <c r="B40" s="130" t="s">
        <v>476</v>
      </c>
      <c r="C40" s="127">
        <v>3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8">
        <f t="shared" si="2"/>
        <v>3</v>
      </c>
    </row>
    <row r="41" spans="1:15" ht="15" x14ac:dyDescent="0.25">
      <c r="A41" s="129"/>
      <c r="B41" s="130" t="s">
        <v>477</v>
      </c>
      <c r="C41" s="127">
        <v>1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8">
        <f t="shared" si="2"/>
        <v>1</v>
      </c>
    </row>
    <row r="42" spans="1:15" ht="15" x14ac:dyDescent="0.25">
      <c r="A42" s="129"/>
      <c r="B42" s="130" t="s">
        <v>97</v>
      </c>
      <c r="C42" s="127">
        <v>4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8">
        <f t="shared" si="2"/>
        <v>4</v>
      </c>
    </row>
    <row r="43" spans="1:15" ht="15" x14ac:dyDescent="0.25">
      <c r="A43" s="129"/>
      <c r="B43" s="130" t="s">
        <v>308</v>
      </c>
      <c r="C43" s="127">
        <v>2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8">
        <f t="shared" si="2"/>
        <v>2</v>
      </c>
    </row>
    <row r="44" spans="1:15" ht="14.25" customHeight="1" x14ac:dyDescent="0.25">
      <c r="A44" s="129"/>
      <c r="B44" s="130" t="s">
        <v>309</v>
      </c>
      <c r="C44" s="127">
        <v>2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8">
        <f t="shared" si="2"/>
        <v>2</v>
      </c>
    </row>
    <row r="45" spans="1:15" ht="13.9" customHeight="1" x14ac:dyDescent="0.25">
      <c r="A45" s="129"/>
      <c r="B45" s="130" t="s">
        <v>478</v>
      </c>
      <c r="C45" s="127">
        <v>4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8">
        <f t="shared" si="2"/>
        <v>4</v>
      </c>
    </row>
    <row r="46" spans="1:15" ht="15" x14ac:dyDescent="0.25">
      <c r="A46" s="129"/>
      <c r="B46" s="130" t="s">
        <v>479</v>
      </c>
      <c r="C46" s="127">
        <v>2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8">
        <f t="shared" si="2"/>
        <v>2</v>
      </c>
    </row>
    <row r="47" spans="1:15" ht="14.25" customHeight="1" x14ac:dyDescent="0.25">
      <c r="A47" s="129"/>
      <c r="B47" s="130" t="s">
        <v>480</v>
      </c>
      <c r="C47" s="127">
        <v>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8">
        <f t="shared" si="2"/>
        <v>3</v>
      </c>
    </row>
    <row r="48" spans="1:15" ht="13.9" customHeight="1" x14ac:dyDescent="0.25">
      <c r="A48" s="129"/>
      <c r="B48" s="130" t="s">
        <v>481</v>
      </c>
      <c r="C48" s="127">
        <v>1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8">
        <f t="shared" si="2"/>
        <v>1</v>
      </c>
    </row>
    <row r="49" spans="1:15" ht="15" x14ac:dyDescent="0.25">
      <c r="A49" s="129"/>
      <c r="B49" s="130" t="s">
        <v>482</v>
      </c>
      <c r="C49" s="127">
        <v>2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8">
        <f t="shared" si="2"/>
        <v>2</v>
      </c>
    </row>
    <row r="50" spans="1:15" ht="15" x14ac:dyDescent="0.25">
      <c r="A50" s="131"/>
      <c r="B50" s="132" t="s">
        <v>483</v>
      </c>
      <c r="C50" s="127">
        <v>1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8">
        <f t="shared" si="2"/>
        <v>1</v>
      </c>
    </row>
    <row r="51" spans="1:15" ht="15" x14ac:dyDescent="0.25">
      <c r="A51" s="125" t="s">
        <v>65</v>
      </c>
      <c r="B51" s="126" t="s">
        <v>101</v>
      </c>
      <c r="C51" s="127">
        <v>69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8">
        <f t="shared" si="2"/>
        <v>69</v>
      </c>
    </row>
    <row r="52" spans="1:15" ht="15" x14ac:dyDescent="0.25">
      <c r="A52" s="129"/>
      <c r="B52" s="130" t="s">
        <v>104</v>
      </c>
      <c r="C52" s="127">
        <v>3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8">
        <f t="shared" si="2"/>
        <v>3</v>
      </c>
    </row>
    <row r="53" spans="1:15" ht="15" x14ac:dyDescent="0.25">
      <c r="A53" s="129"/>
      <c r="B53" s="130" t="s">
        <v>102</v>
      </c>
      <c r="C53" s="127">
        <v>5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8">
        <f t="shared" si="2"/>
        <v>5</v>
      </c>
    </row>
    <row r="54" spans="1:15" ht="14.25" customHeight="1" x14ac:dyDescent="0.25">
      <c r="A54" s="129"/>
      <c r="B54" s="130" t="s">
        <v>103</v>
      </c>
      <c r="C54" s="127">
        <v>2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8">
        <f t="shared" si="2"/>
        <v>2</v>
      </c>
    </row>
    <row r="55" spans="1:15" ht="13.9" customHeight="1" x14ac:dyDescent="0.25">
      <c r="A55" s="131"/>
      <c r="B55" s="132" t="s">
        <v>427</v>
      </c>
      <c r="C55" s="127">
        <v>3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8">
        <f t="shared" si="2"/>
        <v>3</v>
      </c>
    </row>
    <row r="56" spans="1:15" ht="15" x14ac:dyDescent="0.25">
      <c r="A56" s="125" t="s">
        <v>22</v>
      </c>
      <c r="B56" s="126" t="s">
        <v>106</v>
      </c>
      <c r="C56" s="127">
        <v>50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8">
        <f t="shared" si="2"/>
        <v>50</v>
      </c>
    </row>
    <row r="57" spans="1:15" ht="14.25" customHeight="1" x14ac:dyDescent="0.25">
      <c r="A57" s="129"/>
      <c r="B57" s="130" t="s">
        <v>484</v>
      </c>
      <c r="C57" s="127">
        <v>10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8">
        <f t="shared" si="2"/>
        <v>10</v>
      </c>
    </row>
    <row r="58" spans="1:15" ht="15" x14ac:dyDescent="0.25">
      <c r="A58" s="129"/>
      <c r="B58" s="130" t="s">
        <v>109</v>
      </c>
      <c r="C58" s="127">
        <v>11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8">
        <f t="shared" si="2"/>
        <v>11</v>
      </c>
    </row>
    <row r="59" spans="1:15" ht="15" x14ac:dyDescent="0.25">
      <c r="A59" s="129"/>
      <c r="B59" s="130" t="s">
        <v>105</v>
      </c>
      <c r="C59" s="127">
        <v>7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8">
        <f t="shared" si="2"/>
        <v>7</v>
      </c>
    </row>
    <row r="60" spans="1:15" ht="15" x14ac:dyDescent="0.25">
      <c r="A60" s="129"/>
      <c r="B60" s="130" t="s">
        <v>107</v>
      </c>
      <c r="C60" s="127">
        <v>20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8">
        <f t="shared" si="2"/>
        <v>20</v>
      </c>
    </row>
    <row r="61" spans="1:15" ht="14.25" customHeight="1" x14ac:dyDescent="0.25">
      <c r="A61" s="131"/>
      <c r="B61" s="132" t="s">
        <v>108</v>
      </c>
      <c r="C61" s="127">
        <v>8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8">
        <f t="shared" si="2"/>
        <v>8</v>
      </c>
    </row>
    <row r="62" spans="1:15" ht="15" x14ac:dyDescent="0.25">
      <c r="A62" s="125" t="s">
        <v>72</v>
      </c>
      <c r="B62" s="126" t="s">
        <v>485</v>
      </c>
      <c r="C62" s="127">
        <v>1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8">
        <f t="shared" si="0"/>
        <v>1</v>
      </c>
    </row>
    <row r="63" spans="1:15" ht="15" x14ac:dyDescent="0.25">
      <c r="A63" s="129"/>
      <c r="B63" s="130" t="s">
        <v>486</v>
      </c>
      <c r="C63" s="127">
        <v>1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8">
        <f t="shared" ref="O63:O147" si="4">SUM(C63:N63)</f>
        <v>1</v>
      </c>
    </row>
    <row r="64" spans="1:15" ht="15" x14ac:dyDescent="0.25">
      <c r="A64" s="129"/>
      <c r="B64" s="130" t="s">
        <v>487</v>
      </c>
      <c r="C64" s="127">
        <v>1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8">
        <f t="shared" si="4"/>
        <v>1</v>
      </c>
    </row>
    <row r="65" spans="1:15" ht="14.25" customHeight="1" x14ac:dyDescent="0.25">
      <c r="A65" s="129"/>
      <c r="B65" s="130" t="s">
        <v>488</v>
      </c>
      <c r="C65" s="127">
        <v>1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8">
        <f t="shared" si="4"/>
        <v>1</v>
      </c>
    </row>
    <row r="66" spans="1:15" ht="13.9" customHeight="1" x14ac:dyDescent="0.25">
      <c r="A66" s="131"/>
      <c r="B66" s="132" t="s">
        <v>489</v>
      </c>
      <c r="C66" s="127">
        <v>1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8">
        <f t="shared" si="4"/>
        <v>1</v>
      </c>
    </row>
    <row r="67" spans="1:15" ht="15" x14ac:dyDescent="0.25">
      <c r="A67" s="125" t="s">
        <v>21</v>
      </c>
      <c r="B67" s="126" t="s">
        <v>110</v>
      </c>
      <c r="C67" s="127">
        <v>12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8">
        <f t="shared" si="4"/>
        <v>12</v>
      </c>
    </row>
    <row r="68" spans="1:15" ht="15" x14ac:dyDescent="0.25">
      <c r="A68" s="129"/>
      <c r="B68" s="130" t="s">
        <v>112</v>
      </c>
      <c r="C68" s="127">
        <v>14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8">
        <f t="shared" si="4"/>
        <v>14</v>
      </c>
    </row>
    <row r="69" spans="1:15" ht="15" x14ac:dyDescent="0.25">
      <c r="A69" s="129"/>
      <c r="B69" s="130" t="s">
        <v>113</v>
      </c>
      <c r="C69" s="127">
        <v>20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8">
        <f t="shared" si="4"/>
        <v>20</v>
      </c>
    </row>
    <row r="70" spans="1:15" ht="15" x14ac:dyDescent="0.25">
      <c r="A70" s="129"/>
      <c r="B70" s="130" t="s">
        <v>111</v>
      </c>
      <c r="C70" s="127">
        <v>1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8">
        <f t="shared" si="4"/>
        <v>1</v>
      </c>
    </row>
    <row r="71" spans="1:15" ht="15" x14ac:dyDescent="0.25">
      <c r="A71" s="131"/>
      <c r="B71" s="132" t="s">
        <v>310</v>
      </c>
      <c r="C71" s="127">
        <v>3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8">
        <f t="shared" si="4"/>
        <v>3</v>
      </c>
    </row>
    <row r="72" spans="1:15" ht="14.25" customHeight="1" x14ac:dyDescent="0.25">
      <c r="A72" s="133" t="s">
        <v>26</v>
      </c>
      <c r="B72" s="134" t="s">
        <v>385</v>
      </c>
      <c r="C72" s="127">
        <v>12</v>
      </c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8">
        <f t="shared" si="4"/>
        <v>12</v>
      </c>
    </row>
    <row r="73" spans="1:15" ht="13.9" customHeight="1" x14ac:dyDescent="0.25">
      <c r="A73" s="125" t="s">
        <v>24</v>
      </c>
      <c r="B73" s="126" t="s">
        <v>114</v>
      </c>
      <c r="C73" s="127">
        <v>24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8">
        <f t="shared" si="4"/>
        <v>24</v>
      </c>
    </row>
    <row r="74" spans="1:15" ht="15" x14ac:dyDescent="0.25">
      <c r="A74" s="129"/>
      <c r="B74" s="130" t="s">
        <v>115</v>
      </c>
      <c r="C74" s="127">
        <v>15</v>
      </c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8">
        <f t="shared" si="4"/>
        <v>15</v>
      </c>
    </row>
    <row r="75" spans="1:15" ht="14.25" customHeight="1" x14ac:dyDescent="0.25">
      <c r="A75" s="129"/>
      <c r="B75" s="130" t="s">
        <v>116</v>
      </c>
      <c r="C75" s="127">
        <v>10</v>
      </c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8">
        <f t="shared" si="4"/>
        <v>10</v>
      </c>
    </row>
    <row r="76" spans="1:15" ht="13.9" customHeight="1" x14ac:dyDescent="0.25">
      <c r="A76" s="129"/>
      <c r="B76" s="130" t="s">
        <v>117</v>
      </c>
      <c r="C76" s="127">
        <v>1</v>
      </c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8">
        <f t="shared" si="4"/>
        <v>1</v>
      </c>
    </row>
    <row r="77" spans="1:15" ht="15" x14ac:dyDescent="0.25">
      <c r="A77" s="129"/>
      <c r="B77" s="130" t="s">
        <v>118</v>
      </c>
      <c r="C77" s="127">
        <v>15</v>
      </c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8">
        <f t="shared" si="4"/>
        <v>15</v>
      </c>
    </row>
    <row r="78" spans="1:15" ht="15" x14ac:dyDescent="0.25">
      <c r="A78" s="129"/>
      <c r="B78" s="130" t="s">
        <v>119</v>
      </c>
      <c r="C78" s="127">
        <v>28</v>
      </c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8">
        <f t="shared" si="4"/>
        <v>28</v>
      </c>
    </row>
    <row r="79" spans="1:15" ht="15" x14ac:dyDescent="0.25">
      <c r="A79" s="129"/>
      <c r="B79" s="130" t="s">
        <v>120</v>
      </c>
      <c r="C79" s="127">
        <v>73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8">
        <f t="shared" si="4"/>
        <v>73</v>
      </c>
    </row>
    <row r="80" spans="1:15" ht="15" x14ac:dyDescent="0.25">
      <c r="A80" s="129"/>
      <c r="B80" s="130" t="s">
        <v>357</v>
      </c>
      <c r="C80" s="127">
        <v>3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8">
        <f t="shared" si="4"/>
        <v>3</v>
      </c>
    </row>
    <row r="81" spans="1:15" ht="15" x14ac:dyDescent="0.25">
      <c r="A81" s="129"/>
      <c r="B81" s="130" t="s">
        <v>121</v>
      </c>
      <c r="C81" s="127">
        <v>18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8">
        <f t="shared" si="4"/>
        <v>18</v>
      </c>
    </row>
    <row r="82" spans="1:15" ht="14.25" customHeight="1" x14ac:dyDescent="0.25">
      <c r="A82" s="131"/>
      <c r="B82" s="132" t="s">
        <v>122</v>
      </c>
      <c r="C82" s="127">
        <v>23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8">
        <f t="shared" si="4"/>
        <v>23</v>
      </c>
    </row>
    <row r="83" spans="1:15" ht="13.9" customHeight="1" x14ac:dyDescent="0.25">
      <c r="A83" s="125" t="s">
        <v>449</v>
      </c>
      <c r="B83" s="126" t="s">
        <v>490</v>
      </c>
      <c r="C83" s="127">
        <v>2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8">
        <f t="shared" si="4"/>
        <v>2</v>
      </c>
    </row>
    <row r="84" spans="1:15" ht="15" x14ac:dyDescent="0.25">
      <c r="A84" s="131"/>
      <c r="B84" s="132" t="s">
        <v>491</v>
      </c>
      <c r="C84" s="127">
        <v>2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8">
        <f t="shared" si="4"/>
        <v>2</v>
      </c>
    </row>
    <row r="85" spans="1:15" ht="14.25" customHeight="1" x14ac:dyDescent="0.25">
      <c r="A85" s="125" t="s">
        <v>29</v>
      </c>
      <c r="B85" s="126" t="s">
        <v>123</v>
      </c>
      <c r="C85" s="127">
        <v>26</v>
      </c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8">
        <f t="shared" si="4"/>
        <v>26</v>
      </c>
    </row>
    <row r="86" spans="1:15" ht="15" x14ac:dyDescent="0.25">
      <c r="A86" s="129"/>
      <c r="B86" s="130" t="s">
        <v>492</v>
      </c>
      <c r="C86" s="127">
        <v>6</v>
      </c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8">
        <f t="shared" si="4"/>
        <v>6</v>
      </c>
    </row>
    <row r="87" spans="1:15" ht="15" x14ac:dyDescent="0.25">
      <c r="A87" s="129"/>
      <c r="B87" s="130" t="s">
        <v>124</v>
      </c>
      <c r="C87" s="127">
        <v>8</v>
      </c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8">
        <f t="shared" si="4"/>
        <v>8</v>
      </c>
    </row>
    <row r="88" spans="1:15" ht="15" x14ac:dyDescent="0.25">
      <c r="A88" s="129"/>
      <c r="B88" s="130" t="s">
        <v>125</v>
      </c>
      <c r="C88" s="127">
        <v>11</v>
      </c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8">
        <f t="shared" si="4"/>
        <v>11</v>
      </c>
    </row>
    <row r="89" spans="1:15" ht="14.25" customHeight="1" x14ac:dyDescent="0.25">
      <c r="A89" s="129"/>
      <c r="B89" s="130" t="s">
        <v>126</v>
      </c>
      <c r="C89" s="127">
        <v>8</v>
      </c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8">
        <f t="shared" si="4"/>
        <v>8</v>
      </c>
    </row>
    <row r="90" spans="1:15" ht="13.9" customHeight="1" x14ac:dyDescent="0.25">
      <c r="A90" s="129"/>
      <c r="B90" s="130" t="s">
        <v>493</v>
      </c>
      <c r="C90" s="127">
        <v>1</v>
      </c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8">
        <f t="shared" si="4"/>
        <v>1</v>
      </c>
    </row>
    <row r="91" spans="1:15" ht="15" x14ac:dyDescent="0.25">
      <c r="A91" s="129"/>
      <c r="B91" s="130" t="s">
        <v>494</v>
      </c>
      <c r="C91" s="127">
        <v>3</v>
      </c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8">
        <f t="shared" si="4"/>
        <v>3</v>
      </c>
    </row>
    <row r="92" spans="1:15" ht="15" x14ac:dyDescent="0.25">
      <c r="A92" s="129"/>
      <c r="B92" s="130" t="s">
        <v>127</v>
      </c>
      <c r="C92" s="127">
        <v>1</v>
      </c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8">
        <f t="shared" si="4"/>
        <v>1</v>
      </c>
    </row>
    <row r="93" spans="1:15" ht="15" x14ac:dyDescent="0.25">
      <c r="A93" s="129"/>
      <c r="B93" s="130" t="s">
        <v>311</v>
      </c>
      <c r="C93" s="127">
        <v>7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8">
        <f t="shared" si="4"/>
        <v>7</v>
      </c>
    </row>
    <row r="94" spans="1:15" ht="15" x14ac:dyDescent="0.25">
      <c r="A94" s="129"/>
      <c r="B94" s="130" t="s">
        <v>495</v>
      </c>
      <c r="C94" s="127">
        <v>2</v>
      </c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8">
        <f t="shared" si="4"/>
        <v>2</v>
      </c>
    </row>
    <row r="95" spans="1:15" ht="15" x14ac:dyDescent="0.25">
      <c r="A95" s="129"/>
      <c r="B95" s="130" t="s">
        <v>496</v>
      </c>
      <c r="C95" s="127">
        <v>1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8">
        <f t="shared" si="4"/>
        <v>1</v>
      </c>
    </row>
    <row r="96" spans="1:15" ht="14.25" customHeight="1" x14ac:dyDescent="0.25">
      <c r="A96" s="129"/>
      <c r="B96" s="130" t="s">
        <v>440</v>
      </c>
      <c r="C96" s="127">
        <v>1</v>
      </c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8">
        <f t="shared" si="4"/>
        <v>1</v>
      </c>
    </row>
    <row r="97" spans="1:15" ht="13.9" customHeight="1" x14ac:dyDescent="0.25">
      <c r="A97" s="131"/>
      <c r="B97" s="132" t="s">
        <v>497</v>
      </c>
      <c r="C97" s="127">
        <v>1</v>
      </c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8">
        <f t="shared" si="4"/>
        <v>1</v>
      </c>
    </row>
    <row r="98" spans="1:15" ht="15" x14ac:dyDescent="0.25">
      <c r="A98" s="133" t="s">
        <v>455</v>
      </c>
      <c r="B98" s="134" t="s">
        <v>498</v>
      </c>
      <c r="C98" s="127">
        <v>1</v>
      </c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8">
        <f t="shared" si="4"/>
        <v>1</v>
      </c>
    </row>
    <row r="99" spans="1:15" ht="15" x14ac:dyDescent="0.25">
      <c r="A99" s="125" t="s">
        <v>39</v>
      </c>
      <c r="B99" s="126" t="s">
        <v>285</v>
      </c>
      <c r="C99" s="127">
        <v>20</v>
      </c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8">
        <f t="shared" si="4"/>
        <v>20</v>
      </c>
    </row>
    <row r="100" spans="1:15" ht="15" x14ac:dyDescent="0.25">
      <c r="A100" s="131"/>
      <c r="B100" s="132" t="s">
        <v>499</v>
      </c>
      <c r="C100" s="127">
        <v>1</v>
      </c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8">
        <f t="shared" si="4"/>
        <v>1</v>
      </c>
    </row>
    <row r="101" spans="1:15" ht="15" x14ac:dyDescent="0.25">
      <c r="A101" s="125" t="s">
        <v>47</v>
      </c>
      <c r="B101" s="126" t="s">
        <v>313</v>
      </c>
      <c r="C101" s="127">
        <v>1</v>
      </c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8">
        <f t="shared" si="4"/>
        <v>1</v>
      </c>
    </row>
    <row r="102" spans="1:15" ht="15" x14ac:dyDescent="0.25">
      <c r="A102" s="129"/>
      <c r="B102" s="130" t="s">
        <v>358</v>
      </c>
      <c r="C102" s="127">
        <v>4</v>
      </c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8">
        <f t="shared" si="4"/>
        <v>4</v>
      </c>
    </row>
    <row r="103" spans="1:15" ht="14.25" customHeight="1" x14ac:dyDescent="0.25">
      <c r="A103" s="129"/>
      <c r="B103" s="130" t="s">
        <v>500</v>
      </c>
      <c r="C103" s="127">
        <v>2</v>
      </c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8">
        <f t="shared" si="4"/>
        <v>2</v>
      </c>
    </row>
    <row r="104" spans="1:15" ht="13.9" customHeight="1" x14ac:dyDescent="0.25">
      <c r="A104" s="129"/>
      <c r="B104" s="130" t="s">
        <v>501</v>
      </c>
      <c r="C104" s="127">
        <v>1</v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8">
        <f t="shared" si="4"/>
        <v>1</v>
      </c>
    </row>
    <row r="105" spans="1:15" ht="15" x14ac:dyDescent="0.25">
      <c r="A105" s="131"/>
      <c r="B105" s="132" t="s">
        <v>502</v>
      </c>
      <c r="C105" s="127">
        <v>1</v>
      </c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8">
        <f t="shared" si="4"/>
        <v>1</v>
      </c>
    </row>
    <row r="106" spans="1:15" ht="14.25" customHeight="1" x14ac:dyDescent="0.25">
      <c r="A106" s="133" t="s">
        <v>71</v>
      </c>
      <c r="B106" s="134" t="s">
        <v>429</v>
      </c>
      <c r="C106" s="127">
        <v>2</v>
      </c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8">
        <f t="shared" si="4"/>
        <v>2</v>
      </c>
    </row>
    <row r="107" spans="1:15" ht="13.9" customHeight="1" x14ac:dyDescent="0.25">
      <c r="A107" s="125" t="s">
        <v>19</v>
      </c>
      <c r="B107" s="126" t="s">
        <v>130</v>
      </c>
      <c r="C107" s="127">
        <v>1</v>
      </c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8">
        <f t="shared" si="4"/>
        <v>1</v>
      </c>
    </row>
    <row r="108" spans="1:15" ht="15" x14ac:dyDescent="0.25">
      <c r="A108" s="129"/>
      <c r="B108" s="130" t="s">
        <v>283</v>
      </c>
      <c r="C108" s="127">
        <v>11</v>
      </c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8">
        <f t="shared" si="4"/>
        <v>11</v>
      </c>
    </row>
    <row r="109" spans="1:15" ht="15" x14ac:dyDescent="0.25">
      <c r="A109" s="129"/>
      <c r="B109" s="130" t="s">
        <v>503</v>
      </c>
      <c r="C109" s="127">
        <v>1</v>
      </c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8">
        <f t="shared" si="4"/>
        <v>1</v>
      </c>
    </row>
    <row r="110" spans="1:15" ht="15" x14ac:dyDescent="0.25">
      <c r="A110" s="129"/>
      <c r="B110" s="130" t="s">
        <v>359</v>
      </c>
      <c r="C110" s="127">
        <v>1</v>
      </c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8">
        <f t="shared" si="4"/>
        <v>1</v>
      </c>
    </row>
    <row r="111" spans="1:15" ht="15" x14ac:dyDescent="0.25">
      <c r="A111" s="129"/>
      <c r="B111" s="130" t="s">
        <v>131</v>
      </c>
      <c r="C111" s="127">
        <v>8</v>
      </c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8">
        <f t="shared" si="4"/>
        <v>8</v>
      </c>
    </row>
    <row r="112" spans="1:15" ht="15" x14ac:dyDescent="0.25">
      <c r="A112" s="129"/>
      <c r="B112" s="130" t="s">
        <v>314</v>
      </c>
      <c r="C112" s="127">
        <v>2</v>
      </c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8">
        <f t="shared" si="4"/>
        <v>2</v>
      </c>
    </row>
    <row r="113" spans="1:15" ht="14.25" customHeight="1" x14ac:dyDescent="0.25">
      <c r="A113" s="129"/>
      <c r="B113" s="130" t="s">
        <v>133</v>
      </c>
      <c r="C113" s="127">
        <v>3</v>
      </c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8">
        <f t="shared" si="4"/>
        <v>3</v>
      </c>
    </row>
    <row r="114" spans="1:15" ht="13.9" customHeight="1" x14ac:dyDescent="0.25">
      <c r="A114" s="129"/>
      <c r="B114" s="130" t="s">
        <v>134</v>
      </c>
      <c r="C114" s="127">
        <v>5</v>
      </c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8">
        <f t="shared" si="4"/>
        <v>5</v>
      </c>
    </row>
    <row r="115" spans="1:15" ht="15" x14ac:dyDescent="0.25">
      <c r="A115" s="129"/>
      <c r="B115" s="130" t="s">
        <v>504</v>
      </c>
      <c r="C115" s="127">
        <v>1</v>
      </c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8">
        <f t="shared" si="4"/>
        <v>1</v>
      </c>
    </row>
    <row r="116" spans="1:15" ht="14.25" customHeight="1" x14ac:dyDescent="0.25">
      <c r="A116" s="129"/>
      <c r="B116" s="130" t="s">
        <v>132</v>
      </c>
      <c r="C116" s="127">
        <v>2</v>
      </c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8">
        <f t="shared" si="4"/>
        <v>2</v>
      </c>
    </row>
    <row r="117" spans="1:15" ht="15" x14ac:dyDescent="0.25">
      <c r="A117" s="129"/>
      <c r="B117" s="130" t="s">
        <v>129</v>
      </c>
      <c r="C117" s="127">
        <v>10</v>
      </c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8">
        <f t="shared" si="4"/>
        <v>10</v>
      </c>
    </row>
    <row r="118" spans="1:15" ht="15" x14ac:dyDescent="0.25">
      <c r="A118" s="129"/>
      <c r="B118" s="130" t="s">
        <v>315</v>
      </c>
      <c r="C118" s="127">
        <v>2</v>
      </c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8">
        <f t="shared" si="4"/>
        <v>2</v>
      </c>
    </row>
    <row r="119" spans="1:15" ht="15" x14ac:dyDescent="0.25">
      <c r="A119" s="129"/>
      <c r="B119" s="130" t="s">
        <v>360</v>
      </c>
      <c r="C119" s="127">
        <v>2</v>
      </c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8">
        <f t="shared" si="4"/>
        <v>2</v>
      </c>
    </row>
    <row r="120" spans="1:15" ht="14.25" customHeight="1" x14ac:dyDescent="0.25">
      <c r="A120" s="129"/>
      <c r="B120" s="130" t="s">
        <v>128</v>
      </c>
      <c r="C120" s="127">
        <v>3</v>
      </c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8">
        <f t="shared" si="4"/>
        <v>3</v>
      </c>
    </row>
    <row r="121" spans="1:15" ht="13.9" customHeight="1" x14ac:dyDescent="0.25">
      <c r="A121" s="129"/>
      <c r="B121" s="130" t="s">
        <v>316</v>
      </c>
      <c r="C121" s="127">
        <v>2</v>
      </c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8">
        <f t="shared" si="4"/>
        <v>2</v>
      </c>
    </row>
    <row r="122" spans="1:15" ht="15" x14ac:dyDescent="0.25">
      <c r="A122" s="129"/>
      <c r="B122" s="130" t="s">
        <v>399</v>
      </c>
      <c r="C122" s="127">
        <v>2</v>
      </c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8">
        <f t="shared" si="4"/>
        <v>2</v>
      </c>
    </row>
    <row r="123" spans="1:15" ht="15" x14ac:dyDescent="0.25">
      <c r="A123" s="131"/>
      <c r="B123" s="132" t="s">
        <v>505</v>
      </c>
      <c r="C123" s="127">
        <v>31</v>
      </c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8">
        <f t="shared" si="4"/>
        <v>31</v>
      </c>
    </row>
    <row r="124" spans="1:15" ht="15" x14ac:dyDescent="0.25">
      <c r="A124" s="125" t="s">
        <v>25</v>
      </c>
      <c r="B124" s="126" t="s">
        <v>506</v>
      </c>
      <c r="C124" s="127">
        <v>1</v>
      </c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8">
        <f t="shared" si="4"/>
        <v>1</v>
      </c>
    </row>
    <row r="125" spans="1:15" ht="15" x14ac:dyDescent="0.25">
      <c r="A125" s="129"/>
      <c r="B125" s="130" t="s">
        <v>507</v>
      </c>
      <c r="C125" s="127">
        <v>2</v>
      </c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8">
        <f t="shared" si="4"/>
        <v>2</v>
      </c>
    </row>
    <row r="126" spans="1:15" ht="15" x14ac:dyDescent="0.25">
      <c r="A126" s="129"/>
      <c r="B126" s="130" t="s">
        <v>361</v>
      </c>
      <c r="C126" s="127">
        <v>14</v>
      </c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8">
        <f t="shared" si="4"/>
        <v>14</v>
      </c>
    </row>
    <row r="127" spans="1:15" ht="15" x14ac:dyDescent="0.25">
      <c r="A127" s="129"/>
      <c r="B127" s="130" t="s">
        <v>508</v>
      </c>
      <c r="C127" s="127">
        <v>6</v>
      </c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8">
        <f t="shared" si="4"/>
        <v>6</v>
      </c>
    </row>
    <row r="128" spans="1:15" ht="15" x14ac:dyDescent="0.25">
      <c r="A128" s="129"/>
      <c r="B128" s="130" t="s">
        <v>362</v>
      </c>
      <c r="C128" s="127">
        <v>2</v>
      </c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8">
        <f t="shared" si="4"/>
        <v>2</v>
      </c>
    </row>
    <row r="129" spans="1:15" ht="14.25" customHeight="1" x14ac:dyDescent="0.25">
      <c r="A129" s="129"/>
      <c r="B129" s="130" t="s">
        <v>509</v>
      </c>
      <c r="C129" s="127">
        <v>2</v>
      </c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8">
        <f t="shared" si="4"/>
        <v>2</v>
      </c>
    </row>
    <row r="130" spans="1:15" ht="13.9" customHeight="1" x14ac:dyDescent="0.25">
      <c r="A130" s="129"/>
      <c r="B130" s="130" t="s">
        <v>510</v>
      </c>
      <c r="C130" s="127">
        <v>1</v>
      </c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8">
        <f t="shared" si="4"/>
        <v>1</v>
      </c>
    </row>
    <row r="131" spans="1:15" ht="15" x14ac:dyDescent="0.25">
      <c r="A131" s="129"/>
      <c r="B131" s="130" t="s">
        <v>135</v>
      </c>
      <c r="C131" s="127">
        <v>3</v>
      </c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8">
        <f t="shared" si="4"/>
        <v>3</v>
      </c>
    </row>
    <row r="132" spans="1:15" ht="15" x14ac:dyDescent="0.25">
      <c r="A132" s="129"/>
      <c r="B132" s="130" t="s">
        <v>363</v>
      </c>
      <c r="C132" s="127">
        <v>1</v>
      </c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8">
        <f t="shared" si="4"/>
        <v>1</v>
      </c>
    </row>
    <row r="133" spans="1:15" ht="15" x14ac:dyDescent="0.25">
      <c r="A133" s="129"/>
      <c r="B133" s="130" t="s">
        <v>511</v>
      </c>
      <c r="C133" s="127">
        <v>3</v>
      </c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8">
        <f t="shared" si="4"/>
        <v>3</v>
      </c>
    </row>
    <row r="134" spans="1:15" ht="15" x14ac:dyDescent="0.25">
      <c r="A134" s="129"/>
      <c r="B134" s="130" t="s">
        <v>512</v>
      </c>
      <c r="C134" s="127">
        <v>2</v>
      </c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8">
        <f t="shared" si="4"/>
        <v>2</v>
      </c>
    </row>
    <row r="135" spans="1:15" ht="15" x14ac:dyDescent="0.25">
      <c r="A135" s="131"/>
      <c r="B135" s="132" t="s">
        <v>513</v>
      </c>
      <c r="C135" s="127">
        <v>1</v>
      </c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8">
        <f t="shared" si="4"/>
        <v>1</v>
      </c>
    </row>
    <row r="136" spans="1:15" ht="15" x14ac:dyDescent="0.25">
      <c r="A136" s="125" t="s">
        <v>31</v>
      </c>
      <c r="B136" s="126" t="s">
        <v>386</v>
      </c>
      <c r="C136" s="127">
        <v>2</v>
      </c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8">
        <f t="shared" si="4"/>
        <v>2</v>
      </c>
    </row>
    <row r="137" spans="1:15" ht="15" x14ac:dyDescent="0.25">
      <c r="A137" s="129"/>
      <c r="B137" s="130" t="s">
        <v>514</v>
      </c>
      <c r="C137" s="127">
        <v>1</v>
      </c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8">
        <f t="shared" si="4"/>
        <v>1</v>
      </c>
    </row>
    <row r="138" spans="1:15" ht="14.25" customHeight="1" x14ac:dyDescent="0.25">
      <c r="A138" s="129"/>
      <c r="B138" s="130" t="s">
        <v>515</v>
      </c>
      <c r="C138" s="127">
        <v>1</v>
      </c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8">
        <f t="shared" si="4"/>
        <v>1</v>
      </c>
    </row>
    <row r="139" spans="1:15" ht="13.9" customHeight="1" x14ac:dyDescent="0.25">
      <c r="A139" s="129"/>
      <c r="B139" s="130" t="s">
        <v>387</v>
      </c>
      <c r="C139" s="127">
        <v>1</v>
      </c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8">
        <f t="shared" si="4"/>
        <v>1</v>
      </c>
    </row>
    <row r="140" spans="1:15" ht="15" x14ac:dyDescent="0.25">
      <c r="A140" s="129"/>
      <c r="B140" s="130" t="s">
        <v>516</v>
      </c>
      <c r="C140" s="127">
        <v>3</v>
      </c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8">
        <f t="shared" si="4"/>
        <v>3</v>
      </c>
    </row>
    <row r="141" spans="1:15" ht="15" x14ac:dyDescent="0.25">
      <c r="A141" s="129"/>
      <c r="B141" s="130" t="s">
        <v>317</v>
      </c>
      <c r="C141" s="127">
        <v>3</v>
      </c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8">
        <f t="shared" si="4"/>
        <v>3</v>
      </c>
    </row>
    <row r="142" spans="1:15" ht="15" x14ac:dyDescent="0.25">
      <c r="A142" s="129"/>
      <c r="B142" s="130" t="s">
        <v>318</v>
      </c>
      <c r="C142" s="127">
        <v>8</v>
      </c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8">
        <f t="shared" si="4"/>
        <v>8</v>
      </c>
    </row>
    <row r="143" spans="1:15" ht="15" x14ac:dyDescent="0.25">
      <c r="A143" s="129"/>
      <c r="B143" s="130" t="s">
        <v>517</v>
      </c>
      <c r="C143" s="127">
        <v>2</v>
      </c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8">
        <f t="shared" si="4"/>
        <v>2</v>
      </c>
    </row>
    <row r="144" spans="1:15" ht="15" x14ac:dyDescent="0.25">
      <c r="A144" s="129"/>
      <c r="B144" s="130" t="s">
        <v>414</v>
      </c>
      <c r="C144" s="127">
        <v>2</v>
      </c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8">
        <f t="shared" si="4"/>
        <v>2</v>
      </c>
    </row>
    <row r="145" spans="1:15" ht="14.25" customHeight="1" x14ac:dyDescent="0.25">
      <c r="A145" s="129"/>
      <c r="B145" s="130" t="s">
        <v>518</v>
      </c>
      <c r="C145" s="127">
        <v>1</v>
      </c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8">
        <f t="shared" si="4"/>
        <v>1</v>
      </c>
    </row>
    <row r="146" spans="1:15" ht="13.9" customHeight="1" x14ac:dyDescent="0.25">
      <c r="A146" s="129"/>
      <c r="B146" s="130" t="s">
        <v>434</v>
      </c>
      <c r="C146" s="127">
        <v>1</v>
      </c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8">
        <f t="shared" si="4"/>
        <v>1</v>
      </c>
    </row>
    <row r="147" spans="1:15" ht="15" x14ac:dyDescent="0.25">
      <c r="A147" s="129"/>
      <c r="B147" s="130" t="s">
        <v>519</v>
      </c>
      <c r="C147" s="127">
        <v>1</v>
      </c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8">
        <f t="shared" si="4"/>
        <v>1</v>
      </c>
    </row>
    <row r="148" spans="1:15" ht="15" x14ac:dyDescent="0.25">
      <c r="A148" s="129"/>
      <c r="B148" s="130" t="s">
        <v>520</v>
      </c>
      <c r="C148" s="127">
        <v>3</v>
      </c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8">
        <f t="shared" si="0"/>
        <v>3</v>
      </c>
    </row>
    <row r="149" spans="1:15" ht="15" x14ac:dyDescent="0.25">
      <c r="A149" s="131"/>
      <c r="B149" s="132" t="s">
        <v>521</v>
      </c>
      <c r="C149" s="127">
        <v>1</v>
      </c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8">
        <f t="shared" ref="O149:O179" si="5">SUM(C149:N149)</f>
        <v>1</v>
      </c>
    </row>
    <row r="150" spans="1:15" ht="14.25" customHeight="1" x14ac:dyDescent="0.25">
      <c r="A150" s="125" t="s">
        <v>34</v>
      </c>
      <c r="B150" s="126" t="s">
        <v>282</v>
      </c>
      <c r="C150" s="127">
        <v>3</v>
      </c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8">
        <f t="shared" si="5"/>
        <v>3</v>
      </c>
    </row>
    <row r="151" spans="1:15" ht="13.9" customHeight="1" x14ac:dyDescent="0.25">
      <c r="A151" s="129"/>
      <c r="B151" s="130" t="s">
        <v>522</v>
      </c>
      <c r="C151" s="127">
        <v>3</v>
      </c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8">
        <f t="shared" si="5"/>
        <v>3</v>
      </c>
    </row>
    <row r="152" spans="1:15" ht="15" x14ac:dyDescent="0.25">
      <c r="A152" s="129"/>
      <c r="B152" s="130" t="s">
        <v>523</v>
      </c>
      <c r="C152" s="127">
        <v>1</v>
      </c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8">
        <f t="shared" si="5"/>
        <v>1</v>
      </c>
    </row>
    <row r="153" spans="1:15" ht="15" x14ac:dyDescent="0.25">
      <c r="A153" s="129"/>
      <c r="B153" s="130" t="s">
        <v>524</v>
      </c>
      <c r="C153" s="127">
        <v>3</v>
      </c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8">
        <f t="shared" si="5"/>
        <v>3</v>
      </c>
    </row>
    <row r="154" spans="1:15" ht="15" x14ac:dyDescent="0.25">
      <c r="A154" s="129"/>
      <c r="B154" s="130" t="s">
        <v>428</v>
      </c>
      <c r="C154" s="127">
        <v>6</v>
      </c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8">
        <f t="shared" si="5"/>
        <v>6</v>
      </c>
    </row>
    <row r="155" spans="1:15" ht="15" x14ac:dyDescent="0.25">
      <c r="A155" s="129"/>
      <c r="B155" s="130" t="s">
        <v>319</v>
      </c>
      <c r="C155" s="127">
        <v>13</v>
      </c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8">
        <f t="shared" si="5"/>
        <v>13</v>
      </c>
    </row>
    <row r="156" spans="1:15" ht="15" x14ac:dyDescent="0.25">
      <c r="A156" s="129"/>
      <c r="B156" s="130" t="s">
        <v>364</v>
      </c>
      <c r="C156" s="127">
        <v>6</v>
      </c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8">
        <f t="shared" si="5"/>
        <v>6</v>
      </c>
    </row>
    <row r="157" spans="1:15" ht="14.25" customHeight="1" x14ac:dyDescent="0.25">
      <c r="A157" s="129"/>
      <c r="B157" s="130" t="s">
        <v>525</v>
      </c>
      <c r="C157" s="127">
        <v>4</v>
      </c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8">
        <f t="shared" si="5"/>
        <v>4</v>
      </c>
    </row>
    <row r="158" spans="1:15" ht="13.9" customHeight="1" x14ac:dyDescent="0.25">
      <c r="A158" s="129"/>
      <c r="B158" s="130" t="s">
        <v>320</v>
      </c>
      <c r="C158" s="127">
        <v>1</v>
      </c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8">
        <f t="shared" si="5"/>
        <v>1</v>
      </c>
    </row>
    <row r="159" spans="1:15" ht="15" x14ac:dyDescent="0.25">
      <c r="A159" s="129"/>
      <c r="B159" s="130" t="s">
        <v>526</v>
      </c>
      <c r="C159" s="127">
        <v>2</v>
      </c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8">
        <f t="shared" si="5"/>
        <v>2</v>
      </c>
    </row>
    <row r="160" spans="1:15" ht="14.25" customHeight="1" x14ac:dyDescent="0.25">
      <c r="A160" s="129"/>
      <c r="B160" s="130" t="s">
        <v>400</v>
      </c>
      <c r="C160" s="127">
        <v>3</v>
      </c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8">
        <f t="shared" si="5"/>
        <v>3</v>
      </c>
    </row>
    <row r="161" spans="1:15" ht="13.9" customHeight="1" x14ac:dyDescent="0.25">
      <c r="A161" s="129"/>
      <c r="B161" s="130" t="s">
        <v>527</v>
      </c>
      <c r="C161" s="127">
        <v>1</v>
      </c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8">
        <f t="shared" si="5"/>
        <v>1</v>
      </c>
    </row>
    <row r="162" spans="1:15" ht="15" x14ac:dyDescent="0.25">
      <c r="A162" s="129"/>
      <c r="B162" s="130" t="s">
        <v>528</v>
      </c>
      <c r="C162" s="127">
        <v>3</v>
      </c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8">
        <f t="shared" si="5"/>
        <v>3</v>
      </c>
    </row>
    <row r="163" spans="1:15" ht="15" x14ac:dyDescent="0.25">
      <c r="A163" s="129"/>
      <c r="B163" s="130" t="s">
        <v>529</v>
      </c>
      <c r="C163" s="127">
        <v>1</v>
      </c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8">
        <f t="shared" si="5"/>
        <v>1</v>
      </c>
    </row>
    <row r="164" spans="1:15" ht="15" x14ac:dyDescent="0.25">
      <c r="A164" s="129"/>
      <c r="B164" s="130" t="s">
        <v>416</v>
      </c>
      <c r="C164" s="127">
        <v>33</v>
      </c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8">
        <f t="shared" si="5"/>
        <v>33</v>
      </c>
    </row>
    <row r="165" spans="1:15" ht="15" x14ac:dyDescent="0.25">
      <c r="A165" s="129"/>
      <c r="B165" s="130" t="s">
        <v>430</v>
      </c>
      <c r="C165" s="127">
        <v>12</v>
      </c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8">
        <f t="shared" si="5"/>
        <v>12</v>
      </c>
    </row>
    <row r="166" spans="1:15" ht="15" x14ac:dyDescent="0.25">
      <c r="A166" s="129"/>
      <c r="B166" s="130" t="s">
        <v>530</v>
      </c>
      <c r="C166" s="127">
        <v>1</v>
      </c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8">
        <f t="shared" si="5"/>
        <v>1</v>
      </c>
    </row>
    <row r="167" spans="1:15" ht="14.25" customHeight="1" x14ac:dyDescent="0.25">
      <c r="A167" s="129"/>
      <c r="B167" s="130" t="s">
        <v>531</v>
      </c>
      <c r="C167" s="127">
        <v>1</v>
      </c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8">
        <f t="shared" si="5"/>
        <v>1</v>
      </c>
    </row>
    <row r="168" spans="1:15" ht="13.9" customHeight="1" x14ac:dyDescent="0.25">
      <c r="A168" s="129"/>
      <c r="B168" s="130" t="s">
        <v>532</v>
      </c>
      <c r="C168" s="127">
        <v>1</v>
      </c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8">
        <f t="shared" si="5"/>
        <v>1</v>
      </c>
    </row>
    <row r="169" spans="1:15" ht="15" x14ac:dyDescent="0.25">
      <c r="A169" s="129"/>
      <c r="B169" s="130" t="s">
        <v>533</v>
      </c>
      <c r="C169" s="127">
        <v>1</v>
      </c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8">
        <f t="shared" si="5"/>
        <v>1</v>
      </c>
    </row>
    <row r="170" spans="1:15" ht="14.25" customHeight="1" x14ac:dyDescent="0.25">
      <c r="A170" s="131"/>
      <c r="B170" s="132" t="s">
        <v>534</v>
      </c>
      <c r="C170" s="127">
        <v>2</v>
      </c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8">
        <f t="shared" si="5"/>
        <v>2</v>
      </c>
    </row>
    <row r="171" spans="1:15" ht="15" x14ac:dyDescent="0.25">
      <c r="A171" s="125" t="s">
        <v>302</v>
      </c>
      <c r="B171" s="126" t="s">
        <v>535</v>
      </c>
      <c r="C171" s="127">
        <v>1</v>
      </c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8">
        <f t="shared" si="5"/>
        <v>1</v>
      </c>
    </row>
    <row r="172" spans="1:15" ht="15" x14ac:dyDescent="0.25">
      <c r="A172" s="133" t="s">
        <v>41</v>
      </c>
      <c r="B172" s="134" t="s">
        <v>536</v>
      </c>
      <c r="C172" s="127">
        <v>1</v>
      </c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8">
        <f t="shared" si="5"/>
        <v>1</v>
      </c>
    </row>
    <row r="173" spans="1:15" ht="15" x14ac:dyDescent="0.25">
      <c r="A173" s="125" t="s">
        <v>37</v>
      </c>
      <c r="B173" s="126" t="s">
        <v>537</v>
      </c>
      <c r="C173" s="127">
        <v>2</v>
      </c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8">
        <f t="shared" si="5"/>
        <v>2</v>
      </c>
    </row>
    <row r="174" spans="1:15" ht="14.25" customHeight="1" x14ac:dyDescent="0.25">
      <c r="A174" s="129"/>
      <c r="B174" s="130" t="s">
        <v>538</v>
      </c>
      <c r="C174" s="127">
        <v>3</v>
      </c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8">
        <f t="shared" si="5"/>
        <v>3</v>
      </c>
    </row>
    <row r="175" spans="1:15" ht="13.9" customHeight="1" x14ac:dyDescent="0.25">
      <c r="A175" s="131"/>
      <c r="B175" s="132" t="s">
        <v>539</v>
      </c>
      <c r="C175" s="127">
        <v>2</v>
      </c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8">
        <f t="shared" si="5"/>
        <v>2</v>
      </c>
    </row>
    <row r="176" spans="1:15" ht="15" x14ac:dyDescent="0.25">
      <c r="A176" s="125" t="s">
        <v>27</v>
      </c>
      <c r="B176" s="126" t="s">
        <v>136</v>
      </c>
      <c r="C176" s="127">
        <v>4</v>
      </c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8">
        <f t="shared" si="5"/>
        <v>4</v>
      </c>
    </row>
    <row r="177" spans="1:15" ht="15" x14ac:dyDescent="0.25">
      <c r="A177" s="129"/>
      <c r="B177" s="130" t="s">
        <v>137</v>
      </c>
      <c r="C177" s="127">
        <v>1</v>
      </c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8">
        <f t="shared" si="5"/>
        <v>1</v>
      </c>
    </row>
    <row r="178" spans="1:15" ht="15" x14ac:dyDescent="0.25">
      <c r="A178" s="129"/>
      <c r="B178" s="130" t="s">
        <v>365</v>
      </c>
      <c r="C178" s="127">
        <v>4</v>
      </c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8">
        <f t="shared" si="5"/>
        <v>4</v>
      </c>
    </row>
    <row r="179" spans="1:15" ht="15" x14ac:dyDescent="0.25">
      <c r="A179" s="129"/>
      <c r="B179" s="130" t="s">
        <v>138</v>
      </c>
      <c r="C179" s="127">
        <v>8</v>
      </c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8">
        <f t="shared" si="5"/>
        <v>8</v>
      </c>
    </row>
    <row r="180" spans="1:15" ht="15" x14ac:dyDescent="0.25">
      <c r="A180" s="129"/>
      <c r="B180" s="130" t="s">
        <v>139</v>
      </c>
      <c r="C180" s="127">
        <v>3</v>
      </c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8">
        <f t="shared" si="0"/>
        <v>3</v>
      </c>
    </row>
    <row r="181" spans="1:15" ht="14.25" customHeight="1" x14ac:dyDescent="0.25">
      <c r="A181" s="129"/>
      <c r="B181" s="130" t="s">
        <v>140</v>
      </c>
      <c r="C181" s="127">
        <v>6</v>
      </c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8">
        <f t="shared" si="0"/>
        <v>6</v>
      </c>
    </row>
    <row r="182" spans="1:15" ht="13.9" customHeight="1" x14ac:dyDescent="0.25">
      <c r="A182" s="131"/>
      <c r="B182" s="132" t="s">
        <v>540</v>
      </c>
      <c r="C182" s="127">
        <v>2</v>
      </c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8">
        <f t="shared" si="0"/>
        <v>2</v>
      </c>
    </row>
    <row r="183" spans="1:15" ht="15" x14ac:dyDescent="0.25">
      <c r="A183" s="125" t="s">
        <v>20</v>
      </c>
      <c r="B183" s="126" t="s">
        <v>541</v>
      </c>
      <c r="C183" s="127">
        <v>6</v>
      </c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8">
        <f t="shared" si="0"/>
        <v>6</v>
      </c>
    </row>
    <row r="184" spans="1:15" ht="15" x14ac:dyDescent="0.25">
      <c r="A184" s="129"/>
      <c r="B184" s="130" t="s">
        <v>141</v>
      </c>
      <c r="C184" s="127">
        <v>56</v>
      </c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8">
        <f t="shared" si="0"/>
        <v>56</v>
      </c>
    </row>
    <row r="185" spans="1:15" ht="15" x14ac:dyDescent="0.25">
      <c r="A185" s="129"/>
      <c r="B185" s="130" t="s">
        <v>142</v>
      </c>
      <c r="C185" s="127">
        <v>52</v>
      </c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8">
        <f t="shared" si="0"/>
        <v>52</v>
      </c>
    </row>
    <row r="186" spans="1:15" ht="15" x14ac:dyDescent="0.25">
      <c r="A186" s="129"/>
      <c r="B186" s="130" t="s">
        <v>417</v>
      </c>
      <c r="C186" s="127">
        <v>2</v>
      </c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8">
        <f t="shared" si="0"/>
        <v>2</v>
      </c>
    </row>
    <row r="187" spans="1:15" ht="15" x14ac:dyDescent="0.25">
      <c r="A187" s="129"/>
      <c r="B187" s="130" t="s">
        <v>143</v>
      </c>
      <c r="C187" s="127">
        <v>7</v>
      </c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8">
        <f t="shared" si="0"/>
        <v>7</v>
      </c>
    </row>
    <row r="188" spans="1:15" ht="14.25" customHeight="1" x14ac:dyDescent="0.25">
      <c r="A188" s="129"/>
      <c r="B188" s="130" t="s">
        <v>144</v>
      </c>
      <c r="C188" s="127">
        <v>10</v>
      </c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8">
        <f t="shared" si="0"/>
        <v>10</v>
      </c>
    </row>
    <row r="189" spans="1:15" ht="13.9" customHeight="1" x14ac:dyDescent="0.25">
      <c r="A189" s="129"/>
      <c r="B189" s="130" t="s">
        <v>145</v>
      </c>
      <c r="C189" s="127">
        <v>10</v>
      </c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8">
        <f t="shared" si="0"/>
        <v>10</v>
      </c>
    </row>
    <row r="190" spans="1:15" ht="15" x14ac:dyDescent="0.25">
      <c r="A190" s="129"/>
      <c r="B190" s="130" t="s">
        <v>146</v>
      </c>
      <c r="C190" s="127">
        <v>5</v>
      </c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8">
        <f t="shared" si="0"/>
        <v>5</v>
      </c>
    </row>
    <row r="191" spans="1:15" ht="14.25" customHeight="1" x14ac:dyDescent="0.25">
      <c r="A191" s="131"/>
      <c r="B191" s="132" t="s">
        <v>542</v>
      </c>
      <c r="C191" s="127">
        <v>1</v>
      </c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8">
        <f t="shared" si="0"/>
        <v>1</v>
      </c>
    </row>
    <row r="192" spans="1:15" ht="13.9" customHeight="1" x14ac:dyDescent="0.25">
      <c r="A192" s="125" t="s">
        <v>297</v>
      </c>
      <c r="B192" s="126" t="s">
        <v>358</v>
      </c>
      <c r="C192" s="127">
        <v>7</v>
      </c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8">
        <f t="shared" si="0"/>
        <v>7</v>
      </c>
    </row>
    <row r="193" spans="1:15" ht="15" x14ac:dyDescent="0.25">
      <c r="A193" s="131"/>
      <c r="B193" s="132" t="s">
        <v>543</v>
      </c>
      <c r="C193" s="127">
        <v>1</v>
      </c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8">
        <f t="shared" si="0"/>
        <v>1</v>
      </c>
    </row>
    <row r="194" spans="1:15" ht="15" x14ac:dyDescent="0.25">
      <c r="A194" s="133" t="s">
        <v>451</v>
      </c>
      <c r="B194" s="134" t="s">
        <v>544</v>
      </c>
      <c r="C194" s="127">
        <v>1</v>
      </c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8">
        <f t="shared" si="0"/>
        <v>1</v>
      </c>
    </row>
    <row r="195" spans="1:15" ht="15.75" thickBot="1" x14ac:dyDescent="0.3">
      <c r="A195" s="135"/>
      <c r="B195" s="135" t="s">
        <v>8</v>
      </c>
      <c r="C195" s="136">
        <f t="shared" ref="C195:O195" si="6">SUM(C5:C194)</f>
        <v>1191</v>
      </c>
      <c r="D195" s="136">
        <f t="shared" si="6"/>
        <v>0</v>
      </c>
      <c r="E195" s="136">
        <f t="shared" si="6"/>
        <v>0</v>
      </c>
      <c r="F195" s="136">
        <f t="shared" si="6"/>
        <v>0</v>
      </c>
      <c r="G195" s="136">
        <f t="shared" si="6"/>
        <v>0</v>
      </c>
      <c r="H195" s="136">
        <f t="shared" si="6"/>
        <v>0</v>
      </c>
      <c r="I195" s="136">
        <f t="shared" si="6"/>
        <v>0</v>
      </c>
      <c r="J195" s="136">
        <f t="shared" si="6"/>
        <v>0</v>
      </c>
      <c r="K195" s="136">
        <f t="shared" si="6"/>
        <v>0</v>
      </c>
      <c r="L195" s="136">
        <f t="shared" si="6"/>
        <v>0</v>
      </c>
      <c r="M195" s="136">
        <f t="shared" si="6"/>
        <v>0</v>
      </c>
      <c r="N195" s="136">
        <f t="shared" si="6"/>
        <v>0</v>
      </c>
      <c r="O195" s="136">
        <f t="shared" si="6"/>
        <v>1191</v>
      </c>
    </row>
    <row r="196" spans="1:15" ht="13.5" thickTop="1" x14ac:dyDescent="0.2"/>
  </sheetData>
  <pageMargins left="0.75" right="0.75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E134-59B5-48AF-B313-59864CFB1C77}">
  <sheetPr>
    <tabColor indexed="41"/>
  </sheetPr>
  <dimension ref="A1:O50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5.28515625" style="137" customWidth="1"/>
    <col min="2" max="2" width="33" style="138" customWidth="1"/>
    <col min="3" max="3" width="11.85546875" style="139" customWidth="1"/>
    <col min="4" max="4" width="11.140625" style="139" hidden="1" customWidth="1" outlineLevel="1"/>
    <col min="5" max="5" width="9.85546875" style="139" hidden="1" customWidth="1" outlineLevel="1"/>
    <col min="6" max="7" width="8.42578125" style="139" hidden="1" customWidth="1" outlineLevel="1"/>
    <col min="8" max="8" width="9.140625" style="139" hidden="1" customWidth="1" outlineLevel="1"/>
    <col min="9" max="14" width="8.42578125" style="139" hidden="1" customWidth="1" outlineLevel="1"/>
    <col min="15" max="15" width="13.140625" style="140" bestFit="1" customWidth="1" collapsed="1"/>
    <col min="16" max="16384" width="11.42578125" style="108"/>
  </cols>
  <sheetData>
    <row r="1" spans="1:15" ht="15" x14ac:dyDescent="0.25">
      <c r="A1" s="104"/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7"/>
    </row>
    <row r="2" spans="1:15" ht="18.75" x14ac:dyDescent="0.3">
      <c r="A2" s="109" t="s">
        <v>147</v>
      </c>
      <c r="B2" s="110"/>
      <c r="C2" s="111"/>
      <c r="D2" s="111"/>
      <c r="E2" s="111"/>
      <c r="F2" s="111"/>
      <c r="G2" s="111"/>
      <c r="H2" s="111"/>
      <c r="I2" s="111"/>
      <c r="J2" s="111"/>
      <c r="K2" s="111"/>
      <c r="L2" s="112"/>
      <c r="M2" s="141"/>
      <c r="N2" s="111"/>
      <c r="O2" s="114"/>
    </row>
    <row r="3" spans="1:15" ht="17.25" x14ac:dyDescent="0.3">
      <c r="A3" s="115" t="s">
        <v>148</v>
      </c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8"/>
      <c r="N3" s="119"/>
      <c r="O3" s="120"/>
    </row>
    <row r="4" spans="1:15" ht="15.75" x14ac:dyDescent="0.25">
      <c r="A4" s="121" t="s">
        <v>2</v>
      </c>
      <c r="B4" s="142" t="s">
        <v>76</v>
      </c>
      <c r="C4" s="123" t="s">
        <v>77</v>
      </c>
      <c r="D4" s="123" t="s">
        <v>78</v>
      </c>
      <c r="E4" s="123" t="s">
        <v>79</v>
      </c>
      <c r="F4" s="123" t="s">
        <v>80</v>
      </c>
      <c r="G4" s="123" t="s">
        <v>81</v>
      </c>
      <c r="H4" s="123" t="s">
        <v>82</v>
      </c>
      <c r="I4" s="123" t="s">
        <v>83</v>
      </c>
      <c r="J4" s="123" t="s">
        <v>84</v>
      </c>
      <c r="K4" s="123" t="s">
        <v>85</v>
      </c>
      <c r="L4" s="123" t="s">
        <v>86</v>
      </c>
      <c r="M4" s="123" t="s">
        <v>87</v>
      </c>
      <c r="N4" s="123" t="s">
        <v>88</v>
      </c>
      <c r="O4" s="124" t="s">
        <v>89</v>
      </c>
    </row>
    <row r="5" spans="1:15" ht="15" x14ac:dyDescent="0.25">
      <c r="A5" s="133" t="s">
        <v>30</v>
      </c>
      <c r="B5" s="134" t="s">
        <v>441</v>
      </c>
      <c r="C5" s="127">
        <v>3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8">
        <f t="shared" ref="O5:O32" si="0">SUM(C5:N5)</f>
        <v>3</v>
      </c>
    </row>
    <row r="6" spans="1:15" ht="15" x14ac:dyDescent="0.25">
      <c r="A6" s="125" t="s">
        <v>40</v>
      </c>
      <c r="B6" s="126" t="s">
        <v>321</v>
      </c>
      <c r="C6" s="127">
        <v>4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8">
        <f t="shared" si="0"/>
        <v>4</v>
      </c>
    </row>
    <row r="7" spans="1:15" ht="15" x14ac:dyDescent="0.25">
      <c r="A7" s="129"/>
      <c r="B7" s="130" t="s">
        <v>545</v>
      </c>
      <c r="C7" s="127">
        <v>1</v>
      </c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8">
        <f t="shared" si="0"/>
        <v>1</v>
      </c>
    </row>
    <row r="8" spans="1:15" ht="15" x14ac:dyDescent="0.25">
      <c r="A8" s="129"/>
      <c r="B8" s="130" t="s">
        <v>546</v>
      </c>
      <c r="C8" s="127">
        <v>1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8">
        <f t="shared" ref="O8:O29" si="1">SUM(C8:N8)</f>
        <v>1</v>
      </c>
    </row>
    <row r="9" spans="1:15" ht="15" x14ac:dyDescent="0.25">
      <c r="A9" s="129"/>
      <c r="B9" s="130" t="s">
        <v>547</v>
      </c>
      <c r="C9" s="127">
        <v>1</v>
      </c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8">
        <f t="shared" si="1"/>
        <v>1</v>
      </c>
    </row>
    <row r="10" spans="1:15" ht="15" x14ac:dyDescent="0.25">
      <c r="A10" s="129"/>
      <c r="B10" s="130" t="s">
        <v>548</v>
      </c>
      <c r="C10" s="127">
        <v>11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8">
        <f t="shared" si="1"/>
        <v>11</v>
      </c>
    </row>
    <row r="11" spans="1:15" ht="15" x14ac:dyDescent="0.25">
      <c r="A11" s="131"/>
      <c r="B11" s="132" t="s">
        <v>549</v>
      </c>
      <c r="C11" s="127">
        <v>1</v>
      </c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8">
        <f t="shared" si="1"/>
        <v>1</v>
      </c>
    </row>
    <row r="12" spans="1:15" ht="15" x14ac:dyDescent="0.25">
      <c r="A12" s="125" t="s">
        <v>23</v>
      </c>
      <c r="B12" s="126" t="s">
        <v>550</v>
      </c>
      <c r="C12" s="127">
        <v>4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8">
        <f t="shared" si="1"/>
        <v>4</v>
      </c>
    </row>
    <row r="13" spans="1:15" ht="15" x14ac:dyDescent="0.25">
      <c r="A13" s="129"/>
      <c r="B13" s="130" t="s">
        <v>551</v>
      </c>
      <c r="C13" s="127">
        <v>4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>
        <f t="shared" si="1"/>
        <v>4</v>
      </c>
    </row>
    <row r="14" spans="1:15" ht="15" x14ac:dyDescent="0.25">
      <c r="A14" s="129"/>
      <c r="B14" s="130" t="s">
        <v>149</v>
      </c>
      <c r="C14" s="127">
        <v>25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8">
        <f t="shared" si="1"/>
        <v>25</v>
      </c>
    </row>
    <row r="15" spans="1:15" ht="15" x14ac:dyDescent="0.25">
      <c r="A15" s="131"/>
      <c r="B15" s="132" t="s">
        <v>552</v>
      </c>
      <c r="C15" s="127">
        <v>1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8">
        <f t="shared" si="1"/>
        <v>1</v>
      </c>
    </row>
    <row r="16" spans="1:15" ht="15" x14ac:dyDescent="0.25">
      <c r="A16" s="125" t="s">
        <v>28</v>
      </c>
      <c r="B16" s="126" t="s">
        <v>150</v>
      </c>
      <c r="C16" s="127">
        <v>2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8">
        <f t="shared" si="1"/>
        <v>2</v>
      </c>
    </row>
    <row r="17" spans="1:15" ht="15" x14ac:dyDescent="0.25">
      <c r="A17" s="131"/>
      <c r="B17" s="132" t="s">
        <v>151</v>
      </c>
      <c r="C17" s="127">
        <v>8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8">
        <f t="shared" si="1"/>
        <v>8</v>
      </c>
    </row>
    <row r="18" spans="1:15" ht="15" x14ac:dyDescent="0.25">
      <c r="A18" s="125" t="s">
        <v>26</v>
      </c>
      <c r="B18" s="126" t="s">
        <v>553</v>
      </c>
      <c r="C18" s="127">
        <v>1</v>
      </c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8">
        <f t="shared" si="1"/>
        <v>1</v>
      </c>
    </row>
    <row r="19" spans="1:15" ht="15" x14ac:dyDescent="0.25">
      <c r="A19" s="129"/>
      <c r="B19" s="130" t="s">
        <v>288</v>
      </c>
      <c r="C19" s="127">
        <v>25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8">
        <f t="shared" si="1"/>
        <v>25</v>
      </c>
    </row>
    <row r="20" spans="1:15" ht="15" x14ac:dyDescent="0.25">
      <c r="A20" s="131"/>
      <c r="B20" s="132" t="s">
        <v>385</v>
      </c>
      <c r="C20" s="127">
        <v>2</v>
      </c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8">
        <f t="shared" si="1"/>
        <v>2</v>
      </c>
    </row>
    <row r="21" spans="1:15" ht="15" x14ac:dyDescent="0.25">
      <c r="A21" s="133" t="s">
        <v>42</v>
      </c>
      <c r="B21" s="134" t="s">
        <v>322</v>
      </c>
      <c r="C21" s="127">
        <v>20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8">
        <f t="shared" si="1"/>
        <v>20</v>
      </c>
    </row>
    <row r="22" spans="1:15" ht="15" x14ac:dyDescent="0.25">
      <c r="A22" s="125" t="s">
        <v>19</v>
      </c>
      <c r="B22" s="126" t="s">
        <v>323</v>
      </c>
      <c r="C22" s="127">
        <v>16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8">
        <f t="shared" si="1"/>
        <v>16</v>
      </c>
    </row>
    <row r="23" spans="1:15" ht="15" x14ac:dyDescent="0.25">
      <c r="A23" s="131"/>
      <c r="B23" s="132" t="s">
        <v>554</v>
      </c>
      <c r="C23" s="127">
        <v>2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8">
        <f t="shared" si="1"/>
        <v>2</v>
      </c>
    </row>
    <row r="24" spans="1:15" ht="15" x14ac:dyDescent="0.25">
      <c r="A24" s="125" t="s">
        <v>25</v>
      </c>
      <c r="B24" s="126" t="s">
        <v>324</v>
      </c>
      <c r="C24" s="127">
        <v>3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8">
        <f t="shared" si="1"/>
        <v>3</v>
      </c>
    </row>
    <row r="25" spans="1:15" ht="15" x14ac:dyDescent="0.25">
      <c r="A25" s="129"/>
      <c r="B25" s="130" t="s">
        <v>153</v>
      </c>
      <c r="C25" s="127">
        <v>1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8">
        <f t="shared" si="1"/>
        <v>1</v>
      </c>
    </row>
    <row r="26" spans="1:15" ht="15" x14ac:dyDescent="0.25">
      <c r="A26" s="129"/>
      <c r="B26" s="130" t="s">
        <v>154</v>
      </c>
      <c r="C26" s="127">
        <v>24</v>
      </c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8">
        <f t="shared" si="1"/>
        <v>24</v>
      </c>
    </row>
    <row r="27" spans="1:15" ht="15" x14ac:dyDescent="0.25">
      <c r="A27" s="129"/>
      <c r="B27" s="130" t="s">
        <v>152</v>
      </c>
      <c r="C27" s="127">
        <v>40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8">
        <f t="shared" si="1"/>
        <v>40</v>
      </c>
    </row>
    <row r="28" spans="1:15" ht="15" x14ac:dyDescent="0.25">
      <c r="A28" s="129"/>
      <c r="B28" s="130" t="s">
        <v>388</v>
      </c>
      <c r="C28" s="127">
        <v>13</v>
      </c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8">
        <f t="shared" si="1"/>
        <v>13</v>
      </c>
    </row>
    <row r="29" spans="1:15" ht="15" x14ac:dyDescent="0.25">
      <c r="A29" s="129"/>
      <c r="B29" s="130" t="s">
        <v>555</v>
      </c>
      <c r="C29" s="127">
        <v>13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8">
        <f t="shared" si="1"/>
        <v>13</v>
      </c>
    </row>
    <row r="30" spans="1:15" ht="15" x14ac:dyDescent="0.25">
      <c r="A30" s="129"/>
      <c r="B30" s="130" t="s">
        <v>556</v>
      </c>
      <c r="C30" s="127">
        <v>3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8">
        <f t="shared" si="0"/>
        <v>3</v>
      </c>
    </row>
    <row r="31" spans="1:15" ht="15" x14ac:dyDescent="0.25">
      <c r="A31" s="131"/>
      <c r="B31" s="132" t="s">
        <v>557</v>
      </c>
      <c r="C31" s="127">
        <v>2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8">
        <f t="shared" si="0"/>
        <v>2</v>
      </c>
    </row>
    <row r="32" spans="1:15" ht="15" x14ac:dyDescent="0.25">
      <c r="A32" s="125" t="s">
        <v>31</v>
      </c>
      <c r="B32" s="126" t="s">
        <v>289</v>
      </c>
      <c r="C32" s="127">
        <v>4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8">
        <f t="shared" si="0"/>
        <v>4</v>
      </c>
    </row>
    <row r="33" spans="1:15" ht="15" x14ac:dyDescent="0.25">
      <c r="A33" s="129"/>
      <c r="B33" s="130" t="s">
        <v>558</v>
      </c>
      <c r="C33" s="127">
        <v>6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8">
        <f t="shared" ref="O33:O48" si="2">SUM(C33:N33)</f>
        <v>6</v>
      </c>
    </row>
    <row r="34" spans="1:15" ht="15" x14ac:dyDescent="0.25">
      <c r="A34" s="129"/>
      <c r="B34" s="130" t="s">
        <v>435</v>
      </c>
      <c r="C34" s="127">
        <v>6</v>
      </c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8">
        <f t="shared" si="2"/>
        <v>6</v>
      </c>
    </row>
    <row r="35" spans="1:15" ht="15" x14ac:dyDescent="0.25">
      <c r="A35" s="129"/>
      <c r="B35" s="130" t="s">
        <v>559</v>
      </c>
      <c r="C35" s="127">
        <v>4</v>
      </c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8">
        <f t="shared" si="2"/>
        <v>4</v>
      </c>
    </row>
    <row r="36" spans="1:15" ht="15" x14ac:dyDescent="0.25">
      <c r="A36" s="129"/>
      <c r="B36" s="130" t="s">
        <v>560</v>
      </c>
      <c r="C36" s="127">
        <v>2</v>
      </c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8">
        <f t="shared" si="2"/>
        <v>2</v>
      </c>
    </row>
    <row r="37" spans="1:15" ht="15" x14ac:dyDescent="0.25">
      <c r="A37" s="131"/>
      <c r="B37" s="132" t="s">
        <v>561</v>
      </c>
      <c r="C37" s="127">
        <v>1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8">
        <f t="shared" si="2"/>
        <v>1</v>
      </c>
    </row>
    <row r="38" spans="1:15" ht="15" x14ac:dyDescent="0.25">
      <c r="A38" s="125" t="s">
        <v>34</v>
      </c>
      <c r="B38" s="126" t="s">
        <v>401</v>
      </c>
      <c r="C38" s="127">
        <v>10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8">
        <f t="shared" si="2"/>
        <v>10</v>
      </c>
    </row>
    <row r="39" spans="1:15" ht="15" x14ac:dyDescent="0.25">
      <c r="A39" s="129"/>
      <c r="B39" s="130" t="s">
        <v>431</v>
      </c>
      <c r="C39" s="127">
        <v>5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8">
        <f t="shared" si="2"/>
        <v>5</v>
      </c>
    </row>
    <row r="40" spans="1:15" ht="15" x14ac:dyDescent="0.25">
      <c r="A40" s="129"/>
      <c r="B40" s="130" t="s">
        <v>562</v>
      </c>
      <c r="C40" s="127">
        <v>6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8">
        <f t="shared" si="2"/>
        <v>6</v>
      </c>
    </row>
    <row r="41" spans="1:15" ht="15" x14ac:dyDescent="0.25">
      <c r="A41" s="129"/>
      <c r="B41" s="130" t="s">
        <v>563</v>
      </c>
      <c r="C41" s="127">
        <v>1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8">
        <f t="shared" si="2"/>
        <v>1</v>
      </c>
    </row>
    <row r="42" spans="1:15" ht="15" x14ac:dyDescent="0.25">
      <c r="A42" s="129"/>
      <c r="B42" s="130" t="s">
        <v>564</v>
      </c>
      <c r="C42" s="127">
        <v>1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8">
        <f t="shared" si="2"/>
        <v>1</v>
      </c>
    </row>
    <row r="43" spans="1:15" ht="15" x14ac:dyDescent="0.25">
      <c r="A43" s="131"/>
      <c r="B43" s="132" t="s">
        <v>565</v>
      </c>
      <c r="C43" s="127">
        <v>1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8">
        <f t="shared" si="2"/>
        <v>1</v>
      </c>
    </row>
    <row r="44" spans="1:15" ht="15" x14ac:dyDescent="0.25">
      <c r="A44" s="133" t="s">
        <v>44</v>
      </c>
      <c r="B44" s="134" t="s">
        <v>325</v>
      </c>
      <c r="C44" s="127">
        <v>6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8">
        <f t="shared" si="2"/>
        <v>6</v>
      </c>
    </row>
    <row r="45" spans="1:15" ht="15" x14ac:dyDescent="0.25">
      <c r="A45" s="125" t="s">
        <v>20</v>
      </c>
      <c r="B45" s="126" t="s">
        <v>155</v>
      </c>
      <c r="C45" s="127">
        <v>61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8">
        <f t="shared" si="2"/>
        <v>61</v>
      </c>
    </row>
    <row r="46" spans="1:15" ht="15" x14ac:dyDescent="0.25">
      <c r="A46" s="129"/>
      <c r="B46" s="130" t="s">
        <v>156</v>
      </c>
      <c r="C46" s="127">
        <v>21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8">
        <f t="shared" si="2"/>
        <v>21</v>
      </c>
    </row>
    <row r="47" spans="1:15" ht="15" x14ac:dyDescent="0.25">
      <c r="A47" s="131"/>
      <c r="B47" s="132" t="s">
        <v>566</v>
      </c>
      <c r="C47" s="127">
        <v>1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8">
        <f t="shared" si="2"/>
        <v>1</v>
      </c>
    </row>
    <row r="48" spans="1:15" ht="15" x14ac:dyDescent="0.25">
      <c r="A48" s="133" t="s">
        <v>448</v>
      </c>
      <c r="B48" s="134" t="s">
        <v>562</v>
      </c>
      <c r="C48" s="127">
        <v>5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8">
        <f t="shared" si="2"/>
        <v>5</v>
      </c>
    </row>
    <row r="49" spans="1:15" ht="15.75" thickBot="1" x14ac:dyDescent="0.3">
      <c r="A49" s="135"/>
      <c r="B49" s="135" t="s">
        <v>8</v>
      </c>
      <c r="C49" s="136">
        <f t="shared" ref="C49:O49" si="3">SUM(C5:C48)</f>
        <v>372</v>
      </c>
      <c r="D49" s="136">
        <f t="shared" si="3"/>
        <v>0</v>
      </c>
      <c r="E49" s="136">
        <f t="shared" si="3"/>
        <v>0</v>
      </c>
      <c r="F49" s="136">
        <f t="shared" si="3"/>
        <v>0</v>
      </c>
      <c r="G49" s="136">
        <f t="shared" si="3"/>
        <v>0</v>
      </c>
      <c r="H49" s="136">
        <f t="shared" si="3"/>
        <v>0</v>
      </c>
      <c r="I49" s="136">
        <f t="shared" si="3"/>
        <v>0</v>
      </c>
      <c r="J49" s="136">
        <f t="shared" si="3"/>
        <v>0</v>
      </c>
      <c r="K49" s="136">
        <f t="shared" si="3"/>
        <v>0</v>
      </c>
      <c r="L49" s="136">
        <f t="shared" si="3"/>
        <v>0</v>
      </c>
      <c r="M49" s="136">
        <f t="shared" si="3"/>
        <v>0</v>
      </c>
      <c r="N49" s="136">
        <f t="shared" si="3"/>
        <v>0</v>
      </c>
      <c r="O49" s="136">
        <f t="shared" si="3"/>
        <v>372</v>
      </c>
    </row>
    <row r="50" spans="1:15" ht="13.5" thickTop="1" x14ac:dyDescent="0.2"/>
  </sheetData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EBB9-4D10-4213-95F8-64728BC9CFA0}">
  <sheetPr>
    <tabColor indexed="41"/>
  </sheetPr>
  <dimension ref="A1:O72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31.85546875" style="140" customWidth="1"/>
    <col min="2" max="2" width="19.7109375" style="138" customWidth="1"/>
    <col min="3" max="3" width="12.28515625" style="139" customWidth="1"/>
    <col min="4" max="4" width="9.5703125" style="139" hidden="1" customWidth="1" outlineLevel="1"/>
    <col min="5" max="5" width="8.42578125" style="139" hidden="1" customWidth="1" outlineLevel="1"/>
    <col min="6" max="14" width="8.140625" style="139" hidden="1" customWidth="1" outlineLevel="1"/>
    <col min="15" max="15" width="21.7109375" style="203" customWidth="1" collapsed="1"/>
    <col min="16" max="16384" width="11.42578125" style="108"/>
  </cols>
  <sheetData>
    <row r="1" spans="1:15" ht="15" x14ac:dyDescent="0.25">
      <c r="A1" s="143"/>
      <c r="B1" s="144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98"/>
    </row>
    <row r="2" spans="1:15" ht="18.75" x14ac:dyDescent="0.3">
      <c r="A2" s="114" t="s">
        <v>157</v>
      </c>
      <c r="B2" s="110"/>
      <c r="C2" s="111"/>
      <c r="D2" s="111"/>
      <c r="E2" s="111"/>
      <c r="F2" s="111"/>
      <c r="G2" s="111"/>
      <c r="H2" s="111"/>
      <c r="I2" s="111"/>
      <c r="J2" s="111"/>
      <c r="K2" s="112"/>
      <c r="L2" s="111"/>
      <c r="M2" s="113"/>
      <c r="N2" s="111"/>
      <c r="O2" s="199"/>
    </row>
    <row r="3" spans="1:15" ht="17.25" x14ac:dyDescent="0.3">
      <c r="A3" s="146" t="s">
        <v>158</v>
      </c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8"/>
      <c r="N3" s="117"/>
      <c r="O3" s="200"/>
    </row>
    <row r="4" spans="1:15" s="140" customFormat="1" ht="15.75" x14ac:dyDescent="0.25">
      <c r="A4" s="147" t="s">
        <v>159</v>
      </c>
      <c r="B4" s="147" t="s">
        <v>76</v>
      </c>
      <c r="C4" s="123" t="s">
        <v>77</v>
      </c>
      <c r="D4" s="123" t="s">
        <v>78</v>
      </c>
      <c r="E4" s="123" t="s">
        <v>79</v>
      </c>
      <c r="F4" s="123" t="s">
        <v>80</v>
      </c>
      <c r="G4" s="123" t="s">
        <v>81</v>
      </c>
      <c r="H4" s="123" t="s">
        <v>82</v>
      </c>
      <c r="I4" s="123" t="s">
        <v>83</v>
      </c>
      <c r="J4" s="123" t="s">
        <v>84</v>
      </c>
      <c r="K4" s="123" t="s">
        <v>85</v>
      </c>
      <c r="L4" s="123" t="s">
        <v>86</v>
      </c>
      <c r="M4" s="123" t="s">
        <v>87</v>
      </c>
      <c r="N4" s="123" t="s">
        <v>88</v>
      </c>
      <c r="O4" s="201" t="s">
        <v>89</v>
      </c>
    </row>
    <row r="5" spans="1:15" ht="15" x14ac:dyDescent="0.25">
      <c r="A5" s="133" t="s">
        <v>68</v>
      </c>
      <c r="B5" s="134" t="s">
        <v>298</v>
      </c>
      <c r="C5" s="127">
        <v>6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202">
        <f>SUM(C5:N5)</f>
        <v>6</v>
      </c>
    </row>
    <row r="6" spans="1:15" ht="15" x14ac:dyDescent="0.25">
      <c r="A6" s="125" t="s">
        <v>23</v>
      </c>
      <c r="B6" s="126" t="s">
        <v>280</v>
      </c>
      <c r="C6" s="127">
        <v>2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202">
        <f t="shared" ref="O6:O65" si="0">SUM(C6:N6)</f>
        <v>2</v>
      </c>
    </row>
    <row r="7" spans="1:15" ht="15" x14ac:dyDescent="0.25">
      <c r="A7" s="129"/>
      <c r="B7" s="130" t="s">
        <v>567</v>
      </c>
      <c r="C7" s="127">
        <v>1</v>
      </c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202">
        <f t="shared" si="0"/>
        <v>1</v>
      </c>
    </row>
    <row r="8" spans="1:15" ht="15" x14ac:dyDescent="0.25">
      <c r="A8" s="129"/>
      <c r="B8" s="130" t="s">
        <v>568</v>
      </c>
      <c r="C8" s="127">
        <v>2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202">
        <f t="shared" si="0"/>
        <v>2</v>
      </c>
    </row>
    <row r="9" spans="1:15" ht="15" x14ac:dyDescent="0.25">
      <c r="A9" s="129"/>
      <c r="B9" s="130" t="s">
        <v>389</v>
      </c>
      <c r="C9" s="127">
        <v>15</v>
      </c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202">
        <f t="shared" si="0"/>
        <v>15</v>
      </c>
    </row>
    <row r="10" spans="1:15" ht="17.25" customHeight="1" x14ac:dyDescent="0.25">
      <c r="A10" s="131"/>
      <c r="B10" s="132" t="s">
        <v>326</v>
      </c>
      <c r="C10" s="127">
        <v>2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202">
        <f t="shared" si="0"/>
        <v>2</v>
      </c>
    </row>
    <row r="11" spans="1:15" ht="15" x14ac:dyDescent="0.25">
      <c r="A11" s="125" t="s">
        <v>65</v>
      </c>
      <c r="B11" s="126" t="s">
        <v>405</v>
      </c>
      <c r="C11" s="127">
        <v>2</v>
      </c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202">
        <f t="shared" si="0"/>
        <v>2</v>
      </c>
    </row>
    <row r="12" spans="1:15" ht="15" x14ac:dyDescent="0.25">
      <c r="A12" s="129"/>
      <c r="B12" s="130" t="s">
        <v>160</v>
      </c>
      <c r="C12" s="127">
        <v>22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202">
        <f t="shared" si="0"/>
        <v>22</v>
      </c>
    </row>
    <row r="13" spans="1:15" ht="15" x14ac:dyDescent="0.25">
      <c r="A13" s="131"/>
      <c r="B13" s="132" t="s">
        <v>569</v>
      </c>
      <c r="C13" s="127">
        <v>1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202">
        <f t="shared" si="0"/>
        <v>1</v>
      </c>
    </row>
    <row r="14" spans="1:15" ht="15" x14ac:dyDescent="0.25">
      <c r="A14" s="133" t="s">
        <v>22</v>
      </c>
      <c r="B14" s="134" t="s">
        <v>161</v>
      </c>
      <c r="C14" s="127">
        <v>3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202">
        <f t="shared" si="0"/>
        <v>3</v>
      </c>
    </row>
    <row r="15" spans="1:15" ht="15" x14ac:dyDescent="0.25">
      <c r="A15" s="125" t="s">
        <v>21</v>
      </c>
      <c r="B15" s="126" t="s">
        <v>162</v>
      </c>
      <c r="C15" s="127">
        <v>28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202">
        <f t="shared" si="0"/>
        <v>28</v>
      </c>
    </row>
    <row r="16" spans="1:15" ht="17.25" customHeight="1" x14ac:dyDescent="0.25">
      <c r="A16" s="129"/>
      <c r="B16" s="130" t="s">
        <v>570</v>
      </c>
      <c r="C16" s="127">
        <v>5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202">
        <f t="shared" si="0"/>
        <v>5</v>
      </c>
    </row>
    <row r="17" spans="1:15" ht="15" x14ac:dyDescent="0.25">
      <c r="A17" s="129"/>
      <c r="B17" s="130" t="s">
        <v>436</v>
      </c>
      <c r="C17" s="127">
        <v>1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202">
        <f t="shared" si="0"/>
        <v>1</v>
      </c>
    </row>
    <row r="18" spans="1:15" ht="15" x14ac:dyDescent="0.25">
      <c r="A18" s="129"/>
      <c r="B18" s="130" t="s">
        <v>571</v>
      </c>
      <c r="C18" s="127">
        <v>6</v>
      </c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202">
        <f t="shared" ref="O18:O35" si="1">SUM(C18:N18)</f>
        <v>6</v>
      </c>
    </row>
    <row r="19" spans="1:15" ht="17.25" customHeight="1" x14ac:dyDescent="0.25">
      <c r="A19" s="131"/>
      <c r="B19" s="132" t="s">
        <v>572</v>
      </c>
      <c r="C19" s="127">
        <v>2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202">
        <f t="shared" si="1"/>
        <v>2</v>
      </c>
    </row>
    <row r="20" spans="1:15" ht="15" x14ac:dyDescent="0.25">
      <c r="A20" s="125" t="s">
        <v>45</v>
      </c>
      <c r="B20" s="126" t="s">
        <v>573</v>
      </c>
      <c r="C20" s="127">
        <v>1</v>
      </c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202">
        <f t="shared" si="1"/>
        <v>1</v>
      </c>
    </row>
    <row r="21" spans="1:15" ht="15" x14ac:dyDescent="0.25">
      <c r="A21" s="129"/>
      <c r="B21" s="130" t="s">
        <v>327</v>
      </c>
      <c r="C21" s="127">
        <v>6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202">
        <f t="shared" si="1"/>
        <v>6</v>
      </c>
    </row>
    <row r="22" spans="1:15" ht="15" x14ac:dyDescent="0.25">
      <c r="A22" s="129"/>
      <c r="B22" s="130" t="s">
        <v>328</v>
      </c>
      <c r="C22" s="127">
        <v>1</v>
      </c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202">
        <f t="shared" si="1"/>
        <v>1</v>
      </c>
    </row>
    <row r="23" spans="1:15" ht="15" x14ac:dyDescent="0.25">
      <c r="A23" s="131"/>
      <c r="B23" s="132" t="s">
        <v>574</v>
      </c>
      <c r="C23" s="127">
        <v>7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202">
        <f t="shared" si="1"/>
        <v>7</v>
      </c>
    </row>
    <row r="24" spans="1:15" ht="15" x14ac:dyDescent="0.25">
      <c r="A24" s="125" t="s">
        <v>29</v>
      </c>
      <c r="B24" s="126" t="s">
        <v>163</v>
      </c>
      <c r="C24" s="127">
        <v>18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202">
        <f t="shared" si="1"/>
        <v>18</v>
      </c>
    </row>
    <row r="25" spans="1:15" ht="17.25" customHeight="1" x14ac:dyDescent="0.25">
      <c r="A25" s="133" t="s">
        <v>39</v>
      </c>
      <c r="B25" s="134" t="s">
        <v>312</v>
      </c>
      <c r="C25" s="127">
        <v>1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202">
        <f t="shared" si="1"/>
        <v>1</v>
      </c>
    </row>
    <row r="26" spans="1:15" ht="15" x14ac:dyDescent="0.25">
      <c r="A26" s="125" t="s">
        <v>32</v>
      </c>
      <c r="B26" s="126" t="s">
        <v>166</v>
      </c>
      <c r="C26" s="127">
        <v>1</v>
      </c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202">
        <f t="shared" si="1"/>
        <v>1</v>
      </c>
    </row>
    <row r="27" spans="1:15" ht="15" x14ac:dyDescent="0.25">
      <c r="A27" s="129"/>
      <c r="B27" s="130" t="s">
        <v>164</v>
      </c>
      <c r="C27" s="127">
        <v>1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202">
        <f t="shared" si="1"/>
        <v>1</v>
      </c>
    </row>
    <row r="28" spans="1:15" ht="15" x14ac:dyDescent="0.25">
      <c r="A28" s="131"/>
      <c r="B28" s="132" t="s">
        <v>165</v>
      </c>
      <c r="C28" s="127">
        <v>21</v>
      </c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202">
        <f t="shared" si="1"/>
        <v>21</v>
      </c>
    </row>
    <row r="29" spans="1:15" ht="15" x14ac:dyDescent="0.25">
      <c r="A29" s="125" t="s">
        <v>33</v>
      </c>
      <c r="B29" s="126" t="s">
        <v>575</v>
      </c>
      <c r="C29" s="127">
        <v>6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202">
        <f t="shared" si="1"/>
        <v>6</v>
      </c>
    </row>
    <row r="30" spans="1:15" ht="15" x14ac:dyDescent="0.25">
      <c r="A30" s="129"/>
      <c r="B30" s="130" t="s">
        <v>576</v>
      </c>
      <c r="C30" s="127">
        <v>3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202">
        <f t="shared" si="1"/>
        <v>3</v>
      </c>
    </row>
    <row r="31" spans="1:15" ht="15" x14ac:dyDescent="0.25">
      <c r="A31" s="129"/>
      <c r="B31" s="130" t="s">
        <v>577</v>
      </c>
      <c r="C31" s="127">
        <v>3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202">
        <f t="shared" si="1"/>
        <v>3</v>
      </c>
    </row>
    <row r="32" spans="1:15" ht="15" x14ac:dyDescent="0.25">
      <c r="A32" s="129"/>
      <c r="B32" s="130" t="s">
        <v>578</v>
      </c>
      <c r="C32" s="127">
        <v>2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202">
        <f t="shared" si="1"/>
        <v>2</v>
      </c>
    </row>
    <row r="33" spans="1:15" ht="15" x14ac:dyDescent="0.25">
      <c r="A33" s="131"/>
      <c r="B33" s="132" t="s">
        <v>579</v>
      </c>
      <c r="C33" s="127">
        <v>2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202">
        <f t="shared" si="1"/>
        <v>2</v>
      </c>
    </row>
    <row r="34" spans="1:15" ht="15" x14ac:dyDescent="0.25">
      <c r="A34" s="125" t="s">
        <v>447</v>
      </c>
      <c r="B34" s="126" t="s">
        <v>580</v>
      </c>
      <c r="C34" s="127">
        <v>5</v>
      </c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202">
        <f t="shared" si="1"/>
        <v>5</v>
      </c>
    </row>
    <row r="35" spans="1:15" ht="15" x14ac:dyDescent="0.25">
      <c r="A35" s="131"/>
      <c r="B35" s="132" t="s">
        <v>581</v>
      </c>
      <c r="C35" s="127">
        <v>1</v>
      </c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202">
        <f t="shared" si="1"/>
        <v>1</v>
      </c>
    </row>
    <row r="36" spans="1:15" ht="15" x14ac:dyDescent="0.25">
      <c r="A36" s="125" t="s">
        <v>19</v>
      </c>
      <c r="B36" s="126" t="s">
        <v>169</v>
      </c>
      <c r="C36" s="127">
        <v>9</v>
      </c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202">
        <f t="shared" si="0"/>
        <v>9</v>
      </c>
    </row>
    <row r="37" spans="1:15" ht="17.25" customHeight="1" x14ac:dyDescent="0.25">
      <c r="A37" s="129"/>
      <c r="B37" s="130" t="s">
        <v>366</v>
      </c>
      <c r="C37" s="127">
        <v>6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202">
        <f t="shared" si="0"/>
        <v>6</v>
      </c>
    </row>
    <row r="38" spans="1:15" ht="15" x14ac:dyDescent="0.25">
      <c r="A38" s="129"/>
      <c r="B38" s="130" t="s">
        <v>390</v>
      </c>
      <c r="C38" s="127">
        <v>33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202">
        <f t="shared" si="0"/>
        <v>33</v>
      </c>
    </row>
    <row r="39" spans="1:15" ht="15" x14ac:dyDescent="0.25">
      <c r="A39" s="129"/>
      <c r="B39" s="130" t="s">
        <v>582</v>
      </c>
      <c r="C39" s="127">
        <v>1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202">
        <f t="shared" si="0"/>
        <v>1</v>
      </c>
    </row>
    <row r="40" spans="1:15" ht="15" x14ac:dyDescent="0.25">
      <c r="A40" s="129"/>
      <c r="B40" s="130" t="s">
        <v>583</v>
      </c>
      <c r="C40" s="127">
        <v>2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202">
        <f t="shared" si="0"/>
        <v>2</v>
      </c>
    </row>
    <row r="41" spans="1:15" ht="15" x14ac:dyDescent="0.25">
      <c r="A41" s="129"/>
      <c r="B41" s="130" t="s">
        <v>584</v>
      </c>
      <c r="C41" s="127">
        <v>2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202">
        <f t="shared" si="0"/>
        <v>2</v>
      </c>
    </row>
    <row r="42" spans="1:15" ht="15" x14ac:dyDescent="0.25">
      <c r="A42" s="129"/>
      <c r="B42" s="130" t="s">
        <v>585</v>
      </c>
      <c r="C42" s="127">
        <v>14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202">
        <f t="shared" si="0"/>
        <v>14</v>
      </c>
    </row>
    <row r="43" spans="1:15" ht="17.25" customHeight="1" x14ac:dyDescent="0.25">
      <c r="A43" s="129"/>
      <c r="B43" s="130" t="s">
        <v>586</v>
      </c>
      <c r="C43" s="127">
        <v>16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202">
        <f t="shared" si="0"/>
        <v>16</v>
      </c>
    </row>
    <row r="44" spans="1:15" ht="15" x14ac:dyDescent="0.25">
      <c r="A44" s="131"/>
      <c r="B44" s="132" t="s">
        <v>587</v>
      </c>
      <c r="C44" s="127">
        <v>1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202">
        <f t="shared" si="0"/>
        <v>1</v>
      </c>
    </row>
    <row r="45" spans="1:15" ht="15" x14ac:dyDescent="0.25">
      <c r="A45" s="125" t="s">
        <v>25</v>
      </c>
      <c r="B45" s="126" t="s">
        <v>588</v>
      </c>
      <c r="C45" s="127">
        <v>6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202">
        <f t="shared" si="0"/>
        <v>6</v>
      </c>
    </row>
    <row r="46" spans="1:15" ht="15" x14ac:dyDescent="0.25">
      <c r="A46" s="129"/>
      <c r="B46" s="130" t="s">
        <v>406</v>
      </c>
      <c r="C46" s="127">
        <v>11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202">
        <f t="shared" si="0"/>
        <v>11</v>
      </c>
    </row>
    <row r="47" spans="1:15" ht="15" x14ac:dyDescent="0.25">
      <c r="A47" s="129"/>
      <c r="B47" s="130" t="s">
        <v>589</v>
      </c>
      <c r="C47" s="127">
        <v>2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202">
        <f t="shared" si="0"/>
        <v>2</v>
      </c>
    </row>
    <row r="48" spans="1:15" ht="15" x14ac:dyDescent="0.25">
      <c r="A48" s="131"/>
      <c r="B48" s="132" t="s">
        <v>590</v>
      </c>
      <c r="C48" s="127">
        <v>1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202">
        <f t="shared" si="0"/>
        <v>1</v>
      </c>
    </row>
    <row r="49" spans="1:15" ht="15" x14ac:dyDescent="0.25">
      <c r="A49" s="133" t="s">
        <v>453</v>
      </c>
      <c r="B49" s="134" t="s">
        <v>591</v>
      </c>
      <c r="C49" s="127">
        <v>1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202">
        <f t="shared" si="0"/>
        <v>1</v>
      </c>
    </row>
    <row r="50" spans="1:15" ht="15" x14ac:dyDescent="0.25">
      <c r="A50" s="125" t="s">
        <v>27</v>
      </c>
      <c r="B50" s="126" t="s">
        <v>170</v>
      </c>
      <c r="C50" s="127">
        <v>1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202">
        <f t="shared" si="0"/>
        <v>1</v>
      </c>
    </row>
    <row r="51" spans="1:15" ht="15" x14ac:dyDescent="0.25">
      <c r="A51" s="129"/>
      <c r="B51" s="130" t="s">
        <v>171</v>
      </c>
      <c r="C51" s="127">
        <v>2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202">
        <f t="shared" si="0"/>
        <v>2</v>
      </c>
    </row>
    <row r="52" spans="1:15" ht="15" x14ac:dyDescent="0.25">
      <c r="A52" s="129"/>
      <c r="B52" s="130" t="s">
        <v>592</v>
      </c>
      <c r="C52" s="127">
        <v>12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202">
        <f t="shared" si="0"/>
        <v>12</v>
      </c>
    </row>
    <row r="53" spans="1:15" ht="15" x14ac:dyDescent="0.25">
      <c r="A53" s="131"/>
      <c r="B53" s="132" t="s">
        <v>593</v>
      </c>
      <c r="C53" s="127">
        <v>4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202">
        <f t="shared" si="0"/>
        <v>4</v>
      </c>
    </row>
    <row r="54" spans="1:15" ht="17.25" customHeight="1" x14ac:dyDescent="0.25">
      <c r="A54" s="125" t="s">
        <v>20</v>
      </c>
      <c r="B54" s="126" t="s">
        <v>594</v>
      </c>
      <c r="C54" s="127">
        <v>1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202">
        <f t="shared" si="0"/>
        <v>1</v>
      </c>
    </row>
    <row r="55" spans="1:15" ht="15" x14ac:dyDescent="0.25">
      <c r="A55" s="129"/>
      <c r="B55" s="130" t="s">
        <v>595</v>
      </c>
      <c r="C55" s="127">
        <v>6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202">
        <f t="shared" si="0"/>
        <v>6</v>
      </c>
    </row>
    <row r="56" spans="1:15" ht="15" x14ac:dyDescent="0.25">
      <c r="A56" s="131"/>
      <c r="B56" s="132" t="s">
        <v>329</v>
      </c>
      <c r="C56" s="127">
        <v>5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202">
        <f t="shared" si="0"/>
        <v>5</v>
      </c>
    </row>
    <row r="57" spans="1:15" ht="15" x14ac:dyDescent="0.25">
      <c r="A57" s="133" t="s">
        <v>454</v>
      </c>
      <c r="B57" s="134" t="s">
        <v>596</v>
      </c>
      <c r="C57" s="127">
        <v>1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202">
        <f t="shared" si="0"/>
        <v>1</v>
      </c>
    </row>
    <row r="58" spans="1:15" ht="15" x14ac:dyDescent="0.25">
      <c r="A58" s="125" t="s">
        <v>36</v>
      </c>
      <c r="B58" s="126" t="s">
        <v>597</v>
      </c>
      <c r="C58" s="127">
        <v>3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202">
        <f t="shared" si="0"/>
        <v>3</v>
      </c>
    </row>
    <row r="59" spans="1:15" ht="15" x14ac:dyDescent="0.25">
      <c r="A59" s="129"/>
      <c r="B59" s="130" t="s">
        <v>598</v>
      </c>
      <c r="C59" s="127">
        <v>2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202">
        <f t="shared" si="0"/>
        <v>2</v>
      </c>
    </row>
    <row r="60" spans="1:15" ht="15" x14ac:dyDescent="0.25">
      <c r="A60" s="129"/>
      <c r="B60" s="130" t="s">
        <v>599</v>
      </c>
      <c r="C60" s="127">
        <v>2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202">
        <f t="shared" si="0"/>
        <v>2</v>
      </c>
    </row>
    <row r="61" spans="1:15" ht="15" x14ac:dyDescent="0.25">
      <c r="A61" s="129"/>
      <c r="B61" s="130" t="s">
        <v>600</v>
      </c>
      <c r="C61" s="127">
        <v>1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202">
        <f t="shared" si="0"/>
        <v>1</v>
      </c>
    </row>
    <row r="62" spans="1:15" ht="15" x14ac:dyDescent="0.25">
      <c r="A62" s="129"/>
      <c r="B62" s="130" t="s">
        <v>601</v>
      </c>
      <c r="C62" s="127">
        <v>1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202">
        <f t="shared" si="0"/>
        <v>1</v>
      </c>
    </row>
    <row r="63" spans="1:15" ht="15" x14ac:dyDescent="0.25">
      <c r="A63" s="129"/>
      <c r="B63" s="130" t="s">
        <v>602</v>
      </c>
      <c r="C63" s="127">
        <v>3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202">
        <f t="shared" si="0"/>
        <v>3</v>
      </c>
    </row>
    <row r="64" spans="1:15" ht="17.25" customHeight="1" x14ac:dyDescent="0.25">
      <c r="A64" s="129"/>
      <c r="B64" s="130" t="s">
        <v>603</v>
      </c>
      <c r="C64" s="127">
        <v>1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202">
        <f t="shared" si="0"/>
        <v>1</v>
      </c>
    </row>
    <row r="65" spans="1:15" ht="15" x14ac:dyDescent="0.25">
      <c r="A65" s="129"/>
      <c r="B65" s="130" t="s">
        <v>604</v>
      </c>
      <c r="C65" s="127">
        <v>2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202">
        <f t="shared" si="0"/>
        <v>2</v>
      </c>
    </row>
    <row r="66" spans="1:15" ht="17.25" customHeight="1" x14ac:dyDescent="0.25">
      <c r="A66" s="129"/>
      <c r="B66" s="130" t="s">
        <v>605</v>
      </c>
      <c r="C66" s="127">
        <v>1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202">
        <f t="shared" ref="O66:O68" si="2">SUM(C66:N66)</f>
        <v>1</v>
      </c>
    </row>
    <row r="67" spans="1:15" ht="15" x14ac:dyDescent="0.25">
      <c r="A67" s="131"/>
      <c r="B67" s="132" t="s">
        <v>606</v>
      </c>
      <c r="C67" s="127">
        <v>2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202">
        <f t="shared" si="2"/>
        <v>2</v>
      </c>
    </row>
    <row r="68" spans="1:15" ht="15" x14ac:dyDescent="0.25">
      <c r="A68" s="125" t="s">
        <v>297</v>
      </c>
      <c r="B68" s="126" t="s">
        <v>607</v>
      </c>
      <c r="C68" s="127">
        <v>2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202">
        <f t="shared" si="2"/>
        <v>2</v>
      </c>
    </row>
    <row r="69" spans="1:15" ht="15" x14ac:dyDescent="0.25">
      <c r="A69" s="125" t="s">
        <v>301</v>
      </c>
      <c r="B69" s="126" t="s">
        <v>608</v>
      </c>
      <c r="C69" s="127">
        <v>1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202">
        <f t="shared" ref="O69:O71" si="3">SUM(C69:N69)</f>
        <v>1</v>
      </c>
    </row>
    <row r="70" spans="1:15" ht="15" x14ac:dyDescent="0.25">
      <c r="A70" s="125" t="s">
        <v>452</v>
      </c>
      <c r="B70" s="126" t="s">
        <v>609</v>
      </c>
      <c r="C70" s="127">
        <v>1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202">
        <f t="shared" si="3"/>
        <v>1</v>
      </c>
    </row>
    <row r="71" spans="1:15" ht="15" x14ac:dyDescent="0.25">
      <c r="A71" s="133" t="s">
        <v>426</v>
      </c>
      <c r="B71" s="134" t="s">
        <v>610</v>
      </c>
      <c r="C71" s="127">
        <v>4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202">
        <f t="shared" si="3"/>
        <v>4</v>
      </c>
    </row>
    <row r="72" spans="1:15" ht="15" x14ac:dyDescent="0.25">
      <c r="A72" s="148"/>
      <c r="B72" s="148" t="s">
        <v>8</v>
      </c>
      <c r="C72" s="149">
        <f t="shared" ref="C72:O72" si="4">SUM(C5:C71)</f>
        <v>340</v>
      </c>
      <c r="D72" s="149">
        <f t="shared" si="4"/>
        <v>0</v>
      </c>
      <c r="E72" s="149">
        <f t="shared" si="4"/>
        <v>0</v>
      </c>
      <c r="F72" s="149">
        <f t="shared" si="4"/>
        <v>0</v>
      </c>
      <c r="G72" s="149">
        <f t="shared" si="4"/>
        <v>0</v>
      </c>
      <c r="H72" s="149">
        <f t="shared" si="4"/>
        <v>0</v>
      </c>
      <c r="I72" s="149">
        <f t="shared" si="4"/>
        <v>0</v>
      </c>
      <c r="J72" s="149">
        <f t="shared" si="4"/>
        <v>0</v>
      </c>
      <c r="K72" s="149">
        <f t="shared" si="4"/>
        <v>0</v>
      </c>
      <c r="L72" s="149">
        <f t="shared" si="4"/>
        <v>0</v>
      </c>
      <c r="M72" s="149">
        <f t="shared" si="4"/>
        <v>0</v>
      </c>
      <c r="N72" s="149">
        <f t="shared" si="4"/>
        <v>0</v>
      </c>
      <c r="O72" s="149">
        <f t="shared" si="4"/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7D71-CD8C-4D5B-9D5C-736E03C1F1B4}">
  <dimension ref="A1:P531"/>
  <sheetViews>
    <sheetView zoomScale="80" zoomScaleNormal="80" workbookViewId="0"/>
  </sheetViews>
  <sheetFormatPr baseColWidth="10" defaultColWidth="11.42578125" defaultRowHeight="15" outlineLevelCol="1" x14ac:dyDescent="0.25"/>
  <cols>
    <col min="1" max="1" width="20.42578125" style="173" customWidth="1"/>
    <col min="2" max="2" width="15.7109375" style="173" customWidth="1"/>
    <col min="3" max="3" width="24.140625" style="174" customWidth="1"/>
    <col min="4" max="4" width="13" style="175" customWidth="1"/>
    <col min="5" max="5" width="10.7109375" style="175" hidden="1" customWidth="1" outlineLevel="1"/>
    <col min="6" max="6" width="8.42578125" style="175" hidden="1" customWidth="1" outlineLevel="1"/>
    <col min="7" max="15" width="10.7109375" style="176" hidden="1" customWidth="1" outlineLevel="1"/>
    <col min="16" max="16" width="11.5703125" style="177" customWidth="1" collapsed="1"/>
    <col min="17" max="16384" width="11.42578125" style="155"/>
  </cols>
  <sheetData>
    <row r="1" spans="1:16" x14ac:dyDescent="0.25">
      <c r="A1" s="150"/>
      <c r="B1" s="150"/>
      <c r="C1" s="151"/>
      <c r="D1" s="152"/>
      <c r="E1" s="152"/>
      <c r="F1" s="152"/>
      <c r="G1" s="153"/>
      <c r="H1" s="153"/>
      <c r="I1" s="153"/>
      <c r="J1" s="153"/>
      <c r="K1" s="153"/>
      <c r="L1" s="153"/>
      <c r="M1" s="153"/>
      <c r="N1" s="153"/>
      <c r="O1" s="153"/>
      <c r="P1" s="154"/>
    </row>
    <row r="2" spans="1:16" ht="15.75" x14ac:dyDescent="0.25">
      <c r="A2" s="156" t="s">
        <v>172</v>
      </c>
      <c r="B2" s="156"/>
      <c r="C2" s="157"/>
      <c r="D2" s="158"/>
      <c r="E2" s="158"/>
      <c r="F2" s="158"/>
      <c r="G2" s="159"/>
      <c r="H2" s="159"/>
      <c r="I2" s="159"/>
      <c r="J2" s="159"/>
      <c r="K2" s="159"/>
      <c r="L2" s="159"/>
      <c r="M2" s="159"/>
      <c r="N2" s="112"/>
      <c r="O2" s="159"/>
      <c r="P2" s="160"/>
    </row>
    <row r="3" spans="1:16" x14ac:dyDescent="0.25">
      <c r="A3" s="161" t="s">
        <v>173</v>
      </c>
      <c r="B3" s="161"/>
      <c r="C3" s="162"/>
      <c r="D3" s="163"/>
      <c r="E3" s="163"/>
      <c r="F3" s="163"/>
      <c r="G3" s="164"/>
      <c r="H3" s="164"/>
      <c r="I3" s="164"/>
      <c r="J3" s="164"/>
      <c r="K3" s="164"/>
      <c r="L3" s="164"/>
      <c r="M3" s="164"/>
      <c r="N3" s="165"/>
      <c r="O3" s="164"/>
      <c r="P3" s="166"/>
    </row>
    <row r="4" spans="1:16" x14ac:dyDescent="0.25">
      <c r="A4" s="167" t="s">
        <v>174</v>
      </c>
      <c r="B4" s="167" t="s">
        <v>2</v>
      </c>
      <c r="C4" s="167" t="s">
        <v>76</v>
      </c>
      <c r="D4" s="168" t="s">
        <v>77</v>
      </c>
      <c r="E4" s="168" t="s">
        <v>78</v>
      </c>
      <c r="F4" s="168" t="s">
        <v>79</v>
      </c>
      <c r="G4" s="169" t="s">
        <v>80</v>
      </c>
      <c r="H4" s="169" t="s">
        <v>81</v>
      </c>
      <c r="I4" s="169" t="s">
        <v>82</v>
      </c>
      <c r="J4" s="169" t="s">
        <v>83</v>
      </c>
      <c r="K4" s="169" t="s">
        <v>84</v>
      </c>
      <c r="L4" s="169" t="s">
        <v>85</v>
      </c>
      <c r="M4" s="169" t="s">
        <v>86</v>
      </c>
      <c r="N4" s="169" t="s">
        <v>87</v>
      </c>
      <c r="O4" s="169" t="s">
        <v>88</v>
      </c>
      <c r="P4" s="170" t="s">
        <v>89</v>
      </c>
    </row>
    <row r="5" spans="1:16" ht="15" customHeight="1" x14ac:dyDescent="0.25">
      <c r="A5" s="125" t="s">
        <v>175</v>
      </c>
      <c r="B5" s="126" t="s">
        <v>65</v>
      </c>
      <c r="C5" s="193" t="s">
        <v>160</v>
      </c>
      <c r="D5" s="127">
        <v>1</v>
      </c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71">
        <f t="shared" ref="P5:P6" si="0">SUM(D5:O5)</f>
        <v>1</v>
      </c>
    </row>
    <row r="6" spans="1:16" ht="15" customHeight="1" x14ac:dyDescent="0.25">
      <c r="A6" s="129"/>
      <c r="B6" s="126" t="s">
        <v>22</v>
      </c>
      <c r="C6" s="193" t="s">
        <v>106</v>
      </c>
      <c r="D6" s="127">
        <v>2</v>
      </c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71">
        <f t="shared" si="0"/>
        <v>2</v>
      </c>
    </row>
    <row r="7" spans="1:16" ht="15" customHeight="1" x14ac:dyDescent="0.25">
      <c r="A7" s="129"/>
      <c r="B7" s="126" t="s">
        <v>21</v>
      </c>
      <c r="C7" s="193" t="s">
        <v>110</v>
      </c>
      <c r="D7" s="127">
        <v>1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71">
        <f t="shared" ref="P7:P70" si="1">SUM(D7:O7)</f>
        <v>1</v>
      </c>
    </row>
    <row r="8" spans="1:16" ht="15" customHeight="1" x14ac:dyDescent="0.25">
      <c r="A8" s="129"/>
      <c r="B8" s="134" t="s">
        <v>24</v>
      </c>
      <c r="C8" s="196" t="s">
        <v>122</v>
      </c>
      <c r="D8" s="127">
        <v>3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71">
        <f t="shared" si="1"/>
        <v>3</v>
      </c>
    </row>
    <row r="9" spans="1:16" ht="15" customHeight="1" x14ac:dyDescent="0.25">
      <c r="A9" s="129"/>
      <c r="B9" s="126" t="s">
        <v>29</v>
      </c>
      <c r="C9" s="193" t="s">
        <v>123</v>
      </c>
      <c r="D9" s="127">
        <v>5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71">
        <f t="shared" si="1"/>
        <v>5</v>
      </c>
    </row>
    <row r="10" spans="1:16" ht="15" customHeight="1" x14ac:dyDescent="0.25">
      <c r="A10" s="129"/>
      <c r="B10" s="129"/>
      <c r="C10" s="194" t="s">
        <v>163</v>
      </c>
      <c r="D10" s="127">
        <v>4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71">
        <f t="shared" si="1"/>
        <v>4</v>
      </c>
    </row>
    <row r="11" spans="1:16" ht="15" customHeight="1" x14ac:dyDescent="0.25">
      <c r="A11" s="129"/>
      <c r="B11" s="131"/>
      <c r="C11" s="195" t="s">
        <v>311</v>
      </c>
      <c r="D11" s="127">
        <v>1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71">
        <f t="shared" si="1"/>
        <v>1</v>
      </c>
    </row>
    <row r="12" spans="1:16" ht="15" customHeight="1" x14ac:dyDescent="0.25">
      <c r="A12" s="131"/>
      <c r="B12" s="133" t="s">
        <v>39</v>
      </c>
      <c r="C12" s="196" t="s">
        <v>285</v>
      </c>
      <c r="D12" s="127">
        <v>1</v>
      </c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71">
        <f t="shared" si="1"/>
        <v>1</v>
      </c>
    </row>
    <row r="13" spans="1:16" ht="15" customHeight="1" x14ac:dyDescent="0.25">
      <c r="A13" s="125" t="s">
        <v>176</v>
      </c>
      <c r="B13" s="125" t="s">
        <v>35</v>
      </c>
      <c r="C13" s="193" t="s">
        <v>472</v>
      </c>
      <c r="D13" s="127">
        <v>1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71">
        <f t="shared" si="1"/>
        <v>1</v>
      </c>
    </row>
    <row r="14" spans="1:16" ht="15" customHeight="1" x14ac:dyDescent="0.25">
      <c r="A14" s="129"/>
      <c r="B14" s="131"/>
      <c r="C14" s="195" t="s">
        <v>473</v>
      </c>
      <c r="D14" s="127">
        <v>1</v>
      </c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71">
        <f t="shared" si="1"/>
        <v>1</v>
      </c>
    </row>
    <row r="15" spans="1:16" ht="15" customHeight="1" x14ac:dyDescent="0.25">
      <c r="A15" s="129"/>
      <c r="B15" s="125" t="s">
        <v>23</v>
      </c>
      <c r="C15" s="193" t="s">
        <v>305</v>
      </c>
      <c r="D15" s="127">
        <v>1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71">
        <f t="shared" si="1"/>
        <v>1</v>
      </c>
    </row>
    <row r="16" spans="1:16" ht="15" customHeight="1" x14ac:dyDescent="0.25">
      <c r="A16" s="129"/>
      <c r="B16" s="133" t="s">
        <v>65</v>
      </c>
      <c r="C16" s="196" t="s">
        <v>101</v>
      </c>
      <c r="D16" s="127">
        <v>7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71">
        <f t="shared" si="1"/>
        <v>7</v>
      </c>
    </row>
    <row r="17" spans="1:16" ht="15" customHeight="1" x14ac:dyDescent="0.25">
      <c r="A17" s="129"/>
      <c r="B17" s="125" t="s">
        <v>22</v>
      </c>
      <c r="C17" s="193" t="s">
        <v>106</v>
      </c>
      <c r="D17" s="127">
        <v>4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71">
        <f t="shared" si="1"/>
        <v>4</v>
      </c>
    </row>
    <row r="18" spans="1:16" ht="15" customHeight="1" x14ac:dyDescent="0.25">
      <c r="A18" s="129"/>
      <c r="B18" s="129"/>
      <c r="C18" s="194" t="s">
        <v>107</v>
      </c>
      <c r="D18" s="127">
        <v>1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71">
        <f t="shared" si="1"/>
        <v>1</v>
      </c>
    </row>
    <row r="19" spans="1:16" ht="15" customHeight="1" x14ac:dyDescent="0.25">
      <c r="A19" s="129"/>
      <c r="B19" s="129"/>
      <c r="C19" s="194" t="s">
        <v>484</v>
      </c>
      <c r="D19" s="127">
        <v>1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71">
        <f t="shared" si="1"/>
        <v>1</v>
      </c>
    </row>
    <row r="20" spans="1:16" ht="15" customHeight="1" x14ac:dyDescent="0.25">
      <c r="A20" s="129"/>
      <c r="B20" s="129"/>
      <c r="C20" s="194" t="s">
        <v>105</v>
      </c>
      <c r="D20" s="127">
        <v>1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71">
        <f t="shared" si="1"/>
        <v>1</v>
      </c>
    </row>
    <row r="21" spans="1:16" ht="15" customHeight="1" x14ac:dyDescent="0.25">
      <c r="A21" s="129"/>
      <c r="B21" s="129"/>
      <c r="C21" s="194" t="s">
        <v>108</v>
      </c>
      <c r="D21" s="127">
        <v>1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71">
        <f t="shared" si="1"/>
        <v>1</v>
      </c>
    </row>
    <row r="22" spans="1:16" ht="15" customHeight="1" x14ac:dyDescent="0.25">
      <c r="A22" s="129"/>
      <c r="B22" s="131"/>
      <c r="C22" s="195" t="s">
        <v>109</v>
      </c>
      <c r="D22" s="127">
        <v>1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71">
        <f t="shared" si="1"/>
        <v>1</v>
      </c>
    </row>
    <row r="23" spans="1:16" ht="15" customHeight="1" x14ac:dyDescent="0.25">
      <c r="A23" s="129"/>
      <c r="B23" s="125" t="s">
        <v>21</v>
      </c>
      <c r="C23" s="193" t="s">
        <v>570</v>
      </c>
      <c r="D23" s="127">
        <v>2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71">
        <f t="shared" si="1"/>
        <v>2</v>
      </c>
    </row>
    <row r="24" spans="1:16" ht="15" customHeight="1" x14ac:dyDescent="0.25">
      <c r="A24" s="129"/>
      <c r="B24" s="129"/>
      <c r="C24" s="194" t="s">
        <v>112</v>
      </c>
      <c r="D24" s="127">
        <v>1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71">
        <f t="shared" si="1"/>
        <v>1</v>
      </c>
    </row>
    <row r="25" spans="1:16" ht="15" customHeight="1" x14ac:dyDescent="0.25">
      <c r="A25" s="129"/>
      <c r="B25" s="131"/>
      <c r="C25" s="195" t="s">
        <v>113</v>
      </c>
      <c r="D25" s="127">
        <v>1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71">
        <f t="shared" si="1"/>
        <v>1</v>
      </c>
    </row>
    <row r="26" spans="1:16" ht="15" customHeight="1" x14ac:dyDescent="0.25">
      <c r="A26" s="129"/>
      <c r="B26" s="125" t="s">
        <v>24</v>
      </c>
      <c r="C26" s="193" t="s">
        <v>114</v>
      </c>
      <c r="D26" s="127">
        <v>1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71">
        <f t="shared" si="1"/>
        <v>1</v>
      </c>
    </row>
    <row r="27" spans="1:16" ht="15" customHeight="1" x14ac:dyDescent="0.25">
      <c r="A27" s="129"/>
      <c r="B27" s="129"/>
      <c r="C27" s="194" t="s">
        <v>116</v>
      </c>
      <c r="D27" s="127">
        <v>3</v>
      </c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71">
        <f t="shared" si="1"/>
        <v>3</v>
      </c>
    </row>
    <row r="28" spans="1:16" ht="15" customHeight="1" x14ac:dyDescent="0.25">
      <c r="A28" s="129"/>
      <c r="B28" s="129"/>
      <c r="C28" s="194" t="s">
        <v>118</v>
      </c>
      <c r="D28" s="127">
        <v>3</v>
      </c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71">
        <f t="shared" si="1"/>
        <v>3</v>
      </c>
    </row>
    <row r="29" spans="1:16" ht="15" customHeight="1" x14ac:dyDescent="0.25">
      <c r="A29" s="129"/>
      <c r="B29" s="129"/>
      <c r="C29" s="194" t="s">
        <v>119</v>
      </c>
      <c r="D29" s="127">
        <v>2</v>
      </c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71">
        <f t="shared" si="1"/>
        <v>2</v>
      </c>
    </row>
    <row r="30" spans="1:16" ht="15" customHeight="1" x14ac:dyDescent="0.25">
      <c r="A30" s="129"/>
      <c r="B30" s="129"/>
      <c r="C30" s="194" t="s">
        <v>120</v>
      </c>
      <c r="D30" s="127">
        <v>2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71">
        <f t="shared" si="1"/>
        <v>2</v>
      </c>
    </row>
    <row r="31" spans="1:16" ht="15" customHeight="1" x14ac:dyDescent="0.25">
      <c r="A31" s="129"/>
      <c r="B31" s="131"/>
      <c r="C31" s="195" t="s">
        <v>121</v>
      </c>
      <c r="D31" s="127">
        <v>1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71">
        <f t="shared" si="1"/>
        <v>1</v>
      </c>
    </row>
    <row r="32" spans="1:16" ht="15" customHeight="1" x14ac:dyDescent="0.25">
      <c r="A32" s="129"/>
      <c r="B32" s="125" t="s">
        <v>449</v>
      </c>
      <c r="C32" s="193" t="s">
        <v>490</v>
      </c>
      <c r="D32" s="127">
        <v>2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71">
        <f t="shared" si="1"/>
        <v>2</v>
      </c>
    </row>
    <row r="33" spans="1:16" ht="15" customHeight="1" x14ac:dyDescent="0.25">
      <c r="A33" s="129"/>
      <c r="B33" s="125" t="s">
        <v>29</v>
      </c>
      <c r="C33" s="193" t="s">
        <v>123</v>
      </c>
      <c r="D33" s="127">
        <v>2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71">
        <f t="shared" si="1"/>
        <v>2</v>
      </c>
    </row>
    <row r="34" spans="1:16" ht="15" customHeight="1" x14ac:dyDescent="0.25">
      <c r="A34" s="129"/>
      <c r="B34" s="125" t="s">
        <v>39</v>
      </c>
      <c r="C34" s="193" t="s">
        <v>285</v>
      </c>
      <c r="D34" s="127">
        <v>2</v>
      </c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71">
        <f t="shared" si="1"/>
        <v>2</v>
      </c>
    </row>
    <row r="35" spans="1:16" ht="15" customHeight="1" x14ac:dyDescent="0.25">
      <c r="A35" s="129"/>
      <c r="B35" s="133" t="s">
        <v>47</v>
      </c>
      <c r="C35" s="196" t="s">
        <v>358</v>
      </c>
      <c r="D35" s="127">
        <v>1</v>
      </c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71">
        <f t="shared" si="1"/>
        <v>1</v>
      </c>
    </row>
    <row r="36" spans="1:16" ht="15" customHeight="1" x14ac:dyDescent="0.25">
      <c r="A36" s="129"/>
      <c r="B36" s="125" t="s">
        <v>19</v>
      </c>
      <c r="C36" s="193" t="s">
        <v>129</v>
      </c>
      <c r="D36" s="127">
        <v>1</v>
      </c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71">
        <f t="shared" si="1"/>
        <v>1</v>
      </c>
    </row>
    <row r="37" spans="1:16" ht="15" customHeight="1" x14ac:dyDescent="0.25">
      <c r="A37" s="129"/>
      <c r="B37" s="131"/>
      <c r="C37" s="195" t="s">
        <v>283</v>
      </c>
      <c r="D37" s="127">
        <v>1</v>
      </c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71">
        <f t="shared" si="1"/>
        <v>1</v>
      </c>
    </row>
    <row r="38" spans="1:16" ht="15" customHeight="1" x14ac:dyDescent="0.25">
      <c r="A38" s="129"/>
      <c r="B38" s="125" t="s">
        <v>34</v>
      </c>
      <c r="C38" s="193" t="s">
        <v>522</v>
      </c>
      <c r="D38" s="127">
        <v>1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71">
        <f t="shared" si="1"/>
        <v>1</v>
      </c>
    </row>
    <row r="39" spans="1:16" ht="15" customHeight="1" x14ac:dyDescent="0.25">
      <c r="A39" s="129"/>
      <c r="B39" s="125" t="s">
        <v>27</v>
      </c>
      <c r="C39" s="193" t="s">
        <v>365</v>
      </c>
      <c r="D39" s="127">
        <v>1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71">
        <f t="shared" si="1"/>
        <v>1</v>
      </c>
    </row>
    <row r="40" spans="1:16" ht="15" customHeight="1" x14ac:dyDescent="0.25">
      <c r="A40" s="131"/>
      <c r="B40" s="133" t="s">
        <v>454</v>
      </c>
      <c r="C40" s="196" t="s">
        <v>596</v>
      </c>
      <c r="D40" s="127">
        <v>1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71">
        <f t="shared" si="1"/>
        <v>1</v>
      </c>
    </row>
    <row r="41" spans="1:16" ht="15" customHeight="1" x14ac:dyDescent="0.25">
      <c r="A41" s="125" t="s">
        <v>330</v>
      </c>
      <c r="B41" s="133" t="s">
        <v>65</v>
      </c>
      <c r="C41" s="196" t="s">
        <v>101</v>
      </c>
      <c r="D41" s="127">
        <v>1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71">
        <f t="shared" si="1"/>
        <v>1</v>
      </c>
    </row>
    <row r="42" spans="1:16" ht="15" customHeight="1" x14ac:dyDescent="0.25">
      <c r="A42" s="129"/>
      <c r="B42" s="125" t="s">
        <v>29</v>
      </c>
      <c r="C42" s="193" t="s">
        <v>124</v>
      </c>
      <c r="D42" s="127">
        <v>1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71">
        <f t="shared" si="1"/>
        <v>1</v>
      </c>
    </row>
    <row r="43" spans="1:16" ht="15" customHeight="1" x14ac:dyDescent="0.25">
      <c r="A43" s="129"/>
      <c r="B43" s="129"/>
      <c r="C43" s="194" t="s">
        <v>126</v>
      </c>
      <c r="D43" s="127">
        <v>1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71">
        <f t="shared" si="1"/>
        <v>1</v>
      </c>
    </row>
    <row r="44" spans="1:16" ht="15" customHeight="1" x14ac:dyDescent="0.25">
      <c r="A44" s="129"/>
      <c r="B44" s="129"/>
      <c r="C44" s="194" t="s">
        <v>127</v>
      </c>
      <c r="D44" s="127">
        <v>1</v>
      </c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71">
        <f t="shared" si="1"/>
        <v>1</v>
      </c>
    </row>
    <row r="45" spans="1:16" ht="15" customHeight="1" x14ac:dyDescent="0.25">
      <c r="A45" s="129"/>
      <c r="B45" s="129"/>
      <c r="C45" s="194" t="s">
        <v>163</v>
      </c>
      <c r="D45" s="127">
        <v>1</v>
      </c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71">
        <f t="shared" si="1"/>
        <v>1</v>
      </c>
    </row>
    <row r="46" spans="1:16" ht="15" customHeight="1" x14ac:dyDescent="0.25">
      <c r="A46" s="129"/>
      <c r="B46" s="129"/>
      <c r="C46" s="194" t="s">
        <v>495</v>
      </c>
      <c r="D46" s="127">
        <v>1</v>
      </c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71">
        <f t="shared" si="1"/>
        <v>1</v>
      </c>
    </row>
    <row r="47" spans="1:16" ht="15" customHeight="1" x14ac:dyDescent="0.25">
      <c r="A47" s="131"/>
      <c r="B47" s="131"/>
      <c r="C47" s="195" t="s">
        <v>440</v>
      </c>
      <c r="D47" s="127">
        <v>1</v>
      </c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71">
        <f t="shared" si="1"/>
        <v>1</v>
      </c>
    </row>
    <row r="48" spans="1:16" ht="15" customHeight="1" x14ac:dyDescent="0.25">
      <c r="A48" s="125" t="s">
        <v>177</v>
      </c>
      <c r="B48" s="125" t="s">
        <v>297</v>
      </c>
      <c r="C48" s="193" t="s">
        <v>358</v>
      </c>
      <c r="D48" s="127">
        <v>6</v>
      </c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71">
        <f t="shared" si="1"/>
        <v>6</v>
      </c>
    </row>
    <row r="49" spans="1:16" ht="15" customHeight="1" x14ac:dyDescent="0.25">
      <c r="A49" s="129"/>
      <c r="B49" s="129"/>
      <c r="C49" s="194" t="s">
        <v>607</v>
      </c>
      <c r="D49" s="127">
        <v>2</v>
      </c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71">
        <f t="shared" si="1"/>
        <v>2</v>
      </c>
    </row>
    <row r="50" spans="1:16" ht="15" customHeight="1" x14ac:dyDescent="0.25">
      <c r="A50" s="129"/>
      <c r="B50" s="131"/>
      <c r="C50" s="195" t="s">
        <v>543</v>
      </c>
      <c r="D50" s="127">
        <v>1</v>
      </c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71">
        <f t="shared" si="1"/>
        <v>1</v>
      </c>
    </row>
    <row r="51" spans="1:16" ht="15" customHeight="1" x14ac:dyDescent="0.25">
      <c r="A51" s="129"/>
      <c r="B51" s="125" t="s">
        <v>30</v>
      </c>
      <c r="C51" s="193" t="s">
        <v>90</v>
      </c>
      <c r="D51" s="127">
        <v>1</v>
      </c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71">
        <f t="shared" si="1"/>
        <v>1</v>
      </c>
    </row>
    <row r="52" spans="1:16" ht="15" customHeight="1" x14ac:dyDescent="0.25">
      <c r="A52" s="129"/>
      <c r="B52" s="129"/>
      <c r="C52" s="194" t="s">
        <v>439</v>
      </c>
      <c r="D52" s="127">
        <v>20</v>
      </c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71">
        <f t="shared" si="1"/>
        <v>20</v>
      </c>
    </row>
    <row r="53" spans="1:16" ht="15" customHeight="1" x14ac:dyDescent="0.25">
      <c r="A53" s="129"/>
      <c r="B53" s="129"/>
      <c r="C53" s="194" t="s">
        <v>459</v>
      </c>
      <c r="D53" s="127">
        <v>1</v>
      </c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71">
        <f t="shared" si="1"/>
        <v>1</v>
      </c>
    </row>
    <row r="54" spans="1:16" ht="15" customHeight="1" x14ac:dyDescent="0.25">
      <c r="A54" s="129"/>
      <c r="B54" s="129"/>
      <c r="C54" s="194" t="s">
        <v>460</v>
      </c>
      <c r="D54" s="127">
        <v>1</v>
      </c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71">
        <f t="shared" si="1"/>
        <v>1</v>
      </c>
    </row>
    <row r="55" spans="1:16" ht="15" customHeight="1" x14ac:dyDescent="0.25">
      <c r="A55" s="129"/>
      <c r="B55" s="129"/>
      <c r="C55" s="194" t="s">
        <v>441</v>
      </c>
      <c r="D55" s="127">
        <v>3</v>
      </c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71">
        <f t="shared" si="1"/>
        <v>3</v>
      </c>
    </row>
    <row r="56" spans="1:16" ht="15" customHeight="1" x14ac:dyDescent="0.25">
      <c r="A56" s="129"/>
      <c r="B56" s="131"/>
      <c r="C56" s="195" t="s">
        <v>461</v>
      </c>
      <c r="D56" s="127">
        <v>2</v>
      </c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71">
        <f t="shared" si="1"/>
        <v>2</v>
      </c>
    </row>
    <row r="57" spans="1:16" ht="15" customHeight="1" x14ac:dyDescent="0.25">
      <c r="A57" s="129"/>
      <c r="B57" s="133" t="s">
        <v>68</v>
      </c>
      <c r="C57" s="196" t="s">
        <v>298</v>
      </c>
      <c r="D57" s="127">
        <v>6</v>
      </c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71">
        <f t="shared" si="1"/>
        <v>6</v>
      </c>
    </row>
    <row r="58" spans="1:16" ht="15" customHeight="1" x14ac:dyDescent="0.25">
      <c r="A58" s="129"/>
      <c r="B58" s="125" t="s">
        <v>40</v>
      </c>
      <c r="C58" s="193" t="s">
        <v>321</v>
      </c>
      <c r="D58" s="127">
        <v>4</v>
      </c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71">
        <f t="shared" si="1"/>
        <v>4</v>
      </c>
    </row>
    <row r="59" spans="1:16" ht="15" customHeight="1" x14ac:dyDescent="0.25">
      <c r="A59" s="129"/>
      <c r="B59" s="129"/>
      <c r="C59" s="194" t="s">
        <v>304</v>
      </c>
      <c r="D59" s="127">
        <v>14</v>
      </c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71">
        <f t="shared" si="1"/>
        <v>14</v>
      </c>
    </row>
    <row r="60" spans="1:16" ht="15" customHeight="1" x14ac:dyDescent="0.25">
      <c r="A60" s="129"/>
      <c r="B60" s="129"/>
      <c r="C60" s="194" t="s">
        <v>353</v>
      </c>
      <c r="D60" s="127">
        <v>5</v>
      </c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71">
        <f t="shared" si="1"/>
        <v>5</v>
      </c>
    </row>
    <row r="61" spans="1:16" ht="15" customHeight="1" x14ac:dyDescent="0.25">
      <c r="A61" s="129"/>
      <c r="B61" s="129"/>
      <c r="C61" s="194" t="s">
        <v>545</v>
      </c>
      <c r="D61" s="127">
        <v>1</v>
      </c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71">
        <f t="shared" si="1"/>
        <v>1</v>
      </c>
    </row>
    <row r="62" spans="1:16" ht="15" customHeight="1" x14ac:dyDescent="0.25">
      <c r="A62" s="129"/>
      <c r="B62" s="129"/>
      <c r="C62" s="194" t="s">
        <v>462</v>
      </c>
      <c r="D62" s="127">
        <v>1</v>
      </c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71">
        <f t="shared" si="1"/>
        <v>1</v>
      </c>
    </row>
    <row r="63" spans="1:16" ht="15" customHeight="1" x14ac:dyDescent="0.25">
      <c r="A63" s="129"/>
      <c r="B63" s="129"/>
      <c r="C63" s="194" t="s">
        <v>546</v>
      </c>
      <c r="D63" s="127">
        <v>1</v>
      </c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71">
        <f t="shared" si="1"/>
        <v>1</v>
      </c>
    </row>
    <row r="64" spans="1:16" ht="15" customHeight="1" x14ac:dyDescent="0.25">
      <c r="A64" s="129"/>
      <c r="B64" s="129"/>
      <c r="C64" s="194" t="s">
        <v>547</v>
      </c>
      <c r="D64" s="127">
        <v>1</v>
      </c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71">
        <f t="shared" si="1"/>
        <v>1</v>
      </c>
    </row>
    <row r="65" spans="1:16" ht="15" customHeight="1" x14ac:dyDescent="0.25">
      <c r="A65" s="129"/>
      <c r="B65" s="129"/>
      <c r="C65" s="194" t="s">
        <v>548</v>
      </c>
      <c r="D65" s="127">
        <v>11</v>
      </c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71">
        <f t="shared" si="1"/>
        <v>11</v>
      </c>
    </row>
    <row r="66" spans="1:16" ht="15" customHeight="1" x14ac:dyDescent="0.25">
      <c r="A66" s="129"/>
      <c r="B66" s="129"/>
      <c r="C66" s="194" t="s">
        <v>463</v>
      </c>
      <c r="D66" s="127">
        <v>2</v>
      </c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71">
        <f t="shared" si="1"/>
        <v>2</v>
      </c>
    </row>
    <row r="67" spans="1:16" ht="15" customHeight="1" x14ac:dyDescent="0.25">
      <c r="A67" s="129"/>
      <c r="B67" s="129"/>
      <c r="C67" s="194" t="s">
        <v>549</v>
      </c>
      <c r="D67" s="127">
        <v>1</v>
      </c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71">
        <f t="shared" si="1"/>
        <v>1</v>
      </c>
    </row>
    <row r="68" spans="1:16" ht="15" customHeight="1" x14ac:dyDescent="0.25">
      <c r="A68" s="129"/>
      <c r="B68" s="131"/>
      <c r="C68" s="195" t="s">
        <v>464</v>
      </c>
      <c r="D68" s="127">
        <v>1</v>
      </c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71">
        <f t="shared" si="1"/>
        <v>1</v>
      </c>
    </row>
    <row r="69" spans="1:16" ht="15" customHeight="1" x14ac:dyDescent="0.25">
      <c r="A69" s="129"/>
      <c r="B69" s="133" t="s">
        <v>450</v>
      </c>
      <c r="C69" s="196" t="s">
        <v>465</v>
      </c>
      <c r="D69" s="127">
        <v>1</v>
      </c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71">
        <f t="shared" si="1"/>
        <v>1</v>
      </c>
    </row>
    <row r="70" spans="1:16" ht="15" customHeight="1" x14ac:dyDescent="0.25">
      <c r="A70" s="129"/>
      <c r="B70" s="125" t="s">
        <v>35</v>
      </c>
      <c r="C70" s="193" t="s">
        <v>91</v>
      </c>
      <c r="D70" s="127">
        <v>1</v>
      </c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71">
        <f t="shared" si="1"/>
        <v>1</v>
      </c>
    </row>
    <row r="71" spans="1:16" ht="15" customHeight="1" x14ac:dyDescent="0.25">
      <c r="A71" s="129"/>
      <c r="B71" s="129"/>
      <c r="C71" s="194" t="s">
        <v>92</v>
      </c>
      <c r="D71" s="127">
        <v>1</v>
      </c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71">
        <f t="shared" ref="P71:P101" si="2">SUM(D71:O71)</f>
        <v>1</v>
      </c>
    </row>
    <row r="72" spans="1:16" ht="15" customHeight="1" x14ac:dyDescent="0.25">
      <c r="A72" s="129"/>
      <c r="B72" s="129"/>
      <c r="C72" s="194" t="s">
        <v>467</v>
      </c>
      <c r="D72" s="127">
        <v>1</v>
      </c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71">
        <f t="shared" si="2"/>
        <v>1</v>
      </c>
    </row>
    <row r="73" spans="1:16" ht="15" customHeight="1" x14ac:dyDescent="0.25">
      <c r="A73" s="129"/>
      <c r="B73" s="129"/>
      <c r="C73" s="194" t="s">
        <v>468</v>
      </c>
      <c r="D73" s="127">
        <v>1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71">
        <f t="shared" si="2"/>
        <v>1</v>
      </c>
    </row>
    <row r="74" spans="1:16" ht="15" customHeight="1" x14ac:dyDescent="0.25">
      <c r="A74" s="129"/>
      <c r="B74" s="129"/>
      <c r="C74" s="194" t="s">
        <v>470</v>
      </c>
      <c r="D74" s="127">
        <v>1</v>
      </c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71">
        <f t="shared" si="2"/>
        <v>1</v>
      </c>
    </row>
    <row r="75" spans="1:16" ht="15" customHeight="1" x14ac:dyDescent="0.25">
      <c r="A75" s="129"/>
      <c r="B75" s="129"/>
      <c r="C75" s="194" t="s">
        <v>471</v>
      </c>
      <c r="D75" s="127">
        <v>1</v>
      </c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71">
        <f t="shared" si="2"/>
        <v>1</v>
      </c>
    </row>
    <row r="76" spans="1:16" ht="15" customHeight="1" x14ac:dyDescent="0.25">
      <c r="A76" s="129"/>
      <c r="B76" s="129"/>
      <c r="C76" s="194" t="s">
        <v>472</v>
      </c>
      <c r="D76" s="127">
        <v>2</v>
      </c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71">
        <f t="shared" si="2"/>
        <v>2</v>
      </c>
    </row>
    <row r="77" spans="1:16" ht="15" customHeight="1" x14ac:dyDescent="0.25">
      <c r="A77" s="129"/>
      <c r="B77" s="131"/>
      <c r="C77" s="195" t="s">
        <v>473</v>
      </c>
      <c r="D77" s="127">
        <v>3</v>
      </c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71">
        <f t="shared" si="2"/>
        <v>3</v>
      </c>
    </row>
    <row r="78" spans="1:16" ht="15" customHeight="1" x14ac:dyDescent="0.25">
      <c r="A78" s="129"/>
      <c r="B78" s="125" t="s">
        <v>23</v>
      </c>
      <c r="C78" s="193" t="s">
        <v>354</v>
      </c>
      <c r="D78" s="127">
        <v>1</v>
      </c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71">
        <f t="shared" si="2"/>
        <v>1</v>
      </c>
    </row>
    <row r="79" spans="1:16" ht="15" customHeight="1" x14ac:dyDescent="0.25">
      <c r="A79" s="129"/>
      <c r="B79" s="129"/>
      <c r="C79" s="194" t="s">
        <v>93</v>
      </c>
      <c r="D79" s="127">
        <v>3</v>
      </c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71">
        <f t="shared" si="2"/>
        <v>3</v>
      </c>
    </row>
    <row r="80" spans="1:16" ht="15" customHeight="1" x14ac:dyDescent="0.25">
      <c r="A80" s="129"/>
      <c r="B80" s="129"/>
      <c r="C80" s="194" t="s">
        <v>94</v>
      </c>
      <c r="D80" s="127">
        <v>11</v>
      </c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71">
        <f t="shared" si="2"/>
        <v>11</v>
      </c>
    </row>
    <row r="81" spans="1:16" ht="15" customHeight="1" x14ac:dyDescent="0.25">
      <c r="A81" s="129"/>
      <c r="B81" s="129"/>
      <c r="C81" s="194" t="s">
        <v>355</v>
      </c>
      <c r="D81" s="127">
        <v>3</v>
      </c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71">
        <f t="shared" si="2"/>
        <v>3</v>
      </c>
    </row>
    <row r="82" spans="1:16" ht="15" customHeight="1" x14ac:dyDescent="0.25">
      <c r="A82" s="129"/>
      <c r="B82" s="129"/>
      <c r="C82" s="194" t="s">
        <v>95</v>
      </c>
      <c r="D82" s="127">
        <v>6</v>
      </c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71">
        <f t="shared" si="2"/>
        <v>6</v>
      </c>
    </row>
    <row r="83" spans="1:16" ht="15" customHeight="1" x14ac:dyDescent="0.25">
      <c r="A83" s="129"/>
      <c r="B83" s="129"/>
      <c r="C83" s="194" t="s">
        <v>475</v>
      </c>
      <c r="D83" s="127">
        <v>1</v>
      </c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71">
        <f t="shared" si="2"/>
        <v>1</v>
      </c>
    </row>
    <row r="84" spans="1:16" ht="15" customHeight="1" x14ac:dyDescent="0.25">
      <c r="A84" s="129"/>
      <c r="B84" s="129"/>
      <c r="C84" s="194" t="s">
        <v>356</v>
      </c>
      <c r="D84" s="127">
        <v>1</v>
      </c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71">
        <f t="shared" si="2"/>
        <v>1</v>
      </c>
    </row>
    <row r="85" spans="1:16" ht="15" customHeight="1" x14ac:dyDescent="0.25">
      <c r="A85" s="129"/>
      <c r="B85" s="129"/>
      <c r="C85" s="194" t="s">
        <v>96</v>
      </c>
      <c r="D85" s="127">
        <v>6</v>
      </c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71">
        <f t="shared" si="2"/>
        <v>6</v>
      </c>
    </row>
    <row r="86" spans="1:16" ht="15" customHeight="1" x14ac:dyDescent="0.25">
      <c r="A86" s="129"/>
      <c r="B86" s="129"/>
      <c r="C86" s="194" t="s">
        <v>476</v>
      </c>
      <c r="D86" s="127">
        <v>3</v>
      </c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71">
        <f t="shared" si="2"/>
        <v>3</v>
      </c>
    </row>
    <row r="87" spans="1:16" ht="15" customHeight="1" x14ac:dyDescent="0.25">
      <c r="A87" s="129"/>
      <c r="B87" s="129"/>
      <c r="C87" s="194" t="s">
        <v>149</v>
      </c>
      <c r="D87" s="127">
        <v>22</v>
      </c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71">
        <f t="shared" si="2"/>
        <v>22</v>
      </c>
    </row>
    <row r="88" spans="1:16" ht="15" customHeight="1" x14ac:dyDescent="0.25">
      <c r="A88" s="129"/>
      <c r="B88" s="129"/>
      <c r="C88" s="194" t="s">
        <v>97</v>
      </c>
      <c r="D88" s="127">
        <v>4</v>
      </c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71">
        <f t="shared" si="2"/>
        <v>4</v>
      </c>
    </row>
    <row r="89" spans="1:16" ht="15" customHeight="1" x14ac:dyDescent="0.25">
      <c r="A89" s="129"/>
      <c r="B89" s="129"/>
      <c r="C89" s="194" t="s">
        <v>308</v>
      </c>
      <c r="D89" s="127">
        <v>2</v>
      </c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71">
        <f t="shared" si="2"/>
        <v>2</v>
      </c>
    </row>
    <row r="90" spans="1:16" ht="15" customHeight="1" x14ac:dyDescent="0.25">
      <c r="A90" s="129"/>
      <c r="B90" s="129"/>
      <c r="C90" s="194" t="s">
        <v>567</v>
      </c>
      <c r="D90" s="127">
        <v>1</v>
      </c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71">
        <f t="shared" si="2"/>
        <v>1</v>
      </c>
    </row>
    <row r="91" spans="1:16" ht="15" customHeight="1" x14ac:dyDescent="0.25">
      <c r="A91" s="129"/>
      <c r="B91" s="129"/>
      <c r="C91" s="194" t="s">
        <v>389</v>
      </c>
      <c r="D91" s="127">
        <v>8</v>
      </c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71">
        <f t="shared" si="2"/>
        <v>8</v>
      </c>
    </row>
    <row r="92" spans="1:16" ht="15" customHeight="1" x14ac:dyDescent="0.25">
      <c r="A92" s="129"/>
      <c r="B92" s="129"/>
      <c r="C92" s="194" t="s">
        <v>326</v>
      </c>
      <c r="D92" s="127">
        <v>1</v>
      </c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71">
        <f t="shared" si="2"/>
        <v>1</v>
      </c>
    </row>
    <row r="93" spans="1:16" ht="15" customHeight="1" x14ac:dyDescent="0.25">
      <c r="A93" s="129"/>
      <c r="B93" s="129"/>
      <c r="C93" s="194" t="s">
        <v>280</v>
      </c>
      <c r="D93" s="127">
        <v>2</v>
      </c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71">
        <f t="shared" si="2"/>
        <v>2</v>
      </c>
    </row>
    <row r="94" spans="1:16" ht="15" customHeight="1" x14ac:dyDescent="0.25">
      <c r="A94" s="129"/>
      <c r="B94" s="129"/>
      <c r="C94" s="194" t="s">
        <v>307</v>
      </c>
      <c r="D94" s="127">
        <v>2</v>
      </c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71">
        <f t="shared" si="2"/>
        <v>2</v>
      </c>
    </row>
    <row r="95" spans="1:16" ht="15" customHeight="1" x14ac:dyDescent="0.25">
      <c r="A95" s="129"/>
      <c r="B95" s="129"/>
      <c r="C95" s="194" t="s">
        <v>550</v>
      </c>
      <c r="D95" s="127">
        <v>4</v>
      </c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71">
        <f t="shared" si="2"/>
        <v>4</v>
      </c>
    </row>
    <row r="96" spans="1:16" ht="15" customHeight="1" x14ac:dyDescent="0.25">
      <c r="A96" s="129"/>
      <c r="B96" s="129"/>
      <c r="C96" s="194" t="s">
        <v>551</v>
      </c>
      <c r="D96" s="127">
        <v>3</v>
      </c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71">
        <f t="shared" si="2"/>
        <v>3</v>
      </c>
    </row>
    <row r="97" spans="1:16" ht="15" customHeight="1" x14ac:dyDescent="0.25">
      <c r="A97" s="129"/>
      <c r="B97" s="129"/>
      <c r="C97" s="194" t="s">
        <v>99</v>
      </c>
      <c r="D97" s="127">
        <v>3</v>
      </c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71">
        <f t="shared" si="2"/>
        <v>3</v>
      </c>
    </row>
    <row r="98" spans="1:16" ht="15" customHeight="1" x14ac:dyDescent="0.25">
      <c r="A98" s="129"/>
      <c r="B98" s="129"/>
      <c r="C98" s="194" t="s">
        <v>477</v>
      </c>
      <c r="D98" s="127">
        <v>1</v>
      </c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71">
        <f t="shared" si="2"/>
        <v>1</v>
      </c>
    </row>
    <row r="99" spans="1:16" ht="15" customHeight="1" x14ac:dyDescent="0.25">
      <c r="A99" s="129"/>
      <c r="B99" s="129"/>
      <c r="C99" s="194" t="s">
        <v>100</v>
      </c>
      <c r="D99" s="127">
        <v>3</v>
      </c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71">
        <f t="shared" si="2"/>
        <v>3</v>
      </c>
    </row>
    <row r="100" spans="1:16" ht="15" customHeight="1" x14ac:dyDescent="0.25">
      <c r="A100" s="129"/>
      <c r="B100" s="129"/>
      <c r="C100" s="194" t="s">
        <v>306</v>
      </c>
      <c r="D100" s="127">
        <v>7</v>
      </c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71">
        <f t="shared" si="2"/>
        <v>7</v>
      </c>
    </row>
    <row r="101" spans="1:16" ht="15" customHeight="1" x14ac:dyDescent="0.25">
      <c r="A101" s="129"/>
      <c r="B101" s="129"/>
      <c r="C101" s="194" t="s">
        <v>568</v>
      </c>
      <c r="D101" s="127">
        <v>2</v>
      </c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71">
        <f t="shared" si="2"/>
        <v>2</v>
      </c>
    </row>
    <row r="102" spans="1:16" ht="15" customHeight="1" x14ac:dyDescent="0.25">
      <c r="A102" s="129"/>
      <c r="B102" s="129"/>
      <c r="C102" s="194" t="s">
        <v>309</v>
      </c>
      <c r="D102" s="127">
        <v>2</v>
      </c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71">
        <f t="shared" ref="P102:P530" si="3">SUM(D102:O102)</f>
        <v>2</v>
      </c>
    </row>
    <row r="103" spans="1:16" ht="15" customHeight="1" x14ac:dyDescent="0.25">
      <c r="A103" s="129"/>
      <c r="B103" s="129"/>
      <c r="C103" s="194" t="s">
        <v>478</v>
      </c>
      <c r="D103" s="127">
        <v>2</v>
      </c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71">
        <f t="shared" ref="P103:P503" si="4">SUM(D103:O103)</f>
        <v>2</v>
      </c>
    </row>
    <row r="104" spans="1:16" ht="15" customHeight="1" x14ac:dyDescent="0.25">
      <c r="A104" s="129"/>
      <c r="B104" s="129"/>
      <c r="C104" s="194" t="s">
        <v>479</v>
      </c>
      <c r="D104" s="127">
        <v>2</v>
      </c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71">
        <f t="shared" si="4"/>
        <v>2</v>
      </c>
    </row>
    <row r="105" spans="1:16" ht="15" customHeight="1" x14ac:dyDescent="0.25">
      <c r="A105" s="129"/>
      <c r="B105" s="129"/>
      <c r="C105" s="194" t="s">
        <v>480</v>
      </c>
      <c r="D105" s="127">
        <v>3</v>
      </c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71">
        <f t="shared" si="4"/>
        <v>3</v>
      </c>
    </row>
    <row r="106" spans="1:16" ht="15" customHeight="1" x14ac:dyDescent="0.25">
      <c r="A106" s="129"/>
      <c r="B106" s="129"/>
      <c r="C106" s="194" t="s">
        <v>481</v>
      </c>
      <c r="D106" s="127">
        <v>1</v>
      </c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71">
        <f t="shared" si="4"/>
        <v>1</v>
      </c>
    </row>
    <row r="107" spans="1:16" ht="15" customHeight="1" x14ac:dyDescent="0.25">
      <c r="A107" s="129"/>
      <c r="B107" s="131"/>
      <c r="C107" s="195" t="s">
        <v>483</v>
      </c>
      <c r="D107" s="127">
        <v>1</v>
      </c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71">
        <f t="shared" si="4"/>
        <v>1</v>
      </c>
    </row>
    <row r="108" spans="1:16" ht="15" customHeight="1" x14ac:dyDescent="0.25">
      <c r="A108" s="129"/>
      <c r="B108" s="125" t="s">
        <v>28</v>
      </c>
      <c r="C108" s="193" t="s">
        <v>150</v>
      </c>
      <c r="D108" s="127">
        <v>2</v>
      </c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71">
        <f t="shared" si="4"/>
        <v>2</v>
      </c>
    </row>
    <row r="109" spans="1:16" ht="15" customHeight="1" x14ac:dyDescent="0.25">
      <c r="A109" s="129"/>
      <c r="B109" s="131"/>
      <c r="C109" s="195" t="s">
        <v>151</v>
      </c>
      <c r="D109" s="127">
        <v>6</v>
      </c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71">
        <f t="shared" si="4"/>
        <v>6</v>
      </c>
    </row>
    <row r="110" spans="1:16" ht="15" customHeight="1" x14ac:dyDescent="0.25">
      <c r="A110" s="129"/>
      <c r="B110" s="125" t="s">
        <v>65</v>
      </c>
      <c r="C110" s="193" t="s">
        <v>101</v>
      </c>
      <c r="D110" s="127">
        <v>29</v>
      </c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71">
        <f t="shared" si="4"/>
        <v>29</v>
      </c>
    </row>
    <row r="111" spans="1:16" ht="15" customHeight="1" x14ac:dyDescent="0.25">
      <c r="A111" s="129"/>
      <c r="B111" s="129"/>
      <c r="C111" s="194" t="s">
        <v>102</v>
      </c>
      <c r="D111" s="127">
        <v>2</v>
      </c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71">
        <f t="shared" si="4"/>
        <v>2</v>
      </c>
    </row>
    <row r="112" spans="1:16" ht="15" customHeight="1" x14ac:dyDescent="0.25">
      <c r="A112" s="129"/>
      <c r="B112" s="129"/>
      <c r="C112" s="194" t="s">
        <v>103</v>
      </c>
      <c r="D112" s="127">
        <v>2</v>
      </c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71">
        <f t="shared" si="4"/>
        <v>2</v>
      </c>
    </row>
    <row r="113" spans="1:16" ht="15" customHeight="1" x14ac:dyDescent="0.25">
      <c r="A113" s="129"/>
      <c r="B113" s="129"/>
      <c r="C113" s="194" t="s">
        <v>405</v>
      </c>
      <c r="D113" s="127">
        <v>2</v>
      </c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71">
        <f t="shared" si="4"/>
        <v>2</v>
      </c>
    </row>
    <row r="114" spans="1:16" ht="15" customHeight="1" x14ac:dyDescent="0.25">
      <c r="A114" s="129"/>
      <c r="B114" s="129"/>
      <c r="C114" s="194" t="s">
        <v>160</v>
      </c>
      <c r="D114" s="127">
        <v>8</v>
      </c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71">
        <f t="shared" si="4"/>
        <v>8</v>
      </c>
    </row>
    <row r="115" spans="1:16" ht="15" customHeight="1" x14ac:dyDescent="0.25">
      <c r="A115" s="129"/>
      <c r="B115" s="129"/>
      <c r="C115" s="194" t="s">
        <v>104</v>
      </c>
      <c r="D115" s="127">
        <v>1</v>
      </c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71">
        <f t="shared" si="4"/>
        <v>1</v>
      </c>
    </row>
    <row r="116" spans="1:16" ht="15" customHeight="1" x14ac:dyDescent="0.25">
      <c r="A116" s="129"/>
      <c r="B116" s="131"/>
      <c r="C116" s="195" t="s">
        <v>427</v>
      </c>
      <c r="D116" s="127">
        <v>1</v>
      </c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71">
        <f t="shared" si="4"/>
        <v>1</v>
      </c>
    </row>
    <row r="117" spans="1:16" ht="15" customHeight="1" x14ac:dyDescent="0.25">
      <c r="A117" s="129"/>
      <c r="B117" s="125" t="s">
        <v>22</v>
      </c>
      <c r="C117" s="193" t="s">
        <v>106</v>
      </c>
      <c r="D117" s="127">
        <v>22</v>
      </c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71">
        <f t="shared" si="4"/>
        <v>22</v>
      </c>
    </row>
    <row r="118" spans="1:16" ht="15" customHeight="1" x14ac:dyDescent="0.25">
      <c r="A118" s="129"/>
      <c r="B118" s="129"/>
      <c r="C118" s="194" t="s">
        <v>161</v>
      </c>
      <c r="D118" s="127">
        <v>2</v>
      </c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71">
        <f t="shared" si="4"/>
        <v>2</v>
      </c>
    </row>
    <row r="119" spans="1:16" ht="15" customHeight="1" x14ac:dyDescent="0.25">
      <c r="A119" s="129"/>
      <c r="B119" s="129"/>
      <c r="C119" s="194" t="s">
        <v>107</v>
      </c>
      <c r="D119" s="127">
        <v>13</v>
      </c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71">
        <f t="shared" si="4"/>
        <v>13</v>
      </c>
    </row>
    <row r="120" spans="1:16" ht="15" customHeight="1" x14ac:dyDescent="0.25">
      <c r="A120" s="129"/>
      <c r="B120" s="129"/>
      <c r="C120" s="194" t="s">
        <v>484</v>
      </c>
      <c r="D120" s="127">
        <v>8</v>
      </c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71">
        <f t="shared" si="4"/>
        <v>8</v>
      </c>
    </row>
    <row r="121" spans="1:16" ht="15" customHeight="1" x14ac:dyDescent="0.25">
      <c r="A121" s="129"/>
      <c r="B121" s="129"/>
      <c r="C121" s="194" t="s">
        <v>105</v>
      </c>
      <c r="D121" s="127">
        <v>4</v>
      </c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71">
        <f t="shared" si="4"/>
        <v>4</v>
      </c>
    </row>
    <row r="122" spans="1:16" ht="15" customHeight="1" x14ac:dyDescent="0.25">
      <c r="A122" s="129"/>
      <c r="B122" s="129"/>
      <c r="C122" s="194" t="s">
        <v>108</v>
      </c>
      <c r="D122" s="127">
        <v>5</v>
      </c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71">
        <f t="shared" si="4"/>
        <v>5</v>
      </c>
    </row>
    <row r="123" spans="1:16" ht="15" customHeight="1" x14ac:dyDescent="0.25">
      <c r="A123" s="129"/>
      <c r="B123" s="131"/>
      <c r="C123" s="195" t="s">
        <v>109</v>
      </c>
      <c r="D123" s="127">
        <v>6</v>
      </c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71">
        <f t="shared" si="4"/>
        <v>6</v>
      </c>
    </row>
    <row r="124" spans="1:16" ht="15" customHeight="1" x14ac:dyDescent="0.25">
      <c r="A124" s="129"/>
      <c r="B124" s="125" t="s">
        <v>72</v>
      </c>
      <c r="C124" s="193" t="s">
        <v>485</v>
      </c>
      <c r="D124" s="127">
        <v>1</v>
      </c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71">
        <f t="shared" si="4"/>
        <v>1</v>
      </c>
    </row>
    <row r="125" spans="1:16" ht="15" customHeight="1" x14ac:dyDescent="0.25">
      <c r="A125" s="129"/>
      <c r="B125" s="129"/>
      <c r="C125" s="194" t="s">
        <v>486</v>
      </c>
      <c r="D125" s="127">
        <v>1</v>
      </c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71">
        <f t="shared" si="4"/>
        <v>1</v>
      </c>
    </row>
    <row r="126" spans="1:16" ht="15" customHeight="1" x14ac:dyDescent="0.25">
      <c r="A126" s="129"/>
      <c r="B126" s="129"/>
      <c r="C126" s="194" t="s">
        <v>487</v>
      </c>
      <c r="D126" s="127">
        <v>1</v>
      </c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71">
        <f t="shared" si="4"/>
        <v>1</v>
      </c>
    </row>
    <row r="127" spans="1:16" ht="15" customHeight="1" x14ac:dyDescent="0.25">
      <c r="A127" s="129"/>
      <c r="B127" s="129"/>
      <c r="C127" s="194" t="s">
        <v>488</v>
      </c>
      <c r="D127" s="127">
        <v>1</v>
      </c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71">
        <f t="shared" ref="P127" si="5">SUM(D127:O127)</f>
        <v>1</v>
      </c>
    </row>
    <row r="128" spans="1:16" ht="15" customHeight="1" x14ac:dyDescent="0.25">
      <c r="A128" s="129"/>
      <c r="B128" s="131"/>
      <c r="C128" s="195" t="s">
        <v>489</v>
      </c>
      <c r="D128" s="127">
        <v>1</v>
      </c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71">
        <f t="shared" ref="P128:P150" si="6">SUM(D128:O128)</f>
        <v>1</v>
      </c>
    </row>
    <row r="129" spans="1:16" ht="15" customHeight="1" x14ac:dyDescent="0.25">
      <c r="A129" s="129"/>
      <c r="B129" s="133" t="s">
        <v>448</v>
      </c>
      <c r="C129" s="196" t="s">
        <v>562</v>
      </c>
      <c r="D129" s="127">
        <v>5</v>
      </c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71">
        <f t="shared" si="6"/>
        <v>5</v>
      </c>
    </row>
    <row r="130" spans="1:16" ht="15" customHeight="1" x14ac:dyDescent="0.25">
      <c r="A130" s="129"/>
      <c r="B130" s="125" t="s">
        <v>21</v>
      </c>
      <c r="C130" s="193" t="s">
        <v>162</v>
      </c>
      <c r="D130" s="127">
        <v>17</v>
      </c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71">
        <f t="shared" si="6"/>
        <v>17</v>
      </c>
    </row>
    <row r="131" spans="1:16" ht="15" customHeight="1" x14ac:dyDescent="0.25">
      <c r="A131" s="129"/>
      <c r="B131" s="129"/>
      <c r="C131" s="194" t="s">
        <v>110</v>
      </c>
      <c r="D131" s="127">
        <v>9</v>
      </c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71">
        <f t="shared" si="6"/>
        <v>9</v>
      </c>
    </row>
    <row r="132" spans="1:16" ht="15" customHeight="1" x14ac:dyDescent="0.25">
      <c r="A132" s="129"/>
      <c r="B132" s="129"/>
      <c r="C132" s="194" t="s">
        <v>570</v>
      </c>
      <c r="D132" s="127">
        <v>2</v>
      </c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71">
        <f t="shared" si="6"/>
        <v>2</v>
      </c>
    </row>
    <row r="133" spans="1:16" ht="15" customHeight="1" x14ac:dyDescent="0.25">
      <c r="A133" s="129"/>
      <c r="B133" s="129"/>
      <c r="C133" s="194" t="s">
        <v>112</v>
      </c>
      <c r="D133" s="127">
        <v>11</v>
      </c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71">
        <f t="shared" si="6"/>
        <v>11</v>
      </c>
    </row>
    <row r="134" spans="1:16" ht="15" customHeight="1" x14ac:dyDescent="0.25">
      <c r="A134" s="129"/>
      <c r="B134" s="129"/>
      <c r="C134" s="194" t="s">
        <v>113</v>
      </c>
      <c r="D134" s="127">
        <v>10</v>
      </c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71">
        <f t="shared" si="6"/>
        <v>10</v>
      </c>
    </row>
    <row r="135" spans="1:16" ht="15" customHeight="1" x14ac:dyDescent="0.25">
      <c r="A135" s="129"/>
      <c r="B135" s="129"/>
      <c r="C135" s="194" t="s">
        <v>310</v>
      </c>
      <c r="D135" s="127">
        <v>1</v>
      </c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71">
        <f t="shared" si="6"/>
        <v>1</v>
      </c>
    </row>
    <row r="136" spans="1:16" ht="15" customHeight="1" x14ac:dyDescent="0.25">
      <c r="A136" s="129"/>
      <c r="B136" s="129"/>
      <c r="C136" s="194" t="s">
        <v>436</v>
      </c>
      <c r="D136" s="127">
        <v>1</v>
      </c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71">
        <f t="shared" si="6"/>
        <v>1</v>
      </c>
    </row>
    <row r="137" spans="1:16" ht="15" customHeight="1" x14ac:dyDescent="0.25">
      <c r="A137" s="129"/>
      <c r="B137" s="129"/>
      <c r="C137" s="194" t="s">
        <v>571</v>
      </c>
      <c r="D137" s="127">
        <v>4</v>
      </c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71">
        <f t="shared" si="6"/>
        <v>4</v>
      </c>
    </row>
    <row r="138" spans="1:16" ht="15" customHeight="1" x14ac:dyDescent="0.25">
      <c r="A138" s="129"/>
      <c r="B138" s="131"/>
      <c r="C138" s="195" t="s">
        <v>572</v>
      </c>
      <c r="D138" s="127">
        <v>1</v>
      </c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71">
        <f t="shared" si="6"/>
        <v>1</v>
      </c>
    </row>
    <row r="139" spans="1:16" ht="15" customHeight="1" x14ac:dyDescent="0.25">
      <c r="A139" s="129"/>
      <c r="B139" s="125" t="s">
        <v>26</v>
      </c>
      <c r="C139" s="193" t="s">
        <v>553</v>
      </c>
      <c r="D139" s="127">
        <v>1</v>
      </c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71">
        <f t="shared" si="6"/>
        <v>1</v>
      </c>
    </row>
    <row r="140" spans="1:16" ht="15" customHeight="1" x14ac:dyDescent="0.25">
      <c r="A140" s="129"/>
      <c r="B140" s="129"/>
      <c r="C140" s="194" t="s">
        <v>288</v>
      </c>
      <c r="D140" s="127">
        <v>11</v>
      </c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71">
        <f t="shared" si="6"/>
        <v>11</v>
      </c>
    </row>
    <row r="141" spans="1:16" ht="15" customHeight="1" x14ac:dyDescent="0.25">
      <c r="A141" s="129"/>
      <c r="B141" s="131"/>
      <c r="C141" s="195" t="s">
        <v>385</v>
      </c>
      <c r="D141" s="127">
        <v>14</v>
      </c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71">
        <f t="shared" si="6"/>
        <v>14</v>
      </c>
    </row>
    <row r="142" spans="1:16" ht="15" customHeight="1" x14ac:dyDescent="0.25">
      <c r="A142" s="129"/>
      <c r="B142" s="125" t="s">
        <v>24</v>
      </c>
      <c r="C142" s="193" t="s">
        <v>114</v>
      </c>
      <c r="D142" s="127">
        <v>13</v>
      </c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71">
        <f t="shared" si="6"/>
        <v>13</v>
      </c>
    </row>
    <row r="143" spans="1:16" ht="15" customHeight="1" x14ac:dyDescent="0.25">
      <c r="A143" s="129"/>
      <c r="B143" s="129"/>
      <c r="C143" s="194" t="s">
        <v>115</v>
      </c>
      <c r="D143" s="127">
        <v>11</v>
      </c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71">
        <f t="shared" si="6"/>
        <v>11</v>
      </c>
    </row>
    <row r="144" spans="1:16" ht="15" customHeight="1" x14ac:dyDescent="0.25">
      <c r="A144" s="129"/>
      <c r="B144" s="129"/>
      <c r="C144" s="194" t="s">
        <v>116</v>
      </c>
      <c r="D144" s="127">
        <v>5</v>
      </c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71">
        <f t="shared" si="6"/>
        <v>5</v>
      </c>
    </row>
    <row r="145" spans="1:16" ht="15" customHeight="1" x14ac:dyDescent="0.25">
      <c r="A145" s="129"/>
      <c r="B145" s="129"/>
      <c r="C145" s="194" t="s">
        <v>117</v>
      </c>
      <c r="D145" s="127">
        <v>1</v>
      </c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71">
        <f t="shared" si="6"/>
        <v>1</v>
      </c>
    </row>
    <row r="146" spans="1:16" ht="15" customHeight="1" x14ac:dyDescent="0.25">
      <c r="A146" s="129"/>
      <c r="B146" s="129"/>
      <c r="C146" s="194" t="s">
        <v>118</v>
      </c>
      <c r="D146" s="127">
        <v>7</v>
      </c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71">
        <f t="shared" si="6"/>
        <v>7</v>
      </c>
    </row>
    <row r="147" spans="1:16" ht="15" customHeight="1" x14ac:dyDescent="0.25">
      <c r="A147" s="129"/>
      <c r="B147" s="129"/>
      <c r="C147" s="194" t="s">
        <v>119</v>
      </c>
      <c r="D147" s="127">
        <v>15</v>
      </c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71">
        <f t="shared" si="6"/>
        <v>15</v>
      </c>
    </row>
    <row r="148" spans="1:16" ht="15" customHeight="1" x14ac:dyDescent="0.25">
      <c r="A148" s="129"/>
      <c r="B148" s="129"/>
      <c r="C148" s="194" t="s">
        <v>120</v>
      </c>
      <c r="D148" s="127">
        <v>30</v>
      </c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71">
        <f t="shared" si="6"/>
        <v>30</v>
      </c>
    </row>
    <row r="149" spans="1:16" ht="15" customHeight="1" x14ac:dyDescent="0.25">
      <c r="A149" s="129"/>
      <c r="B149" s="129"/>
      <c r="C149" s="194" t="s">
        <v>357</v>
      </c>
      <c r="D149" s="127">
        <v>2</v>
      </c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71">
        <f t="shared" si="6"/>
        <v>2</v>
      </c>
    </row>
    <row r="150" spans="1:16" ht="15" customHeight="1" x14ac:dyDescent="0.25">
      <c r="A150" s="129"/>
      <c r="B150" s="129"/>
      <c r="C150" s="194" t="s">
        <v>121</v>
      </c>
      <c r="D150" s="127">
        <v>7</v>
      </c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71">
        <f t="shared" si="6"/>
        <v>7</v>
      </c>
    </row>
    <row r="151" spans="1:16" ht="15" customHeight="1" x14ac:dyDescent="0.25">
      <c r="A151" s="129"/>
      <c r="B151" s="131"/>
      <c r="C151" s="195" t="s">
        <v>122</v>
      </c>
      <c r="D151" s="127">
        <v>13</v>
      </c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71">
        <f t="shared" si="4"/>
        <v>13</v>
      </c>
    </row>
    <row r="152" spans="1:16" ht="15" customHeight="1" x14ac:dyDescent="0.25">
      <c r="A152" s="129"/>
      <c r="B152" s="125" t="s">
        <v>45</v>
      </c>
      <c r="C152" s="193" t="s">
        <v>573</v>
      </c>
      <c r="D152" s="127">
        <v>1</v>
      </c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71">
        <f t="shared" si="4"/>
        <v>1</v>
      </c>
    </row>
    <row r="153" spans="1:16" ht="15" customHeight="1" x14ac:dyDescent="0.25">
      <c r="A153" s="129"/>
      <c r="B153" s="129"/>
      <c r="C153" s="194" t="s">
        <v>327</v>
      </c>
      <c r="D153" s="127">
        <v>3</v>
      </c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71">
        <f t="shared" ref="P153:P300" si="7">SUM(D153:O153)</f>
        <v>3</v>
      </c>
    </row>
    <row r="154" spans="1:16" ht="15" customHeight="1" x14ac:dyDescent="0.25">
      <c r="A154" s="129"/>
      <c r="B154" s="129"/>
      <c r="C154" s="194" t="s">
        <v>328</v>
      </c>
      <c r="D154" s="127">
        <v>1</v>
      </c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71">
        <f t="shared" si="7"/>
        <v>1</v>
      </c>
    </row>
    <row r="155" spans="1:16" ht="15" customHeight="1" x14ac:dyDescent="0.25">
      <c r="A155" s="129"/>
      <c r="B155" s="131"/>
      <c r="C155" s="195" t="s">
        <v>574</v>
      </c>
      <c r="D155" s="127">
        <v>7</v>
      </c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71">
        <f t="shared" si="7"/>
        <v>7</v>
      </c>
    </row>
    <row r="156" spans="1:16" ht="15" customHeight="1" x14ac:dyDescent="0.25">
      <c r="A156" s="129"/>
      <c r="B156" s="133" t="s">
        <v>449</v>
      </c>
      <c r="C156" s="196" t="s">
        <v>491</v>
      </c>
      <c r="D156" s="127">
        <v>2</v>
      </c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71">
        <f t="shared" si="7"/>
        <v>2</v>
      </c>
    </row>
    <row r="157" spans="1:16" ht="15" customHeight="1" x14ac:dyDescent="0.25">
      <c r="A157" s="129"/>
      <c r="B157" s="125" t="s">
        <v>29</v>
      </c>
      <c r="C157" s="193" t="s">
        <v>123</v>
      </c>
      <c r="D157" s="127">
        <v>13</v>
      </c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71">
        <f t="shared" si="7"/>
        <v>13</v>
      </c>
    </row>
    <row r="158" spans="1:16" ht="15" customHeight="1" x14ac:dyDescent="0.25">
      <c r="A158" s="129"/>
      <c r="B158" s="129"/>
      <c r="C158" s="194" t="s">
        <v>492</v>
      </c>
      <c r="D158" s="127">
        <v>2</v>
      </c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71">
        <f t="shared" si="7"/>
        <v>2</v>
      </c>
    </row>
    <row r="159" spans="1:16" ht="15" customHeight="1" x14ac:dyDescent="0.25">
      <c r="A159" s="129"/>
      <c r="B159" s="129"/>
      <c r="C159" s="194" t="s">
        <v>124</v>
      </c>
      <c r="D159" s="127">
        <v>5</v>
      </c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71">
        <f t="shared" si="7"/>
        <v>5</v>
      </c>
    </row>
    <row r="160" spans="1:16" ht="15" customHeight="1" x14ac:dyDescent="0.25">
      <c r="A160" s="129"/>
      <c r="B160" s="129"/>
      <c r="C160" s="194" t="s">
        <v>125</v>
      </c>
      <c r="D160" s="127">
        <v>7</v>
      </c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71">
        <f t="shared" si="7"/>
        <v>7</v>
      </c>
    </row>
    <row r="161" spans="1:16" ht="15" customHeight="1" x14ac:dyDescent="0.25">
      <c r="A161" s="129"/>
      <c r="B161" s="129"/>
      <c r="C161" s="194" t="s">
        <v>126</v>
      </c>
      <c r="D161" s="127">
        <v>4</v>
      </c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71">
        <f t="shared" si="7"/>
        <v>4</v>
      </c>
    </row>
    <row r="162" spans="1:16" ht="15" customHeight="1" x14ac:dyDescent="0.25">
      <c r="A162" s="129"/>
      <c r="B162" s="129"/>
      <c r="C162" s="194" t="s">
        <v>493</v>
      </c>
      <c r="D162" s="127">
        <v>1</v>
      </c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71">
        <f t="shared" si="7"/>
        <v>1</v>
      </c>
    </row>
    <row r="163" spans="1:16" ht="15" customHeight="1" x14ac:dyDescent="0.25">
      <c r="A163" s="129"/>
      <c r="B163" s="129"/>
      <c r="C163" s="194" t="s">
        <v>494</v>
      </c>
      <c r="D163" s="127">
        <v>2</v>
      </c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71">
        <f t="shared" si="7"/>
        <v>2</v>
      </c>
    </row>
    <row r="164" spans="1:16" ht="15" customHeight="1" x14ac:dyDescent="0.25">
      <c r="A164" s="129"/>
      <c r="B164" s="129"/>
      <c r="C164" s="194" t="s">
        <v>163</v>
      </c>
      <c r="D164" s="127">
        <v>8</v>
      </c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71">
        <f t="shared" si="7"/>
        <v>8</v>
      </c>
    </row>
    <row r="165" spans="1:16" ht="15" customHeight="1" x14ac:dyDescent="0.25">
      <c r="A165" s="129"/>
      <c r="B165" s="129"/>
      <c r="C165" s="194" t="s">
        <v>311</v>
      </c>
      <c r="D165" s="127">
        <v>1</v>
      </c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71">
        <f t="shared" si="7"/>
        <v>1</v>
      </c>
    </row>
    <row r="166" spans="1:16" ht="15" customHeight="1" x14ac:dyDescent="0.25">
      <c r="A166" s="129"/>
      <c r="B166" s="131"/>
      <c r="C166" s="195" t="s">
        <v>497</v>
      </c>
      <c r="D166" s="127">
        <v>1</v>
      </c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71">
        <f t="shared" si="7"/>
        <v>1</v>
      </c>
    </row>
    <row r="167" spans="1:16" ht="15" customHeight="1" x14ac:dyDescent="0.25">
      <c r="A167" s="129"/>
      <c r="B167" s="125" t="s">
        <v>451</v>
      </c>
      <c r="C167" s="193" t="s">
        <v>544</v>
      </c>
      <c r="D167" s="127">
        <v>1</v>
      </c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71">
        <f t="shared" si="7"/>
        <v>1</v>
      </c>
    </row>
    <row r="168" spans="1:16" ht="15" customHeight="1" x14ac:dyDescent="0.25">
      <c r="A168" s="129"/>
      <c r="B168" s="133" t="s">
        <v>455</v>
      </c>
      <c r="C168" s="196" t="s">
        <v>498</v>
      </c>
      <c r="D168" s="127">
        <v>1</v>
      </c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71">
        <f t="shared" si="7"/>
        <v>1</v>
      </c>
    </row>
    <row r="169" spans="1:16" ht="15" customHeight="1" x14ac:dyDescent="0.25">
      <c r="A169" s="129"/>
      <c r="B169" s="125" t="s">
        <v>39</v>
      </c>
      <c r="C169" s="193" t="s">
        <v>285</v>
      </c>
      <c r="D169" s="127">
        <v>9</v>
      </c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71">
        <f t="shared" si="7"/>
        <v>9</v>
      </c>
    </row>
    <row r="170" spans="1:16" ht="15" customHeight="1" x14ac:dyDescent="0.25">
      <c r="A170" s="129"/>
      <c r="B170" s="131"/>
      <c r="C170" s="195" t="s">
        <v>499</v>
      </c>
      <c r="D170" s="127">
        <v>1</v>
      </c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71">
        <f t="shared" si="7"/>
        <v>1</v>
      </c>
    </row>
    <row r="171" spans="1:16" ht="15" customHeight="1" x14ac:dyDescent="0.25">
      <c r="A171" s="129"/>
      <c r="B171" s="125" t="s">
        <v>32</v>
      </c>
      <c r="C171" s="193" t="s">
        <v>165</v>
      </c>
      <c r="D171" s="127">
        <v>18</v>
      </c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71">
        <f t="shared" si="7"/>
        <v>18</v>
      </c>
    </row>
    <row r="172" spans="1:16" ht="15" customHeight="1" x14ac:dyDescent="0.25">
      <c r="A172" s="129"/>
      <c r="B172" s="131"/>
      <c r="C172" s="195" t="s">
        <v>166</v>
      </c>
      <c r="D172" s="127">
        <v>1</v>
      </c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71">
        <f t="shared" si="7"/>
        <v>1</v>
      </c>
    </row>
    <row r="173" spans="1:16" ht="15" customHeight="1" x14ac:dyDescent="0.25">
      <c r="A173" s="129"/>
      <c r="B173" s="125" t="s">
        <v>47</v>
      </c>
      <c r="C173" s="193" t="s">
        <v>313</v>
      </c>
      <c r="D173" s="127">
        <v>1</v>
      </c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71">
        <f t="shared" si="7"/>
        <v>1</v>
      </c>
    </row>
    <row r="174" spans="1:16" ht="15" customHeight="1" x14ac:dyDescent="0.25">
      <c r="A174" s="129"/>
      <c r="B174" s="129"/>
      <c r="C174" s="194" t="s">
        <v>358</v>
      </c>
      <c r="D174" s="127">
        <v>2</v>
      </c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71">
        <f t="shared" si="7"/>
        <v>2</v>
      </c>
    </row>
    <row r="175" spans="1:16" ht="15" customHeight="1" x14ac:dyDescent="0.25">
      <c r="A175" s="129"/>
      <c r="B175" s="131"/>
      <c r="C175" s="195" t="s">
        <v>502</v>
      </c>
      <c r="D175" s="127">
        <v>1</v>
      </c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71">
        <f t="shared" si="7"/>
        <v>1</v>
      </c>
    </row>
    <row r="176" spans="1:16" ht="15" customHeight="1" x14ac:dyDescent="0.25">
      <c r="A176" s="129"/>
      <c r="B176" s="133" t="s">
        <v>42</v>
      </c>
      <c r="C176" s="196" t="s">
        <v>322</v>
      </c>
      <c r="D176" s="127">
        <v>20</v>
      </c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71">
        <f t="shared" si="7"/>
        <v>20</v>
      </c>
    </row>
    <row r="177" spans="1:16" ht="15" customHeight="1" x14ac:dyDescent="0.25">
      <c r="A177" s="129"/>
      <c r="B177" s="125" t="s">
        <v>33</v>
      </c>
      <c r="C177" s="193" t="s">
        <v>575</v>
      </c>
      <c r="D177" s="127">
        <v>1</v>
      </c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71">
        <f t="shared" si="7"/>
        <v>1</v>
      </c>
    </row>
    <row r="178" spans="1:16" ht="15" customHeight="1" x14ac:dyDescent="0.25">
      <c r="A178" s="129"/>
      <c r="B178" s="129"/>
      <c r="C178" s="194" t="s">
        <v>576</v>
      </c>
      <c r="D178" s="127">
        <v>3</v>
      </c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71">
        <f t="shared" si="7"/>
        <v>3</v>
      </c>
    </row>
    <row r="179" spans="1:16" ht="15" customHeight="1" x14ac:dyDescent="0.25">
      <c r="A179" s="129"/>
      <c r="B179" s="129"/>
      <c r="C179" s="194" t="s">
        <v>577</v>
      </c>
      <c r="D179" s="127">
        <v>3</v>
      </c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71">
        <f t="shared" si="7"/>
        <v>3</v>
      </c>
    </row>
    <row r="180" spans="1:16" ht="15" customHeight="1" x14ac:dyDescent="0.25">
      <c r="A180" s="129"/>
      <c r="B180" s="129"/>
      <c r="C180" s="194" t="s">
        <v>578</v>
      </c>
      <c r="D180" s="127">
        <v>2</v>
      </c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71">
        <f t="shared" si="7"/>
        <v>2</v>
      </c>
    </row>
    <row r="181" spans="1:16" ht="15" customHeight="1" x14ac:dyDescent="0.25">
      <c r="A181" s="129"/>
      <c r="B181" s="131"/>
      <c r="C181" s="195" t="s">
        <v>579</v>
      </c>
      <c r="D181" s="127">
        <v>2</v>
      </c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71">
        <f t="shared" si="7"/>
        <v>2</v>
      </c>
    </row>
    <row r="182" spans="1:16" ht="15" customHeight="1" x14ac:dyDescent="0.25">
      <c r="A182" s="129"/>
      <c r="B182" s="133" t="s">
        <v>71</v>
      </c>
      <c r="C182" s="196" t="s">
        <v>429</v>
      </c>
      <c r="D182" s="127">
        <v>1</v>
      </c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71">
        <f t="shared" si="7"/>
        <v>1</v>
      </c>
    </row>
    <row r="183" spans="1:16" ht="15" customHeight="1" x14ac:dyDescent="0.25">
      <c r="A183" s="129"/>
      <c r="B183" s="125" t="s">
        <v>447</v>
      </c>
      <c r="C183" s="193" t="s">
        <v>580</v>
      </c>
      <c r="D183" s="127">
        <v>4</v>
      </c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71">
        <f t="shared" si="7"/>
        <v>4</v>
      </c>
    </row>
    <row r="184" spans="1:16" ht="15" customHeight="1" x14ac:dyDescent="0.25">
      <c r="A184" s="129"/>
      <c r="B184" s="131"/>
      <c r="C184" s="195" t="s">
        <v>581</v>
      </c>
      <c r="D184" s="127">
        <v>1</v>
      </c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71">
        <f t="shared" si="7"/>
        <v>1</v>
      </c>
    </row>
    <row r="185" spans="1:16" ht="15" customHeight="1" x14ac:dyDescent="0.25">
      <c r="A185" s="129"/>
      <c r="B185" s="125" t="s">
        <v>19</v>
      </c>
      <c r="C185" s="193" t="s">
        <v>128</v>
      </c>
      <c r="D185" s="127">
        <v>3</v>
      </c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71">
        <f t="shared" si="7"/>
        <v>3</v>
      </c>
    </row>
    <row r="186" spans="1:16" ht="15" customHeight="1" x14ac:dyDescent="0.25">
      <c r="A186" s="129"/>
      <c r="B186" s="129"/>
      <c r="C186" s="194" t="s">
        <v>169</v>
      </c>
      <c r="D186" s="127">
        <v>2</v>
      </c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71">
        <f t="shared" si="7"/>
        <v>2</v>
      </c>
    </row>
    <row r="187" spans="1:16" ht="15" customHeight="1" x14ac:dyDescent="0.25">
      <c r="A187" s="129"/>
      <c r="B187" s="129"/>
      <c r="C187" s="194" t="s">
        <v>504</v>
      </c>
      <c r="D187" s="127">
        <v>1</v>
      </c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71">
        <f t="shared" si="7"/>
        <v>1</v>
      </c>
    </row>
    <row r="188" spans="1:16" ht="15" customHeight="1" x14ac:dyDescent="0.25">
      <c r="A188" s="129"/>
      <c r="B188" s="129"/>
      <c r="C188" s="194" t="s">
        <v>129</v>
      </c>
      <c r="D188" s="127">
        <v>6</v>
      </c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71">
        <f t="shared" si="7"/>
        <v>6</v>
      </c>
    </row>
    <row r="189" spans="1:16" ht="15" customHeight="1" x14ac:dyDescent="0.25">
      <c r="A189" s="129"/>
      <c r="B189" s="129"/>
      <c r="C189" s="194" t="s">
        <v>130</v>
      </c>
      <c r="D189" s="127">
        <v>1</v>
      </c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71">
        <f t="shared" si="7"/>
        <v>1</v>
      </c>
    </row>
    <row r="190" spans="1:16" ht="15" customHeight="1" x14ac:dyDescent="0.25">
      <c r="A190" s="129"/>
      <c r="B190" s="129"/>
      <c r="C190" s="194" t="s">
        <v>131</v>
      </c>
      <c r="D190" s="127">
        <v>6</v>
      </c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71">
        <f t="shared" si="7"/>
        <v>6</v>
      </c>
    </row>
    <row r="191" spans="1:16" ht="15" customHeight="1" x14ac:dyDescent="0.25">
      <c r="A191" s="129"/>
      <c r="B191" s="129"/>
      <c r="C191" s="194" t="s">
        <v>314</v>
      </c>
      <c r="D191" s="127">
        <v>2</v>
      </c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71">
        <f t="shared" si="7"/>
        <v>2</v>
      </c>
    </row>
    <row r="192" spans="1:16" ht="15" customHeight="1" x14ac:dyDescent="0.25">
      <c r="A192" s="129"/>
      <c r="B192" s="129"/>
      <c r="C192" s="194" t="s">
        <v>132</v>
      </c>
      <c r="D192" s="127">
        <v>1</v>
      </c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71">
        <f t="shared" si="7"/>
        <v>1</v>
      </c>
    </row>
    <row r="193" spans="1:16" ht="15" customHeight="1" x14ac:dyDescent="0.25">
      <c r="A193" s="129"/>
      <c r="B193" s="129"/>
      <c r="C193" s="194" t="s">
        <v>390</v>
      </c>
      <c r="D193" s="127">
        <v>33</v>
      </c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71">
        <f t="shared" si="7"/>
        <v>33</v>
      </c>
    </row>
    <row r="194" spans="1:16" ht="15" customHeight="1" x14ac:dyDescent="0.25">
      <c r="A194" s="129"/>
      <c r="B194" s="129"/>
      <c r="C194" s="194" t="s">
        <v>133</v>
      </c>
      <c r="D194" s="127">
        <v>3</v>
      </c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71">
        <f t="shared" si="7"/>
        <v>3</v>
      </c>
    </row>
    <row r="195" spans="1:16" ht="15" customHeight="1" x14ac:dyDescent="0.25">
      <c r="A195" s="129"/>
      <c r="B195" s="129"/>
      <c r="C195" s="194" t="s">
        <v>134</v>
      </c>
      <c r="D195" s="127">
        <v>4</v>
      </c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71">
        <f t="shared" si="7"/>
        <v>4</v>
      </c>
    </row>
    <row r="196" spans="1:16" ht="15" customHeight="1" x14ac:dyDescent="0.25">
      <c r="A196" s="129"/>
      <c r="B196" s="129"/>
      <c r="C196" s="194" t="s">
        <v>583</v>
      </c>
      <c r="D196" s="127">
        <v>2</v>
      </c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71">
        <f t="shared" si="7"/>
        <v>2</v>
      </c>
    </row>
    <row r="197" spans="1:16" ht="15" customHeight="1" x14ac:dyDescent="0.25">
      <c r="A197" s="129"/>
      <c r="B197" s="129"/>
      <c r="C197" s="194" t="s">
        <v>503</v>
      </c>
      <c r="D197" s="127">
        <v>1</v>
      </c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71">
        <f t="shared" si="7"/>
        <v>1</v>
      </c>
    </row>
    <row r="198" spans="1:16" ht="15" customHeight="1" x14ac:dyDescent="0.25">
      <c r="A198" s="129"/>
      <c r="B198" s="129"/>
      <c r="C198" s="194" t="s">
        <v>315</v>
      </c>
      <c r="D198" s="127">
        <v>1</v>
      </c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71">
        <f t="shared" si="7"/>
        <v>1</v>
      </c>
    </row>
    <row r="199" spans="1:16" ht="15" customHeight="1" x14ac:dyDescent="0.25">
      <c r="A199" s="129"/>
      <c r="B199" s="129"/>
      <c r="C199" s="194" t="s">
        <v>366</v>
      </c>
      <c r="D199" s="127">
        <v>5</v>
      </c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71">
        <f t="shared" si="7"/>
        <v>5</v>
      </c>
    </row>
    <row r="200" spans="1:16" ht="15" customHeight="1" x14ac:dyDescent="0.25">
      <c r="A200" s="129"/>
      <c r="B200" s="129"/>
      <c r="C200" s="194" t="s">
        <v>584</v>
      </c>
      <c r="D200" s="127">
        <v>1</v>
      </c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71">
        <f t="shared" si="7"/>
        <v>1</v>
      </c>
    </row>
    <row r="201" spans="1:16" ht="15" customHeight="1" x14ac:dyDescent="0.25">
      <c r="A201" s="129"/>
      <c r="B201" s="129"/>
      <c r="C201" s="194" t="s">
        <v>283</v>
      </c>
      <c r="D201" s="127">
        <v>3</v>
      </c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71">
        <f t="shared" si="7"/>
        <v>3</v>
      </c>
    </row>
    <row r="202" spans="1:16" ht="15" customHeight="1" x14ac:dyDescent="0.25">
      <c r="A202" s="129"/>
      <c r="B202" s="129"/>
      <c r="C202" s="194" t="s">
        <v>323</v>
      </c>
      <c r="D202" s="127">
        <v>1</v>
      </c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71">
        <f t="shared" si="7"/>
        <v>1</v>
      </c>
    </row>
    <row r="203" spans="1:16" ht="15" customHeight="1" x14ac:dyDescent="0.25">
      <c r="A203" s="129"/>
      <c r="B203" s="129"/>
      <c r="C203" s="194" t="s">
        <v>582</v>
      </c>
      <c r="D203" s="127">
        <v>1</v>
      </c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71">
        <f t="shared" si="7"/>
        <v>1</v>
      </c>
    </row>
    <row r="204" spans="1:16" ht="15" customHeight="1" x14ac:dyDescent="0.25">
      <c r="A204" s="129"/>
      <c r="B204" s="129"/>
      <c r="C204" s="194" t="s">
        <v>316</v>
      </c>
      <c r="D204" s="127">
        <v>1</v>
      </c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71">
        <f t="shared" si="7"/>
        <v>1</v>
      </c>
    </row>
    <row r="205" spans="1:16" ht="15" customHeight="1" x14ac:dyDescent="0.25">
      <c r="A205" s="129"/>
      <c r="B205" s="129"/>
      <c r="C205" s="194" t="s">
        <v>585</v>
      </c>
      <c r="D205" s="127">
        <v>7</v>
      </c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71">
        <f t="shared" si="7"/>
        <v>7</v>
      </c>
    </row>
    <row r="206" spans="1:16" ht="15" customHeight="1" x14ac:dyDescent="0.25">
      <c r="A206" s="129"/>
      <c r="B206" s="129"/>
      <c r="C206" s="194" t="s">
        <v>586</v>
      </c>
      <c r="D206" s="127">
        <v>12</v>
      </c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71">
        <f t="shared" si="7"/>
        <v>12</v>
      </c>
    </row>
    <row r="207" spans="1:16" ht="15" customHeight="1" x14ac:dyDescent="0.25">
      <c r="A207" s="129"/>
      <c r="B207" s="129"/>
      <c r="C207" s="194" t="s">
        <v>505</v>
      </c>
      <c r="D207" s="127">
        <v>14</v>
      </c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71">
        <f t="shared" si="7"/>
        <v>14</v>
      </c>
    </row>
    <row r="208" spans="1:16" ht="15" customHeight="1" x14ac:dyDescent="0.25">
      <c r="A208" s="129"/>
      <c r="B208" s="131"/>
      <c r="C208" s="195" t="s">
        <v>587</v>
      </c>
      <c r="D208" s="127">
        <v>1</v>
      </c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71">
        <f t="shared" si="7"/>
        <v>1</v>
      </c>
    </row>
    <row r="209" spans="1:16" ht="15" customHeight="1" x14ac:dyDescent="0.25">
      <c r="A209" s="129"/>
      <c r="B209" s="125" t="s">
        <v>452</v>
      </c>
      <c r="C209" s="193" t="s">
        <v>609</v>
      </c>
      <c r="D209" s="127">
        <v>1</v>
      </c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71">
        <f t="shared" si="7"/>
        <v>1</v>
      </c>
    </row>
    <row r="210" spans="1:16" ht="15" customHeight="1" x14ac:dyDescent="0.25">
      <c r="A210" s="129"/>
      <c r="B210" s="133" t="s">
        <v>301</v>
      </c>
      <c r="C210" s="196" t="s">
        <v>608</v>
      </c>
      <c r="D210" s="127">
        <v>1</v>
      </c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71">
        <f t="shared" si="7"/>
        <v>1</v>
      </c>
    </row>
    <row r="211" spans="1:16" ht="15" customHeight="1" x14ac:dyDescent="0.25">
      <c r="A211" s="129"/>
      <c r="B211" s="125" t="s">
        <v>25</v>
      </c>
      <c r="C211" s="193" t="s">
        <v>506</v>
      </c>
      <c r="D211" s="127">
        <v>1</v>
      </c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71">
        <f t="shared" si="7"/>
        <v>1</v>
      </c>
    </row>
    <row r="212" spans="1:16" ht="15" customHeight="1" x14ac:dyDescent="0.25">
      <c r="A212" s="129"/>
      <c r="B212" s="129"/>
      <c r="C212" s="194" t="s">
        <v>507</v>
      </c>
      <c r="D212" s="127">
        <v>2</v>
      </c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71">
        <f t="shared" si="7"/>
        <v>2</v>
      </c>
    </row>
    <row r="213" spans="1:16" ht="15" customHeight="1" x14ac:dyDescent="0.25">
      <c r="A213" s="129"/>
      <c r="B213" s="129"/>
      <c r="C213" s="194" t="s">
        <v>510</v>
      </c>
      <c r="D213" s="127">
        <v>1</v>
      </c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71">
        <f t="shared" si="7"/>
        <v>1</v>
      </c>
    </row>
    <row r="214" spans="1:16" ht="15" customHeight="1" x14ac:dyDescent="0.25">
      <c r="A214" s="129"/>
      <c r="B214" s="129"/>
      <c r="C214" s="194" t="s">
        <v>135</v>
      </c>
      <c r="D214" s="127">
        <v>3</v>
      </c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71">
        <f t="shared" si="7"/>
        <v>3</v>
      </c>
    </row>
    <row r="215" spans="1:16" ht="15" customHeight="1" x14ac:dyDescent="0.25">
      <c r="A215" s="129"/>
      <c r="B215" s="129"/>
      <c r="C215" s="194" t="s">
        <v>363</v>
      </c>
      <c r="D215" s="127">
        <v>1</v>
      </c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71">
        <f t="shared" si="7"/>
        <v>1</v>
      </c>
    </row>
    <row r="216" spans="1:16" ht="15" customHeight="1" x14ac:dyDescent="0.25">
      <c r="A216" s="129"/>
      <c r="B216" s="129"/>
      <c r="C216" s="194" t="s">
        <v>511</v>
      </c>
      <c r="D216" s="127">
        <v>3</v>
      </c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71">
        <f t="shared" si="7"/>
        <v>3</v>
      </c>
    </row>
    <row r="217" spans="1:16" ht="15" customHeight="1" x14ac:dyDescent="0.25">
      <c r="A217" s="129"/>
      <c r="B217" s="129"/>
      <c r="C217" s="194" t="s">
        <v>152</v>
      </c>
      <c r="D217" s="127">
        <v>29</v>
      </c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71">
        <f t="shared" si="7"/>
        <v>29</v>
      </c>
    </row>
    <row r="218" spans="1:16" ht="15" customHeight="1" x14ac:dyDescent="0.25">
      <c r="A218" s="129"/>
      <c r="B218" s="129"/>
      <c r="C218" s="194" t="s">
        <v>388</v>
      </c>
      <c r="D218" s="127">
        <v>12</v>
      </c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71">
        <f t="shared" si="7"/>
        <v>12</v>
      </c>
    </row>
    <row r="219" spans="1:16" ht="15" customHeight="1" x14ac:dyDescent="0.25">
      <c r="A219" s="129"/>
      <c r="B219" s="129"/>
      <c r="C219" s="194" t="s">
        <v>512</v>
      </c>
      <c r="D219" s="127">
        <v>2</v>
      </c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71">
        <f t="shared" si="7"/>
        <v>2</v>
      </c>
    </row>
    <row r="220" spans="1:16" ht="15" customHeight="1" x14ac:dyDescent="0.25">
      <c r="A220" s="129"/>
      <c r="B220" s="129"/>
      <c r="C220" s="194" t="s">
        <v>509</v>
      </c>
      <c r="D220" s="127">
        <v>2</v>
      </c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71">
        <f t="shared" si="7"/>
        <v>2</v>
      </c>
    </row>
    <row r="221" spans="1:16" ht="15" customHeight="1" x14ac:dyDescent="0.25">
      <c r="A221" s="129"/>
      <c r="B221" s="129"/>
      <c r="C221" s="194" t="s">
        <v>324</v>
      </c>
      <c r="D221" s="127">
        <v>3</v>
      </c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71">
        <f t="shared" si="7"/>
        <v>3</v>
      </c>
    </row>
    <row r="222" spans="1:16" ht="15" customHeight="1" x14ac:dyDescent="0.25">
      <c r="A222" s="129"/>
      <c r="B222" s="129"/>
      <c r="C222" s="194" t="s">
        <v>362</v>
      </c>
      <c r="D222" s="127">
        <v>2</v>
      </c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71">
        <f t="shared" si="7"/>
        <v>2</v>
      </c>
    </row>
    <row r="223" spans="1:16" ht="15" customHeight="1" x14ac:dyDescent="0.25">
      <c r="A223" s="129"/>
      <c r="B223" s="129"/>
      <c r="C223" s="194" t="s">
        <v>588</v>
      </c>
      <c r="D223" s="127">
        <v>5</v>
      </c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71">
        <f t="shared" si="7"/>
        <v>5</v>
      </c>
    </row>
    <row r="224" spans="1:16" ht="15" customHeight="1" x14ac:dyDescent="0.25">
      <c r="A224" s="129"/>
      <c r="B224" s="129"/>
      <c r="C224" s="194" t="s">
        <v>361</v>
      </c>
      <c r="D224" s="127">
        <v>14</v>
      </c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71">
        <f t="shared" si="7"/>
        <v>14</v>
      </c>
    </row>
    <row r="225" spans="1:16" ht="15" customHeight="1" x14ac:dyDescent="0.25">
      <c r="A225" s="129"/>
      <c r="B225" s="129"/>
      <c r="C225" s="194" t="s">
        <v>508</v>
      </c>
      <c r="D225" s="127">
        <v>6</v>
      </c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71">
        <f t="shared" si="7"/>
        <v>6</v>
      </c>
    </row>
    <row r="226" spans="1:16" ht="15" customHeight="1" x14ac:dyDescent="0.25">
      <c r="A226" s="129"/>
      <c r="B226" s="129"/>
      <c r="C226" s="194" t="s">
        <v>153</v>
      </c>
      <c r="D226" s="127">
        <v>1</v>
      </c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71">
        <f t="shared" si="7"/>
        <v>1</v>
      </c>
    </row>
    <row r="227" spans="1:16" ht="15" customHeight="1" x14ac:dyDescent="0.25">
      <c r="A227" s="129"/>
      <c r="B227" s="129"/>
      <c r="C227" s="194" t="s">
        <v>154</v>
      </c>
      <c r="D227" s="127">
        <v>13</v>
      </c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71">
        <f t="shared" si="7"/>
        <v>13</v>
      </c>
    </row>
    <row r="228" spans="1:16" ht="15" customHeight="1" x14ac:dyDescent="0.25">
      <c r="A228" s="129"/>
      <c r="B228" s="129"/>
      <c r="C228" s="194" t="s">
        <v>513</v>
      </c>
      <c r="D228" s="127">
        <v>1</v>
      </c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71">
        <f t="shared" si="7"/>
        <v>1</v>
      </c>
    </row>
    <row r="229" spans="1:16" ht="15" customHeight="1" x14ac:dyDescent="0.25">
      <c r="A229" s="129"/>
      <c r="B229" s="129"/>
      <c r="C229" s="194" t="s">
        <v>555</v>
      </c>
      <c r="D229" s="127">
        <v>13</v>
      </c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71">
        <f t="shared" si="7"/>
        <v>13</v>
      </c>
    </row>
    <row r="230" spans="1:16" ht="15" customHeight="1" x14ac:dyDescent="0.25">
      <c r="A230" s="129"/>
      <c r="B230" s="129"/>
      <c r="C230" s="194" t="s">
        <v>406</v>
      </c>
      <c r="D230" s="127">
        <v>10</v>
      </c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71">
        <f t="shared" si="7"/>
        <v>10</v>
      </c>
    </row>
    <row r="231" spans="1:16" ht="15" customHeight="1" x14ac:dyDescent="0.25">
      <c r="A231" s="129"/>
      <c r="B231" s="129"/>
      <c r="C231" s="194" t="s">
        <v>589</v>
      </c>
      <c r="D231" s="127">
        <v>2</v>
      </c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71">
        <f t="shared" si="7"/>
        <v>2</v>
      </c>
    </row>
    <row r="232" spans="1:16" ht="15" customHeight="1" x14ac:dyDescent="0.25">
      <c r="A232" s="129"/>
      <c r="B232" s="129"/>
      <c r="C232" s="194" t="s">
        <v>590</v>
      </c>
      <c r="D232" s="127">
        <v>1</v>
      </c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71">
        <f t="shared" si="7"/>
        <v>1</v>
      </c>
    </row>
    <row r="233" spans="1:16" ht="15" customHeight="1" x14ac:dyDescent="0.25">
      <c r="A233" s="129"/>
      <c r="B233" s="129"/>
      <c r="C233" s="194" t="s">
        <v>556</v>
      </c>
      <c r="D233" s="127">
        <v>3</v>
      </c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71">
        <f t="shared" si="7"/>
        <v>3</v>
      </c>
    </row>
    <row r="234" spans="1:16" ht="15" customHeight="1" x14ac:dyDescent="0.25">
      <c r="A234" s="129"/>
      <c r="B234" s="131"/>
      <c r="C234" s="195" t="s">
        <v>557</v>
      </c>
      <c r="D234" s="127">
        <v>2</v>
      </c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71">
        <f t="shared" si="7"/>
        <v>2</v>
      </c>
    </row>
    <row r="235" spans="1:16" ht="15" customHeight="1" x14ac:dyDescent="0.25">
      <c r="A235" s="129"/>
      <c r="B235" s="125" t="s">
        <v>31</v>
      </c>
      <c r="C235" s="193" t="s">
        <v>289</v>
      </c>
      <c r="D235" s="127">
        <v>4</v>
      </c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71">
        <f t="shared" si="7"/>
        <v>4</v>
      </c>
    </row>
    <row r="236" spans="1:16" ht="15" customHeight="1" x14ac:dyDescent="0.25">
      <c r="A236" s="129"/>
      <c r="B236" s="129"/>
      <c r="C236" s="194" t="s">
        <v>386</v>
      </c>
      <c r="D236" s="127">
        <v>2</v>
      </c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71">
        <f t="shared" si="7"/>
        <v>2</v>
      </c>
    </row>
    <row r="237" spans="1:16" ht="15" customHeight="1" x14ac:dyDescent="0.25">
      <c r="A237" s="129"/>
      <c r="B237" s="129"/>
      <c r="C237" s="194" t="s">
        <v>514</v>
      </c>
      <c r="D237" s="127">
        <v>1</v>
      </c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71">
        <f t="shared" si="7"/>
        <v>1</v>
      </c>
    </row>
    <row r="238" spans="1:16" ht="15" customHeight="1" x14ac:dyDescent="0.25">
      <c r="A238" s="129"/>
      <c r="B238" s="129"/>
      <c r="C238" s="194" t="s">
        <v>515</v>
      </c>
      <c r="D238" s="127">
        <v>1</v>
      </c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71">
        <f t="shared" si="7"/>
        <v>1</v>
      </c>
    </row>
    <row r="239" spans="1:16" ht="15" customHeight="1" x14ac:dyDescent="0.25">
      <c r="A239" s="129"/>
      <c r="B239" s="129"/>
      <c r="C239" s="194" t="s">
        <v>387</v>
      </c>
      <c r="D239" s="127">
        <v>1</v>
      </c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71">
        <f t="shared" si="7"/>
        <v>1</v>
      </c>
    </row>
    <row r="240" spans="1:16" ht="15" customHeight="1" x14ac:dyDescent="0.25">
      <c r="A240" s="129"/>
      <c r="B240" s="129"/>
      <c r="C240" s="194" t="s">
        <v>558</v>
      </c>
      <c r="D240" s="127">
        <v>6</v>
      </c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71">
        <f t="shared" si="7"/>
        <v>6</v>
      </c>
    </row>
    <row r="241" spans="1:16" ht="15" customHeight="1" x14ac:dyDescent="0.25">
      <c r="A241" s="129"/>
      <c r="B241" s="129"/>
      <c r="C241" s="194" t="s">
        <v>516</v>
      </c>
      <c r="D241" s="127">
        <v>3</v>
      </c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71">
        <f t="shared" si="7"/>
        <v>3</v>
      </c>
    </row>
    <row r="242" spans="1:16" ht="15" customHeight="1" x14ac:dyDescent="0.25">
      <c r="A242" s="129"/>
      <c r="B242" s="129"/>
      <c r="C242" s="194" t="s">
        <v>317</v>
      </c>
      <c r="D242" s="127">
        <v>3</v>
      </c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71">
        <f t="shared" si="7"/>
        <v>3</v>
      </c>
    </row>
    <row r="243" spans="1:16" ht="15" customHeight="1" x14ac:dyDescent="0.25">
      <c r="A243" s="129"/>
      <c r="B243" s="129"/>
      <c r="C243" s="194" t="s">
        <v>318</v>
      </c>
      <c r="D243" s="127">
        <v>8</v>
      </c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71">
        <f t="shared" si="7"/>
        <v>8</v>
      </c>
    </row>
    <row r="244" spans="1:16" ht="15" customHeight="1" x14ac:dyDescent="0.25">
      <c r="A244" s="129"/>
      <c r="B244" s="129"/>
      <c r="C244" s="194" t="s">
        <v>517</v>
      </c>
      <c r="D244" s="127">
        <v>2</v>
      </c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71">
        <f t="shared" si="7"/>
        <v>2</v>
      </c>
    </row>
    <row r="245" spans="1:16" ht="15" customHeight="1" x14ac:dyDescent="0.25">
      <c r="A245" s="129"/>
      <c r="B245" s="129"/>
      <c r="C245" s="194" t="s">
        <v>414</v>
      </c>
      <c r="D245" s="127">
        <v>2</v>
      </c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71">
        <f t="shared" si="7"/>
        <v>2</v>
      </c>
    </row>
    <row r="246" spans="1:16" ht="15" customHeight="1" x14ac:dyDescent="0.25">
      <c r="A246" s="129"/>
      <c r="B246" s="129"/>
      <c r="C246" s="194" t="s">
        <v>518</v>
      </c>
      <c r="D246" s="127">
        <v>1</v>
      </c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71">
        <f t="shared" si="7"/>
        <v>1</v>
      </c>
    </row>
    <row r="247" spans="1:16" ht="15" customHeight="1" x14ac:dyDescent="0.25">
      <c r="A247" s="129"/>
      <c r="B247" s="129"/>
      <c r="C247" s="194" t="s">
        <v>434</v>
      </c>
      <c r="D247" s="127">
        <v>1</v>
      </c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71">
        <f t="shared" si="7"/>
        <v>1</v>
      </c>
    </row>
    <row r="248" spans="1:16" ht="15" customHeight="1" x14ac:dyDescent="0.25">
      <c r="A248" s="129"/>
      <c r="B248" s="129"/>
      <c r="C248" s="194" t="s">
        <v>519</v>
      </c>
      <c r="D248" s="127">
        <v>1</v>
      </c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71">
        <f t="shared" si="7"/>
        <v>1</v>
      </c>
    </row>
    <row r="249" spans="1:16" ht="15" customHeight="1" x14ac:dyDescent="0.25">
      <c r="A249" s="129"/>
      <c r="B249" s="129"/>
      <c r="C249" s="194" t="s">
        <v>559</v>
      </c>
      <c r="D249" s="127">
        <v>2</v>
      </c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71">
        <f t="shared" si="7"/>
        <v>2</v>
      </c>
    </row>
    <row r="250" spans="1:16" ht="15" customHeight="1" x14ac:dyDescent="0.25">
      <c r="A250" s="129"/>
      <c r="B250" s="129"/>
      <c r="C250" s="194" t="s">
        <v>520</v>
      </c>
      <c r="D250" s="127">
        <v>2</v>
      </c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71">
        <f t="shared" si="7"/>
        <v>2</v>
      </c>
    </row>
    <row r="251" spans="1:16" ht="15" customHeight="1" x14ac:dyDescent="0.25">
      <c r="A251" s="129"/>
      <c r="B251" s="129"/>
      <c r="C251" s="194" t="s">
        <v>521</v>
      </c>
      <c r="D251" s="127">
        <v>1</v>
      </c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71">
        <f t="shared" si="7"/>
        <v>1</v>
      </c>
    </row>
    <row r="252" spans="1:16" ht="15" customHeight="1" x14ac:dyDescent="0.25">
      <c r="A252" s="129"/>
      <c r="B252" s="129"/>
      <c r="C252" s="194" t="s">
        <v>560</v>
      </c>
      <c r="D252" s="127">
        <v>2</v>
      </c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71">
        <f t="shared" si="7"/>
        <v>2</v>
      </c>
    </row>
    <row r="253" spans="1:16" ht="15" customHeight="1" x14ac:dyDescent="0.25">
      <c r="A253" s="129"/>
      <c r="B253" s="131"/>
      <c r="C253" s="195" t="s">
        <v>561</v>
      </c>
      <c r="D253" s="127">
        <v>1</v>
      </c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71">
        <f t="shared" si="7"/>
        <v>1</v>
      </c>
    </row>
    <row r="254" spans="1:16" ht="15" customHeight="1" x14ac:dyDescent="0.25">
      <c r="A254" s="129"/>
      <c r="B254" s="125" t="s">
        <v>34</v>
      </c>
      <c r="C254" s="193" t="s">
        <v>522</v>
      </c>
      <c r="D254" s="127">
        <v>2</v>
      </c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71">
        <f t="shared" si="7"/>
        <v>2</v>
      </c>
    </row>
    <row r="255" spans="1:16" ht="15" customHeight="1" x14ac:dyDescent="0.25">
      <c r="A255" s="129"/>
      <c r="B255" s="129"/>
      <c r="C255" s="194" t="s">
        <v>523</v>
      </c>
      <c r="D255" s="127">
        <v>1</v>
      </c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71">
        <f t="shared" si="7"/>
        <v>1</v>
      </c>
    </row>
    <row r="256" spans="1:16" ht="15" customHeight="1" x14ac:dyDescent="0.25">
      <c r="A256" s="129"/>
      <c r="B256" s="129"/>
      <c r="C256" s="194" t="s">
        <v>524</v>
      </c>
      <c r="D256" s="127">
        <v>3</v>
      </c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71">
        <f t="shared" si="7"/>
        <v>3</v>
      </c>
    </row>
    <row r="257" spans="1:16" ht="15" customHeight="1" x14ac:dyDescent="0.25">
      <c r="A257" s="129"/>
      <c r="B257" s="129"/>
      <c r="C257" s="194" t="s">
        <v>282</v>
      </c>
      <c r="D257" s="127">
        <v>3</v>
      </c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71">
        <f t="shared" si="7"/>
        <v>3</v>
      </c>
    </row>
    <row r="258" spans="1:16" ht="15" customHeight="1" x14ac:dyDescent="0.25">
      <c r="A258" s="129"/>
      <c r="B258" s="129"/>
      <c r="C258" s="194" t="s">
        <v>428</v>
      </c>
      <c r="D258" s="127">
        <v>6</v>
      </c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71">
        <f t="shared" si="7"/>
        <v>6</v>
      </c>
    </row>
    <row r="259" spans="1:16" ht="15" customHeight="1" x14ac:dyDescent="0.25">
      <c r="A259" s="129"/>
      <c r="B259" s="129"/>
      <c r="C259" s="194" t="s">
        <v>319</v>
      </c>
      <c r="D259" s="127">
        <v>9</v>
      </c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71">
        <f t="shared" si="7"/>
        <v>9</v>
      </c>
    </row>
    <row r="260" spans="1:16" ht="15" customHeight="1" x14ac:dyDescent="0.25">
      <c r="A260" s="129"/>
      <c r="B260" s="129"/>
      <c r="C260" s="194" t="s">
        <v>364</v>
      </c>
      <c r="D260" s="127">
        <v>5</v>
      </c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71">
        <f t="shared" si="7"/>
        <v>5</v>
      </c>
    </row>
    <row r="261" spans="1:16" ht="15" customHeight="1" x14ac:dyDescent="0.25">
      <c r="A261" s="129"/>
      <c r="B261" s="129"/>
      <c r="C261" s="194" t="s">
        <v>525</v>
      </c>
      <c r="D261" s="127">
        <v>4</v>
      </c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71">
        <f t="shared" si="7"/>
        <v>4</v>
      </c>
    </row>
    <row r="262" spans="1:16" ht="15" customHeight="1" x14ac:dyDescent="0.25">
      <c r="A262" s="129"/>
      <c r="B262" s="129"/>
      <c r="C262" s="194" t="s">
        <v>320</v>
      </c>
      <c r="D262" s="127">
        <v>1</v>
      </c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71">
        <f t="shared" si="7"/>
        <v>1</v>
      </c>
    </row>
    <row r="263" spans="1:16" ht="15" customHeight="1" x14ac:dyDescent="0.25">
      <c r="A263" s="129"/>
      <c r="B263" s="129"/>
      <c r="C263" s="194" t="s">
        <v>526</v>
      </c>
      <c r="D263" s="127">
        <v>2</v>
      </c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71">
        <f t="shared" si="7"/>
        <v>2</v>
      </c>
    </row>
    <row r="264" spans="1:16" ht="15" customHeight="1" x14ac:dyDescent="0.25">
      <c r="A264" s="129"/>
      <c r="B264" s="129"/>
      <c r="C264" s="194" t="s">
        <v>400</v>
      </c>
      <c r="D264" s="127">
        <v>1</v>
      </c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71">
        <f t="shared" si="7"/>
        <v>1</v>
      </c>
    </row>
    <row r="265" spans="1:16" ht="15" customHeight="1" x14ac:dyDescent="0.25">
      <c r="A265" s="129"/>
      <c r="B265" s="129"/>
      <c r="C265" s="194" t="s">
        <v>527</v>
      </c>
      <c r="D265" s="127">
        <v>1</v>
      </c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71">
        <f t="shared" si="7"/>
        <v>1</v>
      </c>
    </row>
    <row r="266" spans="1:16" ht="15" customHeight="1" x14ac:dyDescent="0.25">
      <c r="A266" s="129"/>
      <c r="B266" s="129"/>
      <c r="C266" s="194" t="s">
        <v>401</v>
      </c>
      <c r="D266" s="127">
        <v>10</v>
      </c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71">
        <f t="shared" si="7"/>
        <v>10</v>
      </c>
    </row>
    <row r="267" spans="1:16" ht="15" customHeight="1" x14ac:dyDescent="0.25">
      <c r="A267" s="129"/>
      <c r="B267" s="129"/>
      <c r="C267" s="194" t="s">
        <v>528</v>
      </c>
      <c r="D267" s="127">
        <v>3</v>
      </c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71">
        <f t="shared" si="7"/>
        <v>3</v>
      </c>
    </row>
    <row r="268" spans="1:16" ht="15" customHeight="1" x14ac:dyDescent="0.25">
      <c r="A268" s="129"/>
      <c r="B268" s="129"/>
      <c r="C268" s="194" t="s">
        <v>529</v>
      </c>
      <c r="D268" s="127">
        <v>1</v>
      </c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71">
        <f t="shared" si="7"/>
        <v>1</v>
      </c>
    </row>
    <row r="269" spans="1:16" ht="15" customHeight="1" x14ac:dyDescent="0.25">
      <c r="A269" s="129"/>
      <c r="B269" s="129"/>
      <c r="C269" s="194" t="s">
        <v>416</v>
      </c>
      <c r="D269" s="127">
        <v>22</v>
      </c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71">
        <f t="shared" si="7"/>
        <v>22</v>
      </c>
    </row>
    <row r="270" spans="1:16" ht="15" customHeight="1" x14ac:dyDescent="0.25">
      <c r="A270" s="129"/>
      <c r="B270" s="129"/>
      <c r="C270" s="194" t="s">
        <v>431</v>
      </c>
      <c r="D270" s="127">
        <v>5</v>
      </c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71">
        <f t="shared" si="7"/>
        <v>5</v>
      </c>
    </row>
    <row r="271" spans="1:16" ht="15" customHeight="1" x14ac:dyDescent="0.25">
      <c r="A271" s="129"/>
      <c r="B271" s="129"/>
      <c r="C271" s="194" t="s">
        <v>430</v>
      </c>
      <c r="D271" s="127">
        <v>8</v>
      </c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71">
        <f t="shared" si="7"/>
        <v>8</v>
      </c>
    </row>
    <row r="272" spans="1:16" ht="15" customHeight="1" x14ac:dyDescent="0.25">
      <c r="A272" s="129"/>
      <c r="B272" s="129"/>
      <c r="C272" s="194" t="s">
        <v>562</v>
      </c>
      <c r="D272" s="127">
        <v>6</v>
      </c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71">
        <f t="shared" si="7"/>
        <v>6</v>
      </c>
    </row>
    <row r="273" spans="1:16" ht="15" customHeight="1" x14ac:dyDescent="0.25">
      <c r="A273" s="129"/>
      <c r="B273" s="129"/>
      <c r="C273" s="194" t="s">
        <v>563</v>
      </c>
      <c r="D273" s="127">
        <v>1</v>
      </c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71">
        <f t="shared" si="7"/>
        <v>1</v>
      </c>
    </row>
    <row r="274" spans="1:16" ht="15" customHeight="1" x14ac:dyDescent="0.25">
      <c r="A274" s="129"/>
      <c r="B274" s="129"/>
      <c r="C274" s="194" t="s">
        <v>531</v>
      </c>
      <c r="D274" s="127">
        <v>1</v>
      </c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71">
        <f t="shared" si="7"/>
        <v>1</v>
      </c>
    </row>
    <row r="275" spans="1:16" ht="15" customHeight="1" x14ac:dyDescent="0.25">
      <c r="A275" s="129"/>
      <c r="B275" s="129"/>
      <c r="C275" s="194" t="s">
        <v>532</v>
      </c>
      <c r="D275" s="127">
        <v>1</v>
      </c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71">
        <f t="shared" si="7"/>
        <v>1</v>
      </c>
    </row>
    <row r="276" spans="1:16" ht="15" customHeight="1" x14ac:dyDescent="0.25">
      <c r="A276" s="129"/>
      <c r="B276" s="129"/>
      <c r="C276" s="194" t="s">
        <v>533</v>
      </c>
      <c r="D276" s="127">
        <v>1</v>
      </c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71">
        <f t="shared" si="7"/>
        <v>1</v>
      </c>
    </row>
    <row r="277" spans="1:16" ht="15" customHeight="1" x14ac:dyDescent="0.25">
      <c r="A277" s="129"/>
      <c r="B277" s="129"/>
      <c r="C277" s="194" t="s">
        <v>564</v>
      </c>
      <c r="D277" s="127">
        <v>1</v>
      </c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71">
        <f t="shared" si="7"/>
        <v>1</v>
      </c>
    </row>
    <row r="278" spans="1:16" ht="15" customHeight="1" x14ac:dyDescent="0.25">
      <c r="A278" s="129"/>
      <c r="B278" s="129"/>
      <c r="C278" s="194" t="s">
        <v>534</v>
      </c>
      <c r="D278" s="127">
        <v>2</v>
      </c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71">
        <f t="shared" si="7"/>
        <v>2</v>
      </c>
    </row>
    <row r="279" spans="1:16" ht="15" customHeight="1" x14ac:dyDescent="0.25">
      <c r="A279" s="129"/>
      <c r="B279" s="131"/>
      <c r="C279" s="195" t="s">
        <v>565</v>
      </c>
      <c r="D279" s="127">
        <v>1</v>
      </c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71">
        <f t="shared" si="7"/>
        <v>1</v>
      </c>
    </row>
    <row r="280" spans="1:16" ht="15" customHeight="1" x14ac:dyDescent="0.25">
      <c r="A280" s="129"/>
      <c r="B280" s="125" t="s">
        <v>302</v>
      </c>
      <c r="C280" s="193" t="s">
        <v>535</v>
      </c>
      <c r="D280" s="127">
        <v>1</v>
      </c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71">
        <f t="shared" si="7"/>
        <v>1</v>
      </c>
    </row>
    <row r="281" spans="1:16" ht="15" customHeight="1" x14ac:dyDescent="0.25">
      <c r="A281" s="129"/>
      <c r="B281" s="125" t="s">
        <v>44</v>
      </c>
      <c r="C281" s="193" t="s">
        <v>325</v>
      </c>
      <c r="D281" s="127">
        <v>6</v>
      </c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71">
        <f t="shared" si="7"/>
        <v>6</v>
      </c>
    </row>
    <row r="282" spans="1:16" ht="15" customHeight="1" x14ac:dyDescent="0.25">
      <c r="A282" s="129"/>
      <c r="B282" s="133" t="s">
        <v>41</v>
      </c>
      <c r="C282" s="196" t="s">
        <v>536</v>
      </c>
      <c r="D282" s="127">
        <v>1</v>
      </c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71">
        <f t="shared" si="7"/>
        <v>1</v>
      </c>
    </row>
    <row r="283" spans="1:16" ht="15" customHeight="1" x14ac:dyDescent="0.25">
      <c r="A283" s="129"/>
      <c r="B283" s="125" t="s">
        <v>37</v>
      </c>
      <c r="C283" s="193" t="s">
        <v>538</v>
      </c>
      <c r="D283" s="127">
        <v>2</v>
      </c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71">
        <f t="shared" si="7"/>
        <v>2</v>
      </c>
    </row>
    <row r="284" spans="1:16" ht="15" customHeight="1" x14ac:dyDescent="0.25">
      <c r="A284" s="129"/>
      <c r="B284" s="129"/>
      <c r="C284" s="194" t="s">
        <v>539</v>
      </c>
      <c r="D284" s="127">
        <v>2</v>
      </c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71">
        <f t="shared" si="7"/>
        <v>2</v>
      </c>
    </row>
    <row r="285" spans="1:16" ht="15" customHeight="1" x14ac:dyDescent="0.25">
      <c r="A285" s="129"/>
      <c r="B285" s="131"/>
      <c r="C285" s="195" t="s">
        <v>537</v>
      </c>
      <c r="D285" s="127">
        <v>1</v>
      </c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71">
        <f t="shared" si="7"/>
        <v>1</v>
      </c>
    </row>
    <row r="286" spans="1:16" ht="15" customHeight="1" x14ac:dyDescent="0.25">
      <c r="A286" s="129"/>
      <c r="B286" s="125" t="s">
        <v>426</v>
      </c>
      <c r="C286" s="193" t="s">
        <v>610</v>
      </c>
      <c r="D286" s="127">
        <v>2</v>
      </c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71">
        <f t="shared" si="7"/>
        <v>2</v>
      </c>
    </row>
    <row r="287" spans="1:16" ht="15" customHeight="1" x14ac:dyDescent="0.25">
      <c r="A287" s="129"/>
      <c r="B287" s="133" t="s">
        <v>453</v>
      </c>
      <c r="C287" s="196" t="s">
        <v>591</v>
      </c>
      <c r="D287" s="127">
        <v>1</v>
      </c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71">
        <f t="shared" si="7"/>
        <v>1</v>
      </c>
    </row>
    <row r="288" spans="1:16" ht="15" customHeight="1" x14ac:dyDescent="0.25">
      <c r="A288" s="129"/>
      <c r="B288" s="125" t="s">
        <v>27</v>
      </c>
      <c r="C288" s="193" t="s">
        <v>170</v>
      </c>
      <c r="D288" s="127">
        <v>1</v>
      </c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71">
        <f t="shared" si="7"/>
        <v>1</v>
      </c>
    </row>
    <row r="289" spans="1:16" ht="15" customHeight="1" x14ac:dyDescent="0.25">
      <c r="A289" s="129"/>
      <c r="B289" s="129"/>
      <c r="C289" s="194" t="s">
        <v>136</v>
      </c>
      <c r="D289" s="127">
        <v>4</v>
      </c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71">
        <f t="shared" si="7"/>
        <v>4</v>
      </c>
    </row>
    <row r="290" spans="1:16" ht="15" customHeight="1" x14ac:dyDescent="0.25">
      <c r="A290" s="129"/>
      <c r="B290" s="129"/>
      <c r="C290" s="194" t="s">
        <v>171</v>
      </c>
      <c r="D290" s="127">
        <v>2</v>
      </c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71">
        <f t="shared" si="7"/>
        <v>2</v>
      </c>
    </row>
    <row r="291" spans="1:16" ht="15" customHeight="1" x14ac:dyDescent="0.25">
      <c r="A291" s="129"/>
      <c r="B291" s="129"/>
      <c r="C291" s="194" t="s">
        <v>137</v>
      </c>
      <c r="D291" s="127">
        <v>1</v>
      </c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71">
        <f t="shared" si="7"/>
        <v>1</v>
      </c>
    </row>
    <row r="292" spans="1:16" ht="15" customHeight="1" x14ac:dyDescent="0.25">
      <c r="A292" s="129"/>
      <c r="B292" s="129"/>
      <c r="C292" s="194" t="s">
        <v>365</v>
      </c>
      <c r="D292" s="127">
        <v>3</v>
      </c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71">
        <f t="shared" si="7"/>
        <v>3</v>
      </c>
    </row>
    <row r="293" spans="1:16" ht="15" customHeight="1" x14ac:dyDescent="0.25">
      <c r="A293" s="129"/>
      <c r="B293" s="129"/>
      <c r="C293" s="194" t="s">
        <v>138</v>
      </c>
      <c r="D293" s="127">
        <v>8</v>
      </c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71">
        <f t="shared" si="7"/>
        <v>8</v>
      </c>
    </row>
    <row r="294" spans="1:16" ht="15" customHeight="1" x14ac:dyDescent="0.25">
      <c r="A294" s="129"/>
      <c r="B294" s="129"/>
      <c r="C294" s="194" t="s">
        <v>139</v>
      </c>
      <c r="D294" s="127">
        <v>1</v>
      </c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71">
        <f t="shared" si="7"/>
        <v>1</v>
      </c>
    </row>
    <row r="295" spans="1:16" ht="15" customHeight="1" x14ac:dyDescent="0.25">
      <c r="A295" s="129"/>
      <c r="B295" s="129"/>
      <c r="C295" s="194" t="s">
        <v>140</v>
      </c>
      <c r="D295" s="127">
        <v>6</v>
      </c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71">
        <f t="shared" si="7"/>
        <v>6</v>
      </c>
    </row>
    <row r="296" spans="1:16" ht="15" customHeight="1" x14ac:dyDescent="0.25">
      <c r="A296" s="129"/>
      <c r="B296" s="129"/>
      <c r="C296" s="194" t="s">
        <v>540</v>
      </c>
      <c r="D296" s="127">
        <v>2</v>
      </c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71">
        <f t="shared" si="7"/>
        <v>2</v>
      </c>
    </row>
    <row r="297" spans="1:16" ht="15" customHeight="1" x14ac:dyDescent="0.25">
      <c r="A297" s="129"/>
      <c r="B297" s="129"/>
      <c r="C297" s="194" t="s">
        <v>592</v>
      </c>
      <c r="D297" s="127">
        <v>12</v>
      </c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71">
        <f t="shared" si="7"/>
        <v>12</v>
      </c>
    </row>
    <row r="298" spans="1:16" ht="15" customHeight="1" x14ac:dyDescent="0.25">
      <c r="A298" s="129"/>
      <c r="B298" s="131"/>
      <c r="C298" s="195" t="s">
        <v>593</v>
      </c>
      <c r="D298" s="127">
        <v>4</v>
      </c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71">
        <f t="shared" si="7"/>
        <v>4</v>
      </c>
    </row>
    <row r="299" spans="1:16" ht="15" customHeight="1" x14ac:dyDescent="0.25">
      <c r="A299" s="129"/>
      <c r="B299" s="125" t="s">
        <v>20</v>
      </c>
      <c r="C299" s="193" t="s">
        <v>594</v>
      </c>
      <c r="D299" s="127">
        <v>1</v>
      </c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71">
        <f t="shared" si="7"/>
        <v>1</v>
      </c>
    </row>
    <row r="300" spans="1:16" ht="15" customHeight="1" x14ac:dyDescent="0.25">
      <c r="A300" s="129"/>
      <c r="B300" s="129"/>
      <c r="C300" s="194" t="s">
        <v>595</v>
      </c>
      <c r="D300" s="127">
        <v>2</v>
      </c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71">
        <f t="shared" si="7"/>
        <v>2</v>
      </c>
    </row>
    <row r="301" spans="1:16" ht="15" customHeight="1" x14ac:dyDescent="0.25">
      <c r="A301" s="129"/>
      <c r="B301" s="129"/>
      <c r="C301" s="194" t="s">
        <v>155</v>
      </c>
      <c r="D301" s="127">
        <v>53</v>
      </c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71">
        <f t="shared" si="4"/>
        <v>53</v>
      </c>
    </row>
    <row r="302" spans="1:16" ht="15" customHeight="1" x14ac:dyDescent="0.25">
      <c r="A302" s="129"/>
      <c r="B302" s="129"/>
      <c r="C302" s="194" t="s">
        <v>156</v>
      </c>
      <c r="D302" s="127">
        <v>20</v>
      </c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71">
        <f t="shared" si="4"/>
        <v>20</v>
      </c>
    </row>
    <row r="303" spans="1:16" ht="15" customHeight="1" x14ac:dyDescent="0.25">
      <c r="A303" s="129"/>
      <c r="B303" s="129"/>
      <c r="C303" s="194" t="s">
        <v>141</v>
      </c>
      <c r="D303" s="127">
        <v>33</v>
      </c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71">
        <f t="shared" si="4"/>
        <v>33</v>
      </c>
    </row>
    <row r="304" spans="1:16" ht="15" customHeight="1" x14ac:dyDescent="0.25">
      <c r="A304" s="129"/>
      <c r="B304" s="129"/>
      <c r="C304" s="194" t="s">
        <v>142</v>
      </c>
      <c r="D304" s="127">
        <v>42</v>
      </c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71">
        <f t="shared" si="4"/>
        <v>42</v>
      </c>
    </row>
    <row r="305" spans="1:16" ht="15" customHeight="1" x14ac:dyDescent="0.25">
      <c r="A305" s="129"/>
      <c r="B305" s="129"/>
      <c r="C305" s="194" t="s">
        <v>143</v>
      </c>
      <c r="D305" s="127">
        <v>6</v>
      </c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71">
        <f t="shared" si="4"/>
        <v>6</v>
      </c>
    </row>
    <row r="306" spans="1:16" ht="15" customHeight="1" x14ac:dyDescent="0.25">
      <c r="A306" s="129"/>
      <c r="B306" s="129"/>
      <c r="C306" s="194" t="s">
        <v>144</v>
      </c>
      <c r="D306" s="127">
        <v>7</v>
      </c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71">
        <f t="shared" si="4"/>
        <v>7</v>
      </c>
    </row>
    <row r="307" spans="1:16" ht="15" customHeight="1" x14ac:dyDescent="0.25">
      <c r="A307" s="129"/>
      <c r="B307" s="129"/>
      <c r="C307" s="194" t="s">
        <v>145</v>
      </c>
      <c r="D307" s="127">
        <v>10</v>
      </c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71">
        <f t="shared" si="4"/>
        <v>10</v>
      </c>
    </row>
    <row r="308" spans="1:16" ht="15" customHeight="1" x14ac:dyDescent="0.25">
      <c r="A308" s="129"/>
      <c r="B308" s="129"/>
      <c r="C308" s="194" t="s">
        <v>146</v>
      </c>
      <c r="D308" s="127">
        <v>5</v>
      </c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71">
        <f t="shared" si="4"/>
        <v>5</v>
      </c>
    </row>
    <row r="309" spans="1:16" ht="15" customHeight="1" x14ac:dyDescent="0.25">
      <c r="A309" s="129"/>
      <c r="B309" s="129"/>
      <c r="C309" s="194" t="s">
        <v>329</v>
      </c>
      <c r="D309" s="127">
        <v>5</v>
      </c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71">
        <f t="shared" si="4"/>
        <v>5</v>
      </c>
    </row>
    <row r="310" spans="1:16" ht="15" customHeight="1" x14ac:dyDescent="0.25">
      <c r="A310" s="129"/>
      <c r="B310" s="131"/>
      <c r="C310" s="195" t="s">
        <v>541</v>
      </c>
      <c r="D310" s="127">
        <v>2</v>
      </c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71">
        <f t="shared" si="4"/>
        <v>2</v>
      </c>
    </row>
    <row r="311" spans="1:16" ht="15" customHeight="1" x14ac:dyDescent="0.25">
      <c r="A311" s="129"/>
      <c r="B311" s="125" t="s">
        <v>36</v>
      </c>
      <c r="C311" s="193" t="s">
        <v>597</v>
      </c>
      <c r="D311" s="127">
        <v>3</v>
      </c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71">
        <f t="shared" si="4"/>
        <v>3</v>
      </c>
    </row>
    <row r="312" spans="1:16" ht="15" customHeight="1" x14ac:dyDescent="0.25">
      <c r="A312" s="129"/>
      <c r="B312" s="129"/>
      <c r="C312" s="194" t="s">
        <v>598</v>
      </c>
      <c r="D312" s="127">
        <v>2</v>
      </c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71">
        <f t="shared" si="4"/>
        <v>2</v>
      </c>
    </row>
    <row r="313" spans="1:16" ht="15" customHeight="1" x14ac:dyDescent="0.25">
      <c r="A313" s="129"/>
      <c r="B313" s="129"/>
      <c r="C313" s="194" t="s">
        <v>599</v>
      </c>
      <c r="D313" s="127">
        <v>2</v>
      </c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71">
        <f t="shared" si="4"/>
        <v>2</v>
      </c>
    </row>
    <row r="314" spans="1:16" ht="15" customHeight="1" x14ac:dyDescent="0.25">
      <c r="A314" s="129"/>
      <c r="B314" s="129"/>
      <c r="C314" s="194" t="s">
        <v>600</v>
      </c>
      <c r="D314" s="127">
        <v>1</v>
      </c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71">
        <f t="shared" si="4"/>
        <v>1</v>
      </c>
    </row>
    <row r="315" spans="1:16" ht="15" customHeight="1" x14ac:dyDescent="0.25">
      <c r="A315" s="129"/>
      <c r="B315" s="129"/>
      <c r="C315" s="194" t="s">
        <v>601</v>
      </c>
      <c r="D315" s="127">
        <v>1</v>
      </c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71">
        <f t="shared" si="4"/>
        <v>1</v>
      </c>
    </row>
    <row r="316" spans="1:16" ht="15" customHeight="1" x14ac:dyDescent="0.25">
      <c r="A316" s="129"/>
      <c r="B316" s="129"/>
      <c r="C316" s="194" t="s">
        <v>602</v>
      </c>
      <c r="D316" s="127">
        <v>3</v>
      </c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71">
        <f t="shared" si="4"/>
        <v>3</v>
      </c>
    </row>
    <row r="317" spans="1:16" ht="15" customHeight="1" x14ac:dyDescent="0.25">
      <c r="A317" s="129"/>
      <c r="B317" s="129"/>
      <c r="C317" s="194" t="s">
        <v>603</v>
      </c>
      <c r="D317" s="127">
        <v>1</v>
      </c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71">
        <f t="shared" si="4"/>
        <v>1</v>
      </c>
    </row>
    <row r="318" spans="1:16" ht="15" customHeight="1" x14ac:dyDescent="0.25">
      <c r="A318" s="129"/>
      <c r="B318" s="129"/>
      <c r="C318" s="194" t="s">
        <v>604</v>
      </c>
      <c r="D318" s="127">
        <v>2</v>
      </c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71">
        <f t="shared" si="4"/>
        <v>2</v>
      </c>
    </row>
    <row r="319" spans="1:16" ht="15" customHeight="1" x14ac:dyDescent="0.25">
      <c r="A319" s="129"/>
      <c r="B319" s="129"/>
      <c r="C319" s="194" t="s">
        <v>605</v>
      </c>
      <c r="D319" s="127">
        <v>1</v>
      </c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71">
        <f t="shared" si="4"/>
        <v>1</v>
      </c>
    </row>
    <row r="320" spans="1:16" ht="15" customHeight="1" x14ac:dyDescent="0.25">
      <c r="A320" s="131"/>
      <c r="B320" s="131"/>
      <c r="C320" s="195" t="s">
        <v>606</v>
      </c>
      <c r="D320" s="127">
        <v>2</v>
      </c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71">
        <f t="shared" si="4"/>
        <v>2</v>
      </c>
    </row>
    <row r="321" spans="1:16" ht="15" customHeight="1" x14ac:dyDescent="0.25">
      <c r="A321" s="125" t="s">
        <v>178</v>
      </c>
      <c r="B321" s="125" t="s">
        <v>40</v>
      </c>
      <c r="C321" s="193" t="s">
        <v>304</v>
      </c>
      <c r="D321" s="127">
        <v>5</v>
      </c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71">
        <f t="shared" si="4"/>
        <v>5</v>
      </c>
    </row>
    <row r="322" spans="1:16" ht="15" customHeight="1" x14ac:dyDescent="0.25">
      <c r="A322" s="129"/>
      <c r="B322" s="131"/>
      <c r="C322" s="195" t="s">
        <v>462</v>
      </c>
      <c r="D322" s="127">
        <v>1</v>
      </c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71">
        <f t="shared" si="4"/>
        <v>1</v>
      </c>
    </row>
    <row r="323" spans="1:16" ht="15" customHeight="1" x14ac:dyDescent="0.25">
      <c r="A323" s="129"/>
      <c r="B323" s="125" t="s">
        <v>23</v>
      </c>
      <c r="C323" s="193" t="s">
        <v>389</v>
      </c>
      <c r="D323" s="127">
        <v>5</v>
      </c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71">
        <f t="shared" si="4"/>
        <v>5</v>
      </c>
    </row>
    <row r="324" spans="1:16" ht="15" customHeight="1" x14ac:dyDescent="0.25">
      <c r="A324" s="129"/>
      <c r="B324" s="131"/>
      <c r="C324" s="195" t="s">
        <v>326</v>
      </c>
      <c r="D324" s="127">
        <v>1</v>
      </c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71">
        <f t="shared" si="4"/>
        <v>1</v>
      </c>
    </row>
    <row r="325" spans="1:16" ht="15" customHeight="1" x14ac:dyDescent="0.25">
      <c r="A325" s="129"/>
      <c r="B325" s="133" t="s">
        <v>28</v>
      </c>
      <c r="C325" s="196" t="s">
        <v>151</v>
      </c>
      <c r="D325" s="127">
        <v>1</v>
      </c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71">
        <f t="shared" si="4"/>
        <v>1</v>
      </c>
    </row>
    <row r="326" spans="1:16" ht="15" customHeight="1" x14ac:dyDescent="0.25">
      <c r="A326" s="129"/>
      <c r="B326" s="125" t="s">
        <v>65</v>
      </c>
      <c r="C326" s="193" t="s">
        <v>101</v>
      </c>
      <c r="D326" s="127">
        <v>7</v>
      </c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71">
        <f t="shared" si="4"/>
        <v>7</v>
      </c>
    </row>
    <row r="327" spans="1:16" ht="15" customHeight="1" x14ac:dyDescent="0.25">
      <c r="A327" s="129"/>
      <c r="B327" s="129"/>
      <c r="C327" s="194" t="s">
        <v>102</v>
      </c>
      <c r="D327" s="127">
        <v>2</v>
      </c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71">
        <f t="shared" si="4"/>
        <v>2</v>
      </c>
    </row>
    <row r="328" spans="1:16" ht="15" customHeight="1" x14ac:dyDescent="0.25">
      <c r="A328" s="129"/>
      <c r="B328" s="131"/>
      <c r="C328" s="195" t="s">
        <v>427</v>
      </c>
      <c r="D328" s="127">
        <v>1</v>
      </c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71">
        <f t="shared" si="4"/>
        <v>1</v>
      </c>
    </row>
    <row r="329" spans="1:16" ht="15" customHeight="1" x14ac:dyDescent="0.25">
      <c r="A329" s="129"/>
      <c r="B329" s="125" t="s">
        <v>22</v>
      </c>
      <c r="C329" s="193" t="s">
        <v>106</v>
      </c>
      <c r="D329" s="127">
        <v>1</v>
      </c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71">
        <f t="shared" si="4"/>
        <v>1</v>
      </c>
    </row>
    <row r="330" spans="1:16" ht="15" customHeight="1" x14ac:dyDescent="0.25">
      <c r="A330" s="129"/>
      <c r="B330" s="129"/>
      <c r="C330" s="194" t="s">
        <v>107</v>
      </c>
      <c r="D330" s="127">
        <v>2</v>
      </c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71">
        <f t="shared" si="4"/>
        <v>2</v>
      </c>
    </row>
    <row r="331" spans="1:16" ht="15" customHeight="1" x14ac:dyDescent="0.25">
      <c r="A331" s="129"/>
      <c r="B331" s="131"/>
      <c r="C331" s="195" t="s">
        <v>109</v>
      </c>
      <c r="D331" s="127">
        <v>2</v>
      </c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71">
        <f t="shared" si="4"/>
        <v>2</v>
      </c>
    </row>
    <row r="332" spans="1:16" ht="15" customHeight="1" x14ac:dyDescent="0.25">
      <c r="A332" s="129"/>
      <c r="B332" s="125" t="s">
        <v>21</v>
      </c>
      <c r="C332" s="193" t="s">
        <v>310</v>
      </c>
      <c r="D332" s="127">
        <v>1</v>
      </c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71">
        <f t="shared" si="4"/>
        <v>1</v>
      </c>
    </row>
    <row r="333" spans="1:16" ht="15" customHeight="1" x14ac:dyDescent="0.25">
      <c r="A333" s="129"/>
      <c r="B333" s="133" t="s">
        <v>26</v>
      </c>
      <c r="C333" s="196" t="s">
        <v>288</v>
      </c>
      <c r="D333" s="127">
        <v>7</v>
      </c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71">
        <f t="shared" si="4"/>
        <v>7</v>
      </c>
    </row>
    <row r="334" spans="1:16" ht="15" customHeight="1" x14ac:dyDescent="0.25">
      <c r="A334" s="129"/>
      <c r="B334" s="125" t="s">
        <v>24</v>
      </c>
      <c r="C334" s="193" t="s">
        <v>114</v>
      </c>
      <c r="D334" s="127">
        <v>3</v>
      </c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71">
        <f t="shared" si="4"/>
        <v>3</v>
      </c>
    </row>
    <row r="335" spans="1:16" ht="15" customHeight="1" x14ac:dyDescent="0.25">
      <c r="A335" s="129"/>
      <c r="B335" s="129"/>
      <c r="C335" s="194" t="s">
        <v>118</v>
      </c>
      <c r="D335" s="127">
        <v>1</v>
      </c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71">
        <f t="shared" si="4"/>
        <v>1</v>
      </c>
    </row>
    <row r="336" spans="1:16" ht="15" customHeight="1" x14ac:dyDescent="0.25">
      <c r="A336" s="129"/>
      <c r="B336" s="129"/>
      <c r="C336" s="194" t="s">
        <v>119</v>
      </c>
      <c r="D336" s="127">
        <v>1</v>
      </c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71">
        <f t="shared" si="4"/>
        <v>1</v>
      </c>
    </row>
    <row r="337" spans="1:16" ht="15" customHeight="1" x14ac:dyDescent="0.25">
      <c r="A337" s="129"/>
      <c r="B337" s="129"/>
      <c r="C337" s="194" t="s">
        <v>120</v>
      </c>
      <c r="D337" s="127">
        <v>3</v>
      </c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71">
        <f t="shared" si="4"/>
        <v>3</v>
      </c>
    </row>
    <row r="338" spans="1:16" ht="15" customHeight="1" x14ac:dyDescent="0.25">
      <c r="A338" s="129"/>
      <c r="B338" s="131"/>
      <c r="C338" s="195" t="s">
        <v>121</v>
      </c>
      <c r="D338" s="127">
        <v>1</v>
      </c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71">
        <f t="shared" si="4"/>
        <v>1</v>
      </c>
    </row>
    <row r="339" spans="1:16" ht="15" customHeight="1" x14ac:dyDescent="0.25">
      <c r="A339" s="129"/>
      <c r="B339" s="133" t="s">
        <v>45</v>
      </c>
      <c r="C339" s="196" t="s">
        <v>327</v>
      </c>
      <c r="D339" s="127">
        <v>1</v>
      </c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71">
        <f t="shared" si="4"/>
        <v>1</v>
      </c>
    </row>
    <row r="340" spans="1:16" ht="15" customHeight="1" x14ac:dyDescent="0.25">
      <c r="A340" s="129"/>
      <c r="B340" s="125" t="s">
        <v>29</v>
      </c>
      <c r="C340" s="193" t="s">
        <v>492</v>
      </c>
      <c r="D340" s="127">
        <v>1</v>
      </c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71">
        <f t="shared" si="4"/>
        <v>1</v>
      </c>
    </row>
    <row r="341" spans="1:16" ht="15" customHeight="1" x14ac:dyDescent="0.25">
      <c r="A341" s="129"/>
      <c r="B341" s="129"/>
      <c r="C341" s="194" t="s">
        <v>124</v>
      </c>
      <c r="D341" s="127">
        <v>1</v>
      </c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71">
        <f t="shared" si="4"/>
        <v>1</v>
      </c>
    </row>
    <row r="342" spans="1:16" ht="15" customHeight="1" x14ac:dyDescent="0.25">
      <c r="A342" s="129"/>
      <c r="B342" s="129"/>
      <c r="C342" s="194" t="s">
        <v>125</v>
      </c>
      <c r="D342" s="127">
        <v>1</v>
      </c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71">
        <f t="shared" si="4"/>
        <v>1</v>
      </c>
    </row>
    <row r="343" spans="1:16" ht="15" customHeight="1" x14ac:dyDescent="0.25">
      <c r="A343" s="129"/>
      <c r="B343" s="131"/>
      <c r="C343" s="195" t="s">
        <v>496</v>
      </c>
      <c r="D343" s="127">
        <v>1</v>
      </c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71">
        <f t="shared" si="4"/>
        <v>1</v>
      </c>
    </row>
    <row r="344" spans="1:16" ht="15" customHeight="1" x14ac:dyDescent="0.25">
      <c r="A344" s="129"/>
      <c r="B344" s="125" t="s">
        <v>39</v>
      </c>
      <c r="C344" s="193" t="s">
        <v>285</v>
      </c>
      <c r="D344" s="127">
        <v>2</v>
      </c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71">
        <f t="shared" si="4"/>
        <v>2</v>
      </c>
    </row>
    <row r="345" spans="1:16" ht="15" customHeight="1" x14ac:dyDescent="0.25">
      <c r="A345" s="129"/>
      <c r="B345" s="125" t="s">
        <v>47</v>
      </c>
      <c r="C345" s="193" t="s">
        <v>500</v>
      </c>
      <c r="D345" s="127">
        <v>2</v>
      </c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71">
        <f t="shared" si="4"/>
        <v>2</v>
      </c>
    </row>
    <row r="346" spans="1:16" ht="15" customHeight="1" x14ac:dyDescent="0.25">
      <c r="A346" s="129"/>
      <c r="B346" s="125" t="s">
        <v>33</v>
      </c>
      <c r="C346" s="193" t="s">
        <v>575</v>
      </c>
      <c r="D346" s="127">
        <v>4</v>
      </c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71">
        <f t="shared" si="4"/>
        <v>4</v>
      </c>
    </row>
    <row r="347" spans="1:16" ht="15" customHeight="1" x14ac:dyDescent="0.25">
      <c r="A347" s="129"/>
      <c r="B347" s="133" t="s">
        <v>71</v>
      </c>
      <c r="C347" s="196" t="s">
        <v>429</v>
      </c>
      <c r="D347" s="127">
        <v>1</v>
      </c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71">
        <f t="shared" si="4"/>
        <v>1</v>
      </c>
    </row>
    <row r="348" spans="1:16" ht="15" customHeight="1" x14ac:dyDescent="0.25">
      <c r="A348" s="129"/>
      <c r="B348" s="125" t="s">
        <v>19</v>
      </c>
      <c r="C348" s="193" t="s">
        <v>359</v>
      </c>
      <c r="D348" s="127">
        <v>1</v>
      </c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71">
        <f t="shared" si="4"/>
        <v>1</v>
      </c>
    </row>
    <row r="349" spans="1:16" ht="15" customHeight="1" x14ac:dyDescent="0.25">
      <c r="A349" s="129"/>
      <c r="B349" s="129"/>
      <c r="C349" s="194" t="s">
        <v>169</v>
      </c>
      <c r="D349" s="127">
        <v>7</v>
      </c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71">
        <f t="shared" si="4"/>
        <v>7</v>
      </c>
    </row>
    <row r="350" spans="1:16" ht="15" customHeight="1" x14ac:dyDescent="0.25">
      <c r="A350" s="129"/>
      <c r="B350" s="129"/>
      <c r="C350" s="194" t="s">
        <v>131</v>
      </c>
      <c r="D350" s="127">
        <v>1</v>
      </c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71">
        <f t="shared" si="4"/>
        <v>1</v>
      </c>
    </row>
    <row r="351" spans="1:16" ht="15" customHeight="1" x14ac:dyDescent="0.25">
      <c r="A351" s="129"/>
      <c r="B351" s="129"/>
      <c r="C351" s="194" t="s">
        <v>132</v>
      </c>
      <c r="D351" s="127">
        <v>1</v>
      </c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71">
        <f t="shared" si="4"/>
        <v>1</v>
      </c>
    </row>
    <row r="352" spans="1:16" ht="15" customHeight="1" x14ac:dyDescent="0.25">
      <c r="A352" s="129"/>
      <c r="B352" s="129"/>
      <c r="C352" s="194" t="s">
        <v>134</v>
      </c>
      <c r="D352" s="127">
        <v>1</v>
      </c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71">
        <f t="shared" si="4"/>
        <v>1</v>
      </c>
    </row>
    <row r="353" spans="1:16" ht="15" customHeight="1" x14ac:dyDescent="0.25">
      <c r="A353" s="129"/>
      <c r="B353" s="129"/>
      <c r="C353" s="194" t="s">
        <v>315</v>
      </c>
      <c r="D353" s="127">
        <v>1</v>
      </c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71">
        <f t="shared" si="4"/>
        <v>1</v>
      </c>
    </row>
    <row r="354" spans="1:16" ht="15" customHeight="1" x14ac:dyDescent="0.25">
      <c r="A354" s="129"/>
      <c r="B354" s="129"/>
      <c r="C354" s="194" t="s">
        <v>360</v>
      </c>
      <c r="D354" s="127">
        <v>2</v>
      </c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71">
        <f t="shared" si="4"/>
        <v>2</v>
      </c>
    </row>
    <row r="355" spans="1:16" ht="15" customHeight="1" x14ac:dyDescent="0.25">
      <c r="A355" s="129"/>
      <c r="B355" s="129"/>
      <c r="C355" s="194" t="s">
        <v>584</v>
      </c>
      <c r="D355" s="127">
        <v>1</v>
      </c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71">
        <f t="shared" si="4"/>
        <v>1</v>
      </c>
    </row>
    <row r="356" spans="1:16" ht="15" customHeight="1" x14ac:dyDescent="0.25">
      <c r="A356" s="129"/>
      <c r="B356" s="129"/>
      <c r="C356" s="194" t="s">
        <v>283</v>
      </c>
      <c r="D356" s="127">
        <v>2</v>
      </c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71">
        <f t="shared" si="4"/>
        <v>2</v>
      </c>
    </row>
    <row r="357" spans="1:16" ht="15" customHeight="1" x14ac:dyDescent="0.25">
      <c r="A357" s="129"/>
      <c r="B357" s="129"/>
      <c r="C357" s="194" t="s">
        <v>316</v>
      </c>
      <c r="D357" s="127">
        <v>1</v>
      </c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71">
        <f t="shared" si="4"/>
        <v>1</v>
      </c>
    </row>
    <row r="358" spans="1:16" ht="15" customHeight="1" x14ac:dyDescent="0.25">
      <c r="A358" s="129"/>
      <c r="B358" s="129"/>
      <c r="C358" s="194" t="s">
        <v>399</v>
      </c>
      <c r="D358" s="127">
        <v>2</v>
      </c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71">
        <f t="shared" si="4"/>
        <v>2</v>
      </c>
    </row>
    <row r="359" spans="1:16" ht="15" customHeight="1" x14ac:dyDescent="0.25">
      <c r="A359" s="129"/>
      <c r="B359" s="129"/>
      <c r="C359" s="194" t="s">
        <v>585</v>
      </c>
      <c r="D359" s="127">
        <v>2</v>
      </c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71">
        <f t="shared" si="4"/>
        <v>2</v>
      </c>
    </row>
    <row r="360" spans="1:16" ht="15" customHeight="1" x14ac:dyDescent="0.25">
      <c r="A360" s="129"/>
      <c r="B360" s="129"/>
      <c r="C360" s="194" t="s">
        <v>586</v>
      </c>
      <c r="D360" s="127">
        <v>1</v>
      </c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71">
        <f t="shared" si="4"/>
        <v>1</v>
      </c>
    </row>
    <row r="361" spans="1:16" ht="15" customHeight="1" x14ac:dyDescent="0.25">
      <c r="A361" s="129"/>
      <c r="B361" s="131"/>
      <c r="C361" s="195" t="s">
        <v>505</v>
      </c>
      <c r="D361" s="127">
        <v>14</v>
      </c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71">
        <f t="shared" si="4"/>
        <v>14</v>
      </c>
    </row>
    <row r="362" spans="1:16" ht="15" customHeight="1" x14ac:dyDescent="0.25">
      <c r="A362" s="129"/>
      <c r="B362" s="125" t="s">
        <v>34</v>
      </c>
      <c r="C362" s="193" t="s">
        <v>319</v>
      </c>
      <c r="D362" s="127">
        <v>1</v>
      </c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71">
        <f t="shared" si="4"/>
        <v>1</v>
      </c>
    </row>
    <row r="363" spans="1:16" ht="15" customHeight="1" x14ac:dyDescent="0.25">
      <c r="A363" s="129"/>
      <c r="B363" s="129"/>
      <c r="C363" s="194" t="s">
        <v>416</v>
      </c>
      <c r="D363" s="127">
        <v>3</v>
      </c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71">
        <f t="shared" si="4"/>
        <v>3</v>
      </c>
    </row>
    <row r="364" spans="1:16" ht="15" customHeight="1" x14ac:dyDescent="0.25">
      <c r="A364" s="129"/>
      <c r="B364" s="131"/>
      <c r="C364" s="195" t="s">
        <v>430</v>
      </c>
      <c r="D364" s="127">
        <v>2</v>
      </c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71">
        <f t="shared" si="4"/>
        <v>2</v>
      </c>
    </row>
    <row r="365" spans="1:16" ht="15" customHeight="1" x14ac:dyDescent="0.25">
      <c r="A365" s="129"/>
      <c r="B365" s="125" t="s">
        <v>20</v>
      </c>
      <c r="C365" s="193" t="s">
        <v>156</v>
      </c>
      <c r="D365" s="127">
        <v>1</v>
      </c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71">
        <f t="shared" si="4"/>
        <v>1</v>
      </c>
    </row>
    <row r="366" spans="1:16" ht="15" customHeight="1" x14ac:dyDescent="0.25">
      <c r="A366" s="129"/>
      <c r="B366" s="129"/>
      <c r="C366" s="194" t="s">
        <v>141</v>
      </c>
      <c r="D366" s="127">
        <v>13</v>
      </c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71">
        <f t="shared" si="4"/>
        <v>13</v>
      </c>
    </row>
    <row r="367" spans="1:16" ht="15" customHeight="1" x14ac:dyDescent="0.25">
      <c r="A367" s="129"/>
      <c r="B367" s="129"/>
      <c r="C367" s="194" t="s">
        <v>142</v>
      </c>
      <c r="D367" s="127">
        <v>4</v>
      </c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71">
        <f t="shared" si="4"/>
        <v>4</v>
      </c>
    </row>
    <row r="368" spans="1:16" ht="15" customHeight="1" x14ac:dyDescent="0.25">
      <c r="A368" s="129"/>
      <c r="B368" s="129"/>
      <c r="C368" s="194" t="s">
        <v>143</v>
      </c>
      <c r="D368" s="127">
        <v>1</v>
      </c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71">
        <f t="shared" si="4"/>
        <v>1</v>
      </c>
    </row>
    <row r="369" spans="1:16" ht="15" customHeight="1" x14ac:dyDescent="0.25">
      <c r="A369" s="129"/>
      <c r="B369" s="129"/>
      <c r="C369" s="194" t="s">
        <v>144</v>
      </c>
      <c r="D369" s="127">
        <v>3</v>
      </c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71">
        <f t="shared" si="4"/>
        <v>3</v>
      </c>
    </row>
    <row r="370" spans="1:16" ht="15" customHeight="1" x14ac:dyDescent="0.25">
      <c r="A370" s="129"/>
      <c r="B370" s="129"/>
      <c r="C370" s="194" t="s">
        <v>566</v>
      </c>
      <c r="D370" s="127">
        <v>1</v>
      </c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71">
        <f t="shared" si="4"/>
        <v>1</v>
      </c>
    </row>
    <row r="371" spans="1:16" ht="15" customHeight="1" x14ac:dyDescent="0.25">
      <c r="A371" s="131"/>
      <c r="B371" s="131"/>
      <c r="C371" s="195" t="s">
        <v>541</v>
      </c>
      <c r="D371" s="127">
        <v>4</v>
      </c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71">
        <f t="shared" si="4"/>
        <v>4</v>
      </c>
    </row>
    <row r="372" spans="1:16" ht="15" customHeight="1" x14ac:dyDescent="0.25">
      <c r="A372" s="133" t="s">
        <v>179</v>
      </c>
      <c r="B372" s="133" t="s">
        <v>29</v>
      </c>
      <c r="C372" s="196" t="s">
        <v>163</v>
      </c>
      <c r="D372" s="127">
        <v>1</v>
      </c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71">
        <f t="shared" si="4"/>
        <v>1</v>
      </c>
    </row>
    <row r="373" spans="1:16" ht="15" customHeight="1" x14ac:dyDescent="0.25">
      <c r="A373" s="125" t="s">
        <v>180</v>
      </c>
      <c r="B373" s="125" t="s">
        <v>24</v>
      </c>
      <c r="C373" s="193" t="s">
        <v>120</v>
      </c>
      <c r="D373" s="127">
        <v>2</v>
      </c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71">
        <f t="shared" si="4"/>
        <v>2</v>
      </c>
    </row>
    <row r="374" spans="1:16" ht="15" customHeight="1" x14ac:dyDescent="0.25">
      <c r="A374" s="131"/>
      <c r="B374" s="133" t="s">
        <v>39</v>
      </c>
      <c r="C374" s="196" t="s">
        <v>285</v>
      </c>
      <c r="D374" s="127">
        <v>1</v>
      </c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71">
        <f t="shared" si="4"/>
        <v>1</v>
      </c>
    </row>
    <row r="375" spans="1:16" ht="15" customHeight="1" x14ac:dyDescent="0.25">
      <c r="A375" s="125" t="s">
        <v>181</v>
      </c>
      <c r="B375" s="133" t="s">
        <v>23</v>
      </c>
      <c r="C375" s="196" t="s">
        <v>306</v>
      </c>
      <c r="D375" s="127">
        <v>1</v>
      </c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71">
        <f t="shared" si="4"/>
        <v>1</v>
      </c>
    </row>
    <row r="376" spans="1:16" ht="15" customHeight="1" x14ac:dyDescent="0.25">
      <c r="A376" s="129"/>
      <c r="B376" s="125" t="s">
        <v>22</v>
      </c>
      <c r="C376" s="193" t="s">
        <v>106</v>
      </c>
      <c r="D376" s="127">
        <v>5</v>
      </c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71">
        <f t="shared" si="4"/>
        <v>5</v>
      </c>
    </row>
    <row r="377" spans="1:16" ht="15" customHeight="1" x14ac:dyDescent="0.25">
      <c r="A377" s="129"/>
      <c r="B377" s="131"/>
      <c r="C377" s="195" t="s">
        <v>107</v>
      </c>
      <c r="D377" s="127">
        <v>1</v>
      </c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71">
        <f t="shared" si="4"/>
        <v>1</v>
      </c>
    </row>
    <row r="378" spans="1:16" ht="15" customHeight="1" x14ac:dyDescent="0.25">
      <c r="A378" s="129"/>
      <c r="B378" s="125" t="s">
        <v>21</v>
      </c>
      <c r="C378" s="193" t="s">
        <v>162</v>
      </c>
      <c r="D378" s="127">
        <v>1</v>
      </c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71">
        <f t="shared" si="4"/>
        <v>1</v>
      </c>
    </row>
    <row r="379" spans="1:16" ht="15" customHeight="1" x14ac:dyDescent="0.25">
      <c r="A379" s="129"/>
      <c r="B379" s="129"/>
      <c r="C379" s="194" t="s">
        <v>110</v>
      </c>
      <c r="D379" s="127">
        <v>1</v>
      </c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71">
        <f t="shared" si="4"/>
        <v>1</v>
      </c>
    </row>
    <row r="380" spans="1:16" ht="15" customHeight="1" x14ac:dyDescent="0.25">
      <c r="A380" s="129"/>
      <c r="B380" s="131"/>
      <c r="C380" s="195" t="s">
        <v>113</v>
      </c>
      <c r="D380" s="127">
        <v>4</v>
      </c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71">
        <f t="shared" si="4"/>
        <v>4</v>
      </c>
    </row>
    <row r="381" spans="1:16" ht="15" customHeight="1" x14ac:dyDescent="0.25">
      <c r="A381" s="129"/>
      <c r="B381" s="125" t="s">
        <v>24</v>
      </c>
      <c r="C381" s="193" t="s">
        <v>114</v>
      </c>
      <c r="D381" s="127">
        <v>2</v>
      </c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71">
        <f t="shared" si="4"/>
        <v>2</v>
      </c>
    </row>
    <row r="382" spans="1:16" ht="15" customHeight="1" x14ac:dyDescent="0.25">
      <c r="A382" s="129"/>
      <c r="B382" s="129"/>
      <c r="C382" s="194" t="s">
        <v>115</v>
      </c>
      <c r="D382" s="127">
        <v>2</v>
      </c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71">
        <f t="shared" si="4"/>
        <v>2</v>
      </c>
    </row>
    <row r="383" spans="1:16" ht="15" customHeight="1" x14ac:dyDescent="0.25">
      <c r="A383" s="129"/>
      <c r="B383" s="129"/>
      <c r="C383" s="194" t="s">
        <v>116</v>
      </c>
      <c r="D383" s="127">
        <v>1</v>
      </c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71">
        <f t="shared" si="4"/>
        <v>1</v>
      </c>
    </row>
    <row r="384" spans="1:16" ht="15" customHeight="1" x14ac:dyDescent="0.25">
      <c r="A384" s="129"/>
      <c r="B384" s="129"/>
      <c r="C384" s="194" t="s">
        <v>119</v>
      </c>
      <c r="D384" s="127">
        <v>1</v>
      </c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71">
        <f t="shared" si="4"/>
        <v>1</v>
      </c>
    </row>
    <row r="385" spans="1:16" ht="15" customHeight="1" x14ac:dyDescent="0.25">
      <c r="A385" s="129"/>
      <c r="B385" s="129"/>
      <c r="C385" s="194" t="s">
        <v>120</v>
      </c>
      <c r="D385" s="127">
        <v>20</v>
      </c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71">
        <f t="shared" si="4"/>
        <v>20</v>
      </c>
    </row>
    <row r="386" spans="1:16" ht="15" customHeight="1" x14ac:dyDescent="0.25">
      <c r="A386" s="129"/>
      <c r="B386" s="129"/>
      <c r="C386" s="194" t="s">
        <v>121</v>
      </c>
      <c r="D386" s="127">
        <v>1</v>
      </c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71">
        <f t="shared" si="4"/>
        <v>1</v>
      </c>
    </row>
    <row r="387" spans="1:16" ht="15" customHeight="1" x14ac:dyDescent="0.25">
      <c r="A387" s="129"/>
      <c r="B387" s="131"/>
      <c r="C387" s="195" t="s">
        <v>122</v>
      </c>
      <c r="D387" s="127">
        <v>4</v>
      </c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71">
        <f t="shared" si="4"/>
        <v>4</v>
      </c>
    </row>
    <row r="388" spans="1:16" ht="15" customHeight="1" x14ac:dyDescent="0.25">
      <c r="A388" s="129"/>
      <c r="B388" s="125" t="s">
        <v>29</v>
      </c>
      <c r="C388" s="193" t="s">
        <v>123</v>
      </c>
      <c r="D388" s="127">
        <v>2</v>
      </c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71">
        <f t="shared" si="4"/>
        <v>2</v>
      </c>
    </row>
    <row r="389" spans="1:16" ht="15" customHeight="1" x14ac:dyDescent="0.25">
      <c r="A389" s="129"/>
      <c r="B389" s="129"/>
      <c r="C389" s="194" t="s">
        <v>125</v>
      </c>
      <c r="D389" s="127">
        <v>1</v>
      </c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71">
        <f t="shared" si="4"/>
        <v>1</v>
      </c>
    </row>
    <row r="390" spans="1:16" ht="15" customHeight="1" x14ac:dyDescent="0.25">
      <c r="A390" s="129"/>
      <c r="B390" s="129"/>
      <c r="C390" s="194" t="s">
        <v>163</v>
      </c>
      <c r="D390" s="127">
        <v>2</v>
      </c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71">
        <f t="shared" si="4"/>
        <v>2</v>
      </c>
    </row>
    <row r="391" spans="1:16" ht="15" customHeight="1" x14ac:dyDescent="0.25">
      <c r="A391" s="129"/>
      <c r="B391" s="131"/>
      <c r="C391" s="195" t="s">
        <v>311</v>
      </c>
      <c r="D391" s="127">
        <v>1</v>
      </c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71">
        <f t="shared" si="4"/>
        <v>1</v>
      </c>
    </row>
    <row r="392" spans="1:16" ht="15" customHeight="1" x14ac:dyDescent="0.25">
      <c r="A392" s="129"/>
      <c r="B392" s="125" t="s">
        <v>32</v>
      </c>
      <c r="C392" s="193" t="s">
        <v>164</v>
      </c>
      <c r="D392" s="127">
        <v>1</v>
      </c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71">
        <f t="shared" si="4"/>
        <v>1</v>
      </c>
    </row>
    <row r="393" spans="1:16" ht="15" customHeight="1" x14ac:dyDescent="0.25">
      <c r="A393" s="131"/>
      <c r="B393" s="131"/>
      <c r="C393" s="195" t="s">
        <v>165</v>
      </c>
      <c r="D393" s="127">
        <v>3</v>
      </c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71">
        <f t="shared" si="4"/>
        <v>3</v>
      </c>
    </row>
    <row r="394" spans="1:16" ht="15" customHeight="1" x14ac:dyDescent="0.25">
      <c r="A394" s="125" t="s">
        <v>182</v>
      </c>
      <c r="B394" s="125" t="s">
        <v>35</v>
      </c>
      <c r="C394" s="193" t="s">
        <v>471</v>
      </c>
      <c r="D394" s="127">
        <v>1</v>
      </c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71">
        <f t="shared" si="4"/>
        <v>1</v>
      </c>
    </row>
    <row r="395" spans="1:16" ht="15" customHeight="1" x14ac:dyDescent="0.25">
      <c r="A395" s="129"/>
      <c r="B395" s="133" t="s">
        <v>23</v>
      </c>
      <c r="C395" s="196" t="s">
        <v>482</v>
      </c>
      <c r="D395" s="127">
        <v>1</v>
      </c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71">
        <f t="shared" si="4"/>
        <v>1</v>
      </c>
    </row>
    <row r="396" spans="1:16" ht="15" customHeight="1" x14ac:dyDescent="0.25">
      <c r="A396" s="129"/>
      <c r="B396" s="125" t="s">
        <v>65</v>
      </c>
      <c r="C396" s="193" t="s">
        <v>101</v>
      </c>
      <c r="D396" s="127">
        <v>6</v>
      </c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71">
        <f t="shared" si="4"/>
        <v>6</v>
      </c>
    </row>
    <row r="397" spans="1:16" ht="15" customHeight="1" x14ac:dyDescent="0.25">
      <c r="A397" s="129"/>
      <c r="B397" s="131"/>
      <c r="C397" s="195" t="s">
        <v>160</v>
      </c>
      <c r="D397" s="127">
        <v>3</v>
      </c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71">
        <f t="shared" si="4"/>
        <v>3</v>
      </c>
    </row>
    <row r="398" spans="1:16" ht="15" customHeight="1" x14ac:dyDescent="0.25">
      <c r="A398" s="129"/>
      <c r="B398" s="125" t="s">
        <v>22</v>
      </c>
      <c r="C398" s="193" t="s">
        <v>106</v>
      </c>
      <c r="D398" s="127">
        <v>8</v>
      </c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71">
        <f t="shared" si="4"/>
        <v>8</v>
      </c>
    </row>
    <row r="399" spans="1:16" ht="15" customHeight="1" x14ac:dyDescent="0.25">
      <c r="A399" s="129"/>
      <c r="B399" s="129"/>
      <c r="C399" s="194" t="s">
        <v>107</v>
      </c>
      <c r="D399" s="127">
        <v>2</v>
      </c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71">
        <f t="shared" si="4"/>
        <v>2</v>
      </c>
    </row>
    <row r="400" spans="1:16" ht="15" customHeight="1" x14ac:dyDescent="0.25">
      <c r="A400" s="129"/>
      <c r="B400" s="129"/>
      <c r="C400" s="194" t="s">
        <v>105</v>
      </c>
      <c r="D400" s="127">
        <v>2</v>
      </c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71">
        <f t="shared" si="4"/>
        <v>2</v>
      </c>
    </row>
    <row r="401" spans="1:16" ht="15" customHeight="1" x14ac:dyDescent="0.25">
      <c r="A401" s="129"/>
      <c r="B401" s="131"/>
      <c r="C401" s="195" t="s">
        <v>108</v>
      </c>
      <c r="D401" s="127">
        <v>2</v>
      </c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71">
        <f t="shared" si="4"/>
        <v>2</v>
      </c>
    </row>
    <row r="402" spans="1:16" ht="15" customHeight="1" x14ac:dyDescent="0.25">
      <c r="A402" s="129"/>
      <c r="B402" s="125" t="s">
        <v>21</v>
      </c>
      <c r="C402" s="193" t="s">
        <v>162</v>
      </c>
      <c r="D402" s="127">
        <v>6</v>
      </c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71">
        <f t="shared" si="4"/>
        <v>6</v>
      </c>
    </row>
    <row r="403" spans="1:16" ht="15" customHeight="1" x14ac:dyDescent="0.25">
      <c r="A403" s="129"/>
      <c r="B403" s="131"/>
      <c r="C403" s="195" t="s">
        <v>571</v>
      </c>
      <c r="D403" s="127">
        <v>1</v>
      </c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71">
        <f t="shared" si="4"/>
        <v>1</v>
      </c>
    </row>
    <row r="404" spans="1:16" ht="15" customHeight="1" x14ac:dyDescent="0.25">
      <c r="A404" s="129"/>
      <c r="B404" s="125" t="s">
        <v>24</v>
      </c>
      <c r="C404" s="193" t="s">
        <v>114</v>
      </c>
      <c r="D404" s="127">
        <v>2</v>
      </c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71">
        <f t="shared" si="4"/>
        <v>2</v>
      </c>
    </row>
    <row r="405" spans="1:16" ht="15" customHeight="1" x14ac:dyDescent="0.25">
      <c r="A405" s="129"/>
      <c r="B405" s="129"/>
      <c r="C405" s="194" t="s">
        <v>115</v>
      </c>
      <c r="D405" s="127">
        <v>1</v>
      </c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71">
        <f t="shared" si="4"/>
        <v>1</v>
      </c>
    </row>
    <row r="406" spans="1:16" ht="15" customHeight="1" x14ac:dyDescent="0.25">
      <c r="A406" s="129"/>
      <c r="B406" s="129"/>
      <c r="C406" s="194" t="s">
        <v>118</v>
      </c>
      <c r="D406" s="127">
        <v>2</v>
      </c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71">
        <f t="shared" si="4"/>
        <v>2</v>
      </c>
    </row>
    <row r="407" spans="1:16" ht="15" customHeight="1" x14ac:dyDescent="0.25">
      <c r="A407" s="129"/>
      <c r="B407" s="129"/>
      <c r="C407" s="194" t="s">
        <v>119</v>
      </c>
      <c r="D407" s="127">
        <v>5</v>
      </c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71">
        <f t="shared" si="4"/>
        <v>5</v>
      </c>
    </row>
    <row r="408" spans="1:16" ht="15" customHeight="1" x14ac:dyDescent="0.25">
      <c r="A408" s="129"/>
      <c r="B408" s="129"/>
      <c r="C408" s="194" t="s">
        <v>120</v>
      </c>
      <c r="D408" s="127">
        <v>7</v>
      </c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71">
        <f t="shared" si="4"/>
        <v>7</v>
      </c>
    </row>
    <row r="409" spans="1:16" ht="15" customHeight="1" x14ac:dyDescent="0.25">
      <c r="A409" s="129"/>
      <c r="B409" s="129"/>
      <c r="C409" s="194" t="s">
        <v>357</v>
      </c>
      <c r="D409" s="127">
        <v>1</v>
      </c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71">
        <f t="shared" si="4"/>
        <v>1</v>
      </c>
    </row>
    <row r="410" spans="1:16" ht="15" customHeight="1" x14ac:dyDescent="0.25">
      <c r="A410" s="129"/>
      <c r="B410" s="129"/>
      <c r="C410" s="194" t="s">
        <v>121</v>
      </c>
      <c r="D410" s="127">
        <v>1</v>
      </c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71">
        <f t="shared" si="4"/>
        <v>1</v>
      </c>
    </row>
    <row r="411" spans="1:16" ht="15" customHeight="1" x14ac:dyDescent="0.25">
      <c r="A411" s="129"/>
      <c r="B411" s="131"/>
      <c r="C411" s="195" t="s">
        <v>122</v>
      </c>
      <c r="D411" s="127">
        <v>2</v>
      </c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71">
        <f t="shared" si="4"/>
        <v>2</v>
      </c>
    </row>
    <row r="412" spans="1:16" ht="15" customHeight="1" x14ac:dyDescent="0.25">
      <c r="A412" s="129"/>
      <c r="B412" s="125" t="s">
        <v>29</v>
      </c>
      <c r="C412" s="193" t="s">
        <v>123</v>
      </c>
      <c r="D412" s="127">
        <v>3</v>
      </c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71">
        <f t="shared" si="4"/>
        <v>3</v>
      </c>
    </row>
    <row r="413" spans="1:16" ht="15" customHeight="1" x14ac:dyDescent="0.25">
      <c r="A413" s="129"/>
      <c r="B413" s="133" t="s">
        <v>447</v>
      </c>
      <c r="C413" s="196" t="s">
        <v>580</v>
      </c>
      <c r="D413" s="127">
        <v>1</v>
      </c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71">
        <f t="shared" si="4"/>
        <v>1</v>
      </c>
    </row>
    <row r="414" spans="1:16" ht="15" customHeight="1" x14ac:dyDescent="0.25">
      <c r="A414" s="129"/>
      <c r="B414" s="125" t="s">
        <v>19</v>
      </c>
      <c r="C414" s="193" t="s">
        <v>129</v>
      </c>
      <c r="D414" s="127">
        <v>1</v>
      </c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71">
        <f t="shared" si="4"/>
        <v>1</v>
      </c>
    </row>
    <row r="415" spans="1:16" ht="15" customHeight="1" x14ac:dyDescent="0.25">
      <c r="A415" s="129"/>
      <c r="B415" s="129"/>
      <c r="C415" s="194" t="s">
        <v>585</v>
      </c>
      <c r="D415" s="127">
        <v>3</v>
      </c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71">
        <f t="shared" si="4"/>
        <v>3</v>
      </c>
    </row>
    <row r="416" spans="1:16" ht="15" customHeight="1" x14ac:dyDescent="0.25">
      <c r="A416" s="129"/>
      <c r="B416" s="131"/>
      <c r="C416" s="195" t="s">
        <v>586</v>
      </c>
      <c r="D416" s="127">
        <v>2</v>
      </c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71">
        <f t="shared" si="4"/>
        <v>2</v>
      </c>
    </row>
    <row r="417" spans="1:16" ht="15" customHeight="1" x14ac:dyDescent="0.25">
      <c r="A417" s="129"/>
      <c r="B417" s="125" t="s">
        <v>34</v>
      </c>
      <c r="C417" s="193" t="s">
        <v>430</v>
      </c>
      <c r="D417" s="127">
        <v>2</v>
      </c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71">
        <f t="shared" si="4"/>
        <v>2</v>
      </c>
    </row>
    <row r="418" spans="1:16" ht="15" customHeight="1" x14ac:dyDescent="0.25">
      <c r="A418" s="129"/>
      <c r="B418" s="131"/>
      <c r="C418" s="195" t="s">
        <v>530</v>
      </c>
      <c r="D418" s="127">
        <v>1</v>
      </c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71">
        <f t="shared" si="4"/>
        <v>1</v>
      </c>
    </row>
    <row r="419" spans="1:16" ht="15" customHeight="1" x14ac:dyDescent="0.25">
      <c r="A419" s="129"/>
      <c r="B419" s="125" t="s">
        <v>426</v>
      </c>
      <c r="C419" s="193" t="s">
        <v>610</v>
      </c>
      <c r="D419" s="127">
        <v>1</v>
      </c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71">
        <f t="shared" si="4"/>
        <v>1</v>
      </c>
    </row>
    <row r="420" spans="1:16" ht="15" customHeight="1" x14ac:dyDescent="0.25">
      <c r="A420" s="131"/>
      <c r="B420" s="133" t="s">
        <v>20</v>
      </c>
      <c r="C420" s="196" t="s">
        <v>141</v>
      </c>
      <c r="D420" s="127">
        <v>4</v>
      </c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71">
        <f t="shared" si="4"/>
        <v>4</v>
      </c>
    </row>
    <row r="421" spans="1:16" ht="15" customHeight="1" x14ac:dyDescent="0.25">
      <c r="A421" s="125" t="s">
        <v>331</v>
      </c>
      <c r="B421" s="133" t="s">
        <v>21</v>
      </c>
      <c r="C421" s="196" t="s">
        <v>162</v>
      </c>
      <c r="D421" s="127">
        <v>1</v>
      </c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71">
        <f t="shared" si="4"/>
        <v>1</v>
      </c>
    </row>
    <row r="422" spans="1:16" ht="15" customHeight="1" x14ac:dyDescent="0.25">
      <c r="A422" s="129"/>
      <c r="B422" s="125" t="s">
        <v>29</v>
      </c>
      <c r="C422" s="193" t="s">
        <v>126</v>
      </c>
      <c r="D422" s="127">
        <v>1</v>
      </c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71">
        <f t="shared" si="4"/>
        <v>1</v>
      </c>
    </row>
    <row r="423" spans="1:16" ht="15" customHeight="1" x14ac:dyDescent="0.25">
      <c r="A423" s="131"/>
      <c r="B423" s="131"/>
      <c r="C423" s="195" t="s">
        <v>163</v>
      </c>
      <c r="D423" s="127">
        <v>1</v>
      </c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71">
        <f t="shared" si="4"/>
        <v>1</v>
      </c>
    </row>
    <row r="424" spans="1:16" ht="15" customHeight="1" x14ac:dyDescent="0.25">
      <c r="A424" s="125" t="s">
        <v>183</v>
      </c>
      <c r="B424" s="125" t="s">
        <v>35</v>
      </c>
      <c r="C424" s="193" t="s">
        <v>91</v>
      </c>
      <c r="D424" s="127">
        <v>1</v>
      </c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71">
        <f t="shared" si="4"/>
        <v>1</v>
      </c>
    </row>
    <row r="425" spans="1:16" ht="15" customHeight="1" x14ac:dyDescent="0.25">
      <c r="A425" s="129"/>
      <c r="B425" s="129"/>
      <c r="C425" s="194" t="s">
        <v>469</v>
      </c>
      <c r="D425" s="127">
        <v>1</v>
      </c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71">
        <f t="shared" si="4"/>
        <v>1</v>
      </c>
    </row>
    <row r="426" spans="1:16" ht="15" customHeight="1" x14ac:dyDescent="0.25">
      <c r="A426" s="129"/>
      <c r="B426" s="129"/>
      <c r="C426" s="194" t="s">
        <v>473</v>
      </c>
      <c r="D426" s="127">
        <v>1</v>
      </c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71">
        <f t="shared" si="4"/>
        <v>1</v>
      </c>
    </row>
    <row r="427" spans="1:16" ht="15" customHeight="1" x14ac:dyDescent="0.25">
      <c r="A427" s="129"/>
      <c r="B427" s="131"/>
      <c r="C427" s="195" t="s">
        <v>474</v>
      </c>
      <c r="D427" s="127">
        <v>2</v>
      </c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71">
        <f t="shared" si="4"/>
        <v>2</v>
      </c>
    </row>
    <row r="428" spans="1:16" ht="15" customHeight="1" x14ac:dyDescent="0.25">
      <c r="A428" s="129"/>
      <c r="B428" s="125" t="s">
        <v>23</v>
      </c>
      <c r="C428" s="193" t="s">
        <v>94</v>
      </c>
      <c r="D428" s="127">
        <v>1</v>
      </c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71">
        <f t="shared" si="4"/>
        <v>1</v>
      </c>
    </row>
    <row r="429" spans="1:16" ht="15" customHeight="1" x14ac:dyDescent="0.25">
      <c r="A429" s="129"/>
      <c r="B429" s="129"/>
      <c r="C429" s="194" t="s">
        <v>356</v>
      </c>
      <c r="D429" s="127">
        <v>2</v>
      </c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71">
        <f t="shared" si="4"/>
        <v>2</v>
      </c>
    </row>
    <row r="430" spans="1:16" ht="15" customHeight="1" x14ac:dyDescent="0.25">
      <c r="A430" s="129"/>
      <c r="B430" s="129"/>
      <c r="C430" s="194" t="s">
        <v>149</v>
      </c>
      <c r="D430" s="127">
        <v>3</v>
      </c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71">
        <f t="shared" si="4"/>
        <v>3</v>
      </c>
    </row>
    <row r="431" spans="1:16" ht="15" customHeight="1" x14ac:dyDescent="0.25">
      <c r="A431" s="129"/>
      <c r="B431" s="129"/>
      <c r="C431" s="194" t="s">
        <v>389</v>
      </c>
      <c r="D431" s="127">
        <v>2</v>
      </c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71">
        <f t="shared" si="4"/>
        <v>2</v>
      </c>
    </row>
    <row r="432" spans="1:16" ht="15" customHeight="1" x14ac:dyDescent="0.25">
      <c r="A432" s="129"/>
      <c r="B432" s="129"/>
      <c r="C432" s="194" t="s">
        <v>307</v>
      </c>
      <c r="D432" s="127">
        <v>1</v>
      </c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71">
        <f t="shared" si="4"/>
        <v>1</v>
      </c>
    </row>
    <row r="433" spans="1:16" ht="15" customHeight="1" x14ac:dyDescent="0.25">
      <c r="A433" s="129"/>
      <c r="B433" s="129"/>
      <c r="C433" s="194" t="s">
        <v>551</v>
      </c>
      <c r="D433" s="127">
        <v>1</v>
      </c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71">
        <f t="shared" si="4"/>
        <v>1</v>
      </c>
    </row>
    <row r="434" spans="1:16" ht="15" customHeight="1" x14ac:dyDescent="0.25">
      <c r="A434" s="129"/>
      <c r="B434" s="129"/>
      <c r="C434" s="194" t="s">
        <v>305</v>
      </c>
      <c r="D434" s="127">
        <v>3</v>
      </c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71">
        <f t="shared" si="4"/>
        <v>3</v>
      </c>
    </row>
    <row r="435" spans="1:16" ht="15" customHeight="1" x14ac:dyDescent="0.25">
      <c r="A435" s="129"/>
      <c r="B435" s="129"/>
      <c r="C435" s="194" t="s">
        <v>306</v>
      </c>
      <c r="D435" s="127">
        <v>1</v>
      </c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71">
        <f t="shared" si="4"/>
        <v>1</v>
      </c>
    </row>
    <row r="436" spans="1:16" ht="15" customHeight="1" x14ac:dyDescent="0.25">
      <c r="A436" s="129"/>
      <c r="B436" s="129"/>
      <c r="C436" s="194" t="s">
        <v>478</v>
      </c>
      <c r="D436" s="127">
        <v>2</v>
      </c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71">
        <f t="shared" si="4"/>
        <v>2</v>
      </c>
    </row>
    <row r="437" spans="1:16" ht="15" customHeight="1" x14ac:dyDescent="0.25">
      <c r="A437" s="129"/>
      <c r="B437" s="129"/>
      <c r="C437" s="194" t="s">
        <v>482</v>
      </c>
      <c r="D437" s="127">
        <v>1</v>
      </c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71">
        <f t="shared" si="4"/>
        <v>1</v>
      </c>
    </row>
    <row r="438" spans="1:16" ht="15" customHeight="1" x14ac:dyDescent="0.25">
      <c r="A438" s="129"/>
      <c r="B438" s="131"/>
      <c r="C438" s="195" t="s">
        <v>552</v>
      </c>
      <c r="D438" s="127">
        <v>1</v>
      </c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71">
        <f t="shared" si="4"/>
        <v>1</v>
      </c>
    </row>
    <row r="439" spans="1:16" ht="15" customHeight="1" x14ac:dyDescent="0.25">
      <c r="A439" s="129"/>
      <c r="B439" s="133" t="s">
        <v>28</v>
      </c>
      <c r="C439" s="196" t="s">
        <v>151</v>
      </c>
      <c r="D439" s="127">
        <v>1</v>
      </c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71">
        <f t="shared" si="4"/>
        <v>1</v>
      </c>
    </row>
    <row r="440" spans="1:16" ht="15" customHeight="1" x14ac:dyDescent="0.25">
      <c r="A440" s="129"/>
      <c r="B440" s="125" t="s">
        <v>65</v>
      </c>
      <c r="C440" s="193" t="s">
        <v>101</v>
      </c>
      <c r="D440" s="127">
        <v>13</v>
      </c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71">
        <f t="shared" si="4"/>
        <v>13</v>
      </c>
    </row>
    <row r="441" spans="1:16" ht="15" customHeight="1" x14ac:dyDescent="0.25">
      <c r="A441" s="129"/>
      <c r="B441" s="129"/>
      <c r="C441" s="194" t="s">
        <v>102</v>
      </c>
      <c r="D441" s="127">
        <v>1</v>
      </c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71">
        <f t="shared" si="4"/>
        <v>1</v>
      </c>
    </row>
    <row r="442" spans="1:16" ht="15" customHeight="1" x14ac:dyDescent="0.25">
      <c r="A442" s="129"/>
      <c r="B442" s="129"/>
      <c r="C442" s="194" t="s">
        <v>160</v>
      </c>
      <c r="D442" s="127">
        <v>9</v>
      </c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71">
        <f t="shared" si="4"/>
        <v>9</v>
      </c>
    </row>
    <row r="443" spans="1:16" ht="15" customHeight="1" x14ac:dyDescent="0.25">
      <c r="A443" s="129"/>
      <c r="B443" s="131"/>
      <c r="C443" s="195" t="s">
        <v>569</v>
      </c>
      <c r="D443" s="127">
        <v>1</v>
      </c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71">
        <f t="shared" si="4"/>
        <v>1</v>
      </c>
    </row>
    <row r="444" spans="1:16" ht="15" customHeight="1" x14ac:dyDescent="0.25">
      <c r="A444" s="129"/>
      <c r="B444" s="125" t="s">
        <v>22</v>
      </c>
      <c r="C444" s="193" t="s">
        <v>106</v>
      </c>
      <c r="D444" s="127">
        <v>6</v>
      </c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71">
        <f t="shared" si="4"/>
        <v>6</v>
      </c>
    </row>
    <row r="445" spans="1:16" ht="15" customHeight="1" x14ac:dyDescent="0.25">
      <c r="A445" s="129"/>
      <c r="B445" s="129"/>
      <c r="C445" s="194" t="s">
        <v>161</v>
      </c>
      <c r="D445" s="127">
        <v>1</v>
      </c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71">
        <f t="shared" si="4"/>
        <v>1</v>
      </c>
    </row>
    <row r="446" spans="1:16" ht="15" customHeight="1" x14ac:dyDescent="0.25">
      <c r="A446" s="129"/>
      <c r="B446" s="129"/>
      <c r="C446" s="194" t="s">
        <v>107</v>
      </c>
      <c r="D446" s="127">
        <v>1</v>
      </c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71">
        <f t="shared" si="4"/>
        <v>1</v>
      </c>
    </row>
    <row r="447" spans="1:16" ht="15" customHeight="1" x14ac:dyDescent="0.25">
      <c r="A447" s="129"/>
      <c r="B447" s="129"/>
      <c r="C447" s="194" t="s">
        <v>484</v>
      </c>
      <c r="D447" s="127">
        <v>1</v>
      </c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71">
        <f t="shared" si="4"/>
        <v>1</v>
      </c>
    </row>
    <row r="448" spans="1:16" ht="15" customHeight="1" x14ac:dyDescent="0.25">
      <c r="A448" s="129"/>
      <c r="B448" s="131"/>
      <c r="C448" s="195" t="s">
        <v>109</v>
      </c>
      <c r="D448" s="127">
        <v>1</v>
      </c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71">
        <f t="shared" si="4"/>
        <v>1</v>
      </c>
    </row>
    <row r="449" spans="1:16" ht="15" customHeight="1" x14ac:dyDescent="0.25">
      <c r="A449" s="129"/>
      <c r="B449" s="125" t="s">
        <v>21</v>
      </c>
      <c r="C449" s="193" t="s">
        <v>162</v>
      </c>
      <c r="D449" s="127">
        <v>3</v>
      </c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71">
        <f t="shared" si="4"/>
        <v>3</v>
      </c>
    </row>
    <row r="450" spans="1:16" ht="15" customHeight="1" x14ac:dyDescent="0.25">
      <c r="A450" s="129"/>
      <c r="B450" s="129"/>
      <c r="C450" s="194" t="s">
        <v>110</v>
      </c>
      <c r="D450" s="127">
        <v>1</v>
      </c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71">
        <f t="shared" si="4"/>
        <v>1</v>
      </c>
    </row>
    <row r="451" spans="1:16" ht="15" customHeight="1" x14ac:dyDescent="0.25">
      <c r="A451" s="129"/>
      <c r="B451" s="129"/>
      <c r="C451" s="194" t="s">
        <v>570</v>
      </c>
      <c r="D451" s="127">
        <v>1</v>
      </c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71">
        <f t="shared" si="4"/>
        <v>1</v>
      </c>
    </row>
    <row r="452" spans="1:16" ht="15" customHeight="1" x14ac:dyDescent="0.25">
      <c r="A452" s="129"/>
      <c r="B452" s="129"/>
      <c r="C452" s="194" t="s">
        <v>112</v>
      </c>
      <c r="D452" s="127">
        <v>2</v>
      </c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71">
        <f t="shared" si="4"/>
        <v>2</v>
      </c>
    </row>
    <row r="453" spans="1:16" ht="15" customHeight="1" x14ac:dyDescent="0.25">
      <c r="A453" s="129"/>
      <c r="B453" s="129"/>
      <c r="C453" s="194" t="s">
        <v>113</v>
      </c>
      <c r="D453" s="127">
        <v>5</v>
      </c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71">
        <f t="shared" si="4"/>
        <v>5</v>
      </c>
    </row>
    <row r="454" spans="1:16" ht="15" customHeight="1" x14ac:dyDescent="0.25">
      <c r="A454" s="129"/>
      <c r="B454" s="129"/>
      <c r="C454" s="194" t="s">
        <v>310</v>
      </c>
      <c r="D454" s="127">
        <v>1</v>
      </c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71">
        <f t="shared" si="4"/>
        <v>1</v>
      </c>
    </row>
    <row r="455" spans="1:16" ht="15" customHeight="1" x14ac:dyDescent="0.25">
      <c r="A455" s="129"/>
      <c r="B455" s="129"/>
      <c r="C455" s="194" t="s">
        <v>571</v>
      </c>
      <c r="D455" s="127">
        <v>1</v>
      </c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71">
        <f t="shared" si="4"/>
        <v>1</v>
      </c>
    </row>
    <row r="456" spans="1:16" ht="15" customHeight="1" x14ac:dyDescent="0.25">
      <c r="A456" s="129"/>
      <c r="B456" s="131"/>
      <c r="C456" s="195" t="s">
        <v>572</v>
      </c>
      <c r="D456" s="127">
        <v>1</v>
      </c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71">
        <f t="shared" si="4"/>
        <v>1</v>
      </c>
    </row>
    <row r="457" spans="1:16" ht="15" customHeight="1" x14ac:dyDescent="0.25">
      <c r="A457" s="129"/>
      <c r="B457" s="133" t="s">
        <v>26</v>
      </c>
      <c r="C457" s="196" t="s">
        <v>288</v>
      </c>
      <c r="D457" s="127">
        <v>7</v>
      </c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71">
        <f t="shared" si="4"/>
        <v>7</v>
      </c>
    </row>
    <row r="458" spans="1:16" ht="15" customHeight="1" x14ac:dyDescent="0.25">
      <c r="A458" s="129"/>
      <c r="B458" s="125" t="s">
        <v>24</v>
      </c>
      <c r="C458" s="193" t="s">
        <v>114</v>
      </c>
      <c r="D458" s="127">
        <v>3</v>
      </c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71">
        <f t="shared" si="4"/>
        <v>3</v>
      </c>
    </row>
    <row r="459" spans="1:16" ht="15" customHeight="1" x14ac:dyDescent="0.25">
      <c r="A459" s="129"/>
      <c r="B459" s="129"/>
      <c r="C459" s="194" t="s">
        <v>115</v>
      </c>
      <c r="D459" s="127">
        <v>1</v>
      </c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71">
        <f t="shared" si="4"/>
        <v>1</v>
      </c>
    </row>
    <row r="460" spans="1:16" ht="15" customHeight="1" x14ac:dyDescent="0.25">
      <c r="A460" s="129"/>
      <c r="B460" s="129"/>
      <c r="C460" s="194" t="s">
        <v>116</v>
      </c>
      <c r="D460" s="127">
        <v>1</v>
      </c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71">
        <f t="shared" si="4"/>
        <v>1</v>
      </c>
    </row>
    <row r="461" spans="1:16" ht="15" customHeight="1" x14ac:dyDescent="0.25">
      <c r="A461" s="129"/>
      <c r="B461" s="129"/>
      <c r="C461" s="194" t="s">
        <v>119</v>
      </c>
      <c r="D461" s="127">
        <v>4</v>
      </c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71">
        <f t="shared" si="4"/>
        <v>4</v>
      </c>
    </row>
    <row r="462" spans="1:16" ht="15" customHeight="1" x14ac:dyDescent="0.25">
      <c r="A462" s="129"/>
      <c r="B462" s="129"/>
      <c r="C462" s="194" t="s">
        <v>120</v>
      </c>
      <c r="D462" s="127">
        <v>8</v>
      </c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71">
        <f t="shared" si="4"/>
        <v>8</v>
      </c>
    </row>
    <row r="463" spans="1:16" ht="15" customHeight="1" x14ac:dyDescent="0.25">
      <c r="A463" s="129"/>
      <c r="B463" s="131"/>
      <c r="C463" s="195" t="s">
        <v>121</v>
      </c>
      <c r="D463" s="127">
        <v>7</v>
      </c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71">
        <f t="shared" si="4"/>
        <v>7</v>
      </c>
    </row>
    <row r="464" spans="1:16" ht="15" customHeight="1" x14ac:dyDescent="0.25">
      <c r="A464" s="129"/>
      <c r="B464" s="133" t="s">
        <v>45</v>
      </c>
      <c r="C464" s="196" t="s">
        <v>327</v>
      </c>
      <c r="D464" s="127">
        <v>2</v>
      </c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71">
        <f t="shared" si="4"/>
        <v>2</v>
      </c>
    </row>
    <row r="465" spans="1:16" ht="15" customHeight="1" x14ac:dyDescent="0.25">
      <c r="A465" s="129"/>
      <c r="B465" s="125" t="s">
        <v>29</v>
      </c>
      <c r="C465" s="193" t="s">
        <v>123</v>
      </c>
      <c r="D465" s="127">
        <v>1</v>
      </c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71">
        <f t="shared" si="4"/>
        <v>1</v>
      </c>
    </row>
    <row r="466" spans="1:16" ht="15" customHeight="1" x14ac:dyDescent="0.25">
      <c r="A466" s="129"/>
      <c r="B466" s="129"/>
      <c r="C466" s="194" t="s">
        <v>492</v>
      </c>
      <c r="D466" s="127">
        <v>3</v>
      </c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71">
        <f t="shared" si="4"/>
        <v>3</v>
      </c>
    </row>
    <row r="467" spans="1:16" ht="15" customHeight="1" x14ac:dyDescent="0.25">
      <c r="A467" s="129"/>
      <c r="B467" s="129"/>
      <c r="C467" s="194" t="s">
        <v>124</v>
      </c>
      <c r="D467" s="127">
        <v>1</v>
      </c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71">
        <f t="shared" si="4"/>
        <v>1</v>
      </c>
    </row>
    <row r="468" spans="1:16" ht="15" customHeight="1" x14ac:dyDescent="0.25">
      <c r="A468" s="129"/>
      <c r="B468" s="129"/>
      <c r="C468" s="194" t="s">
        <v>125</v>
      </c>
      <c r="D468" s="127">
        <v>2</v>
      </c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71">
        <f t="shared" si="4"/>
        <v>2</v>
      </c>
    </row>
    <row r="469" spans="1:16" ht="15" customHeight="1" x14ac:dyDescent="0.25">
      <c r="A469" s="129"/>
      <c r="B469" s="129"/>
      <c r="C469" s="194" t="s">
        <v>126</v>
      </c>
      <c r="D469" s="127">
        <v>1</v>
      </c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71">
        <f t="shared" si="4"/>
        <v>1</v>
      </c>
    </row>
    <row r="470" spans="1:16" ht="15" customHeight="1" x14ac:dyDescent="0.25">
      <c r="A470" s="129"/>
      <c r="B470" s="129"/>
      <c r="C470" s="194" t="s">
        <v>163</v>
      </c>
      <c r="D470" s="127">
        <v>1</v>
      </c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71">
        <f t="shared" si="4"/>
        <v>1</v>
      </c>
    </row>
    <row r="471" spans="1:16" ht="15" customHeight="1" x14ac:dyDescent="0.25">
      <c r="A471" s="129"/>
      <c r="B471" s="129"/>
      <c r="C471" s="194" t="s">
        <v>311</v>
      </c>
      <c r="D471" s="127">
        <v>3</v>
      </c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71">
        <f t="shared" si="4"/>
        <v>3</v>
      </c>
    </row>
    <row r="472" spans="1:16" ht="15" customHeight="1" x14ac:dyDescent="0.25">
      <c r="A472" s="129"/>
      <c r="B472" s="131"/>
      <c r="C472" s="195" t="s">
        <v>495</v>
      </c>
      <c r="D472" s="127">
        <v>1</v>
      </c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71">
        <f t="shared" si="4"/>
        <v>1</v>
      </c>
    </row>
    <row r="473" spans="1:16" ht="15" customHeight="1" x14ac:dyDescent="0.25">
      <c r="A473" s="129"/>
      <c r="B473" s="125" t="s">
        <v>39</v>
      </c>
      <c r="C473" s="193" t="s">
        <v>285</v>
      </c>
      <c r="D473" s="127">
        <v>3</v>
      </c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71">
        <f t="shared" si="4"/>
        <v>3</v>
      </c>
    </row>
    <row r="474" spans="1:16" ht="15" customHeight="1" x14ac:dyDescent="0.25">
      <c r="A474" s="129"/>
      <c r="B474" s="131"/>
      <c r="C474" s="195" t="s">
        <v>312</v>
      </c>
      <c r="D474" s="127">
        <v>1</v>
      </c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71">
        <f t="shared" si="4"/>
        <v>1</v>
      </c>
    </row>
    <row r="475" spans="1:16" ht="15" customHeight="1" x14ac:dyDescent="0.25">
      <c r="A475" s="129"/>
      <c r="B475" s="133" t="s">
        <v>33</v>
      </c>
      <c r="C475" s="196" t="s">
        <v>575</v>
      </c>
      <c r="D475" s="127">
        <v>1</v>
      </c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71">
        <f t="shared" si="4"/>
        <v>1</v>
      </c>
    </row>
    <row r="476" spans="1:16" ht="15" customHeight="1" x14ac:dyDescent="0.25">
      <c r="A476" s="129"/>
      <c r="B476" s="125" t="s">
        <v>19</v>
      </c>
      <c r="C476" s="193" t="s">
        <v>129</v>
      </c>
      <c r="D476" s="127">
        <v>1</v>
      </c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71">
        <f t="shared" si="4"/>
        <v>1</v>
      </c>
    </row>
    <row r="477" spans="1:16" ht="15" customHeight="1" x14ac:dyDescent="0.25">
      <c r="A477" s="129"/>
      <c r="B477" s="129"/>
      <c r="C477" s="194" t="s">
        <v>131</v>
      </c>
      <c r="D477" s="127">
        <v>1</v>
      </c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71">
        <f t="shared" si="4"/>
        <v>1</v>
      </c>
    </row>
    <row r="478" spans="1:16" ht="15" customHeight="1" x14ac:dyDescent="0.25">
      <c r="A478" s="129"/>
      <c r="B478" s="129"/>
      <c r="C478" s="194" t="s">
        <v>366</v>
      </c>
      <c r="D478" s="127">
        <v>1</v>
      </c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71">
        <f t="shared" si="4"/>
        <v>1</v>
      </c>
    </row>
    <row r="479" spans="1:16" ht="15" customHeight="1" x14ac:dyDescent="0.25">
      <c r="A479" s="129"/>
      <c r="B479" s="129"/>
      <c r="C479" s="194" t="s">
        <v>283</v>
      </c>
      <c r="D479" s="127">
        <v>5</v>
      </c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71">
        <f t="shared" si="4"/>
        <v>5</v>
      </c>
    </row>
    <row r="480" spans="1:16" ht="15" customHeight="1" x14ac:dyDescent="0.25">
      <c r="A480" s="129"/>
      <c r="B480" s="129"/>
      <c r="C480" s="194" t="s">
        <v>323</v>
      </c>
      <c r="D480" s="127">
        <v>15</v>
      </c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71">
        <f t="shared" si="4"/>
        <v>15</v>
      </c>
    </row>
    <row r="481" spans="1:16" ht="15" customHeight="1" x14ac:dyDescent="0.25">
      <c r="A481" s="129"/>
      <c r="B481" s="129"/>
      <c r="C481" s="194" t="s">
        <v>585</v>
      </c>
      <c r="D481" s="127">
        <v>2</v>
      </c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71">
        <f t="shared" si="4"/>
        <v>2</v>
      </c>
    </row>
    <row r="482" spans="1:16" ht="15" customHeight="1" x14ac:dyDescent="0.25">
      <c r="A482" s="129"/>
      <c r="B482" s="129"/>
      <c r="C482" s="194" t="s">
        <v>554</v>
      </c>
      <c r="D482" s="127">
        <v>2</v>
      </c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71">
        <f t="shared" si="4"/>
        <v>2</v>
      </c>
    </row>
    <row r="483" spans="1:16" ht="15" customHeight="1" x14ac:dyDescent="0.25">
      <c r="A483" s="129"/>
      <c r="B483" s="129"/>
      <c r="C483" s="194" t="s">
        <v>586</v>
      </c>
      <c r="D483" s="127">
        <v>1</v>
      </c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71">
        <f t="shared" si="4"/>
        <v>1</v>
      </c>
    </row>
    <row r="484" spans="1:16" ht="15" customHeight="1" x14ac:dyDescent="0.25">
      <c r="A484" s="129"/>
      <c r="B484" s="131"/>
      <c r="C484" s="195" t="s">
        <v>505</v>
      </c>
      <c r="D484" s="127">
        <v>3</v>
      </c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71">
        <f t="shared" si="4"/>
        <v>3</v>
      </c>
    </row>
    <row r="485" spans="1:16" ht="15" customHeight="1" x14ac:dyDescent="0.25">
      <c r="A485" s="129"/>
      <c r="B485" s="125" t="s">
        <v>25</v>
      </c>
      <c r="C485" s="193" t="s">
        <v>152</v>
      </c>
      <c r="D485" s="127">
        <v>11</v>
      </c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71">
        <f t="shared" si="4"/>
        <v>11</v>
      </c>
    </row>
    <row r="486" spans="1:16" ht="15" customHeight="1" x14ac:dyDescent="0.25">
      <c r="A486" s="129"/>
      <c r="B486" s="129"/>
      <c r="C486" s="194" t="s">
        <v>388</v>
      </c>
      <c r="D486" s="127">
        <v>1</v>
      </c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71">
        <f t="shared" si="4"/>
        <v>1</v>
      </c>
    </row>
    <row r="487" spans="1:16" ht="15" customHeight="1" x14ac:dyDescent="0.25">
      <c r="A487" s="129"/>
      <c r="B487" s="129"/>
      <c r="C487" s="194" t="s">
        <v>588</v>
      </c>
      <c r="D487" s="127">
        <v>1</v>
      </c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71">
        <f t="shared" si="4"/>
        <v>1</v>
      </c>
    </row>
    <row r="488" spans="1:16" ht="15" customHeight="1" x14ac:dyDescent="0.25">
      <c r="A488" s="129"/>
      <c r="B488" s="129"/>
      <c r="C488" s="194" t="s">
        <v>154</v>
      </c>
      <c r="D488" s="127">
        <v>11</v>
      </c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71">
        <f t="shared" si="4"/>
        <v>11</v>
      </c>
    </row>
    <row r="489" spans="1:16" ht="15" customHeight="1" x14ac:dyDescent="0.25">
      <c r="A489" s="129"/>
      <c r="B489" s="131"/>
      <c r="C489" s="195" t="s">
        <v>406</v>
      </c>
      <c r="D489" s="127">
        <v>1</v>
      </c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71">
        <f t="shared" si="4"/>
        <v>1</v>
      </c>
    </row>
    <row r="490" spans="1:16" ht="15" customHeight="1" x14ac:dyDescent="0.25">
      <c r="A490" s="129"/>
      <c r="B490" s="125" t="s">
        <v>31</v>
      </c>
      <c r="C490" s="193" t="s">
        <v>435</v>
      </c>
      <c r="D490" s="127">
        <v>6</v>
      </c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71">
        <f t="shared" si="4"/>
        <v>6</v>
      </c>
    </row>
    <row r="491" spans="1:16" ht="15" customHeight="1" x14ac:dyDescent="0.25">
      <c r="A491" s="129"/>
      <c r="B491" s="129"/>
      <c r="C491" s="194" t="s">
        <v>559</v>
      </c>
      <c r="D491" s="127">
        <v>2</v>
      </c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71">
        <f t="shared" si="4"/>
        <v>2</v>
      </c>
    </row>
    <row r="492" spans="1:16" ht="15" customHeight="1" x14ac:dyDescent="0.25">
      <c r="A492" s="129"/>
      <c r="B492" s="131"/>
      <c r="C492" s="195" t="s">
        <v>520</v>
      </c>
      <c r="D492" s="127">
        <v>1</v>
      </c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71">
        <f t="shared" si="4"/>
        <v>1</v>
      </c>
    </row>
    <row r="493" spans="1:16" ht="15" customHeight="1" x14ac:dyDescent="0.25">
      <c r="A493" s="129"/>
      <c r="B493" s="125" t="s">
        <v>34</v>
      </c>
      <c r="C493" s="193" t="s">
        <v>319</v>
      </c>
      <c r="D493" s="127">
        <v>3</v>
      </c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71">
        <f t="shared" si="4"/>
        <v>3</v>
      </c>
    </row>
    <row r="494" spans="1:16" ht="15" customHeight="1" x14ac:dyDescent="0.25">
      <c r="A494" s="129"/>
      <c r="B494" s="129"/>
      <c r="C494" s="194" t="s">
        <v>364</v>
      </c>
      <c r="D494" s="127">
        <v>1</v>
      </c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71">
        <f t="shared" si="4"/>
        <v>1</v>
      </c>
    </row>
    <row r="495" spans="1:16" ht="15" customHeight="1" x14ac:dyDescent="0.25">
      <c r="A495" s="129"/>
      <c r="B495" s="129"/>
      <c r="C495" s="194" t="s">
        <v>400</v>
      </c>
      <c r="D495" s="127">
        <v>2</v>
      </c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71">
        <f t="shared" si="4"/>
        <v>2</v>
      </c>
    </row>
    <row r="496" spans="1:16" ht="15" customHeight="1" x14ac:dyDescent="0.25">
      <c r="A496" s="129"/>
      <c r="B496" s="131"/>
      <c r="C496" s="195" t="s">
        <v>416</v>
      </c>
      <c r="D496" s="127">
        <v>5</v>
      </c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71">
        <f t="shared" si="4"/>
        <v>5</v>
      </c>
    </row>
    <row r="497" spans="1:16" ht="15" customHeight="1" x14ac:dyDescent="0.25">
      <c r="A497" s="129"/>
      <c r="B497" s="125" t="s">
        <v>20</v>
      </c>
      <c r="C497" s="193" t="s">
        <v>155</v>
      </c>
      <c r="D497" s="127">
        <v>8</v>
      </c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71">
        <f t="shared" si="4"/>
        <v>8</v>
      </c>
    </row>
    <row r="498" spans="1:16" ht="15" customHeight="1" x14ac:dyDescent="0.25">
      <c r="A498" s="129"/>
      <c r="B498" s="129"/>
      <c r="C498" s="194" t="s">
        <v>141</v>
      </c>
      <c r="D498" s="127">
        <v>6</v>
      </c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71">
        <f t="shared" si="4"/>
        <v>6</v>
      </c>
    </row>
    <row r="499" spans="1:16" ht="15" customHeight="1" x14ac:dyDescent="0.25">
      <c r="A499" s="131"/>
      <c r="B499" s="131"/>
      <c r="C499" s="195" t="s">
        <v>142</v>
      </c>
      <c r="D499" s="127">
        <v>6</v>
      </c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71">
        <f t="shared" si="4"/>
        <v>6</v>
      </c>
    </row>
    <row r="500" spans="1:16" ht="15" customHeight="1" x14ac:dyDescent="0.25">
      <c r="A500" s="125" t="s">
        <v>184</v>
      </c>
      <c r="B500" s="125" t="s">
        <v>297</v>
      </c>
      <c r="C500" s="193" t="s">
        <v>358</v>
      </c>
      <c r="D500" s="127">
        <v>1</v>
      </c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71">
        <f t="shared" si="4"/>
        <v>1</v>
      </c>
    </row>
    <row r="501" spans="1:16" ht="15" customHeight="1" x14ac:dyDescent="0.25">
      <c r="A501" s="129"/>
      <c r="B501" s="133" t="s">
        <v>450</v>
      </c>
      <c r="C501" s="196" t="s">
        <v>466</v>
      </c>
      <c r="D501" s="127">
        <v>1</v>
      </c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71">
        <f t="shared" si="4"/>
        <v>1</v>
      </c>
    </row>
    <row r="502" spans="1:16" ht="15" customHeight="1" x14ac:dyDescent="0.25">
      <c r="A502" s="129"/>
      <c r="B502" s="125" t="s">
        <v>35</v>
      </c>
      <c r="C502" s="193" t="s">
        <v>92</v>
      </c>
      <c r="D502" s="127">
        <v>1</v>
      </c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71">
        <f t="shared" si="4"/>
        <v>1</v>
      </c>
    </row>
    <row r="503" spans="1:16" ht="15" customHeight="1" x14ac:dyDescent="0.25">
      <c r="A503" s="129"/>
      <c r="B503" s="131"/>
      <c r="C503" s="195" t="s">
        <v>474</v>
      </c>
      <c r="D503" s="127">
        <v>2</v>
      </c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71">
        <f t="shared" si="4"/>
        <v>2</v>
      </c>
    </row>
    <row r="504" spans="1:16" ht="15" customHeight="1" x14ac:dyDescent="0.25">
      <c r="A504" s="129"/>
      <c r="B504" s="125" t="s">
        <v>23</v>
      </c>
      <c r="C504" s="193" t="s">
        <v>96</v>
      </c>
      <c r="D504" s="127">
        <v>1</v>
      </c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71">
        <f t="shared" si="3"/>
        <v>1</v>
      </c>
    </row>
    <row r="505" spans="1:16" ht="15" customHeight="1" x14ac:dyDescent="0.25">
      <c r="A505" s="129"/>
      <c r="B505" s="131"/>
      <c r="C505" s="195" t="s">
        <v>100</v>
      </c>
      <c r="D505" s="127">
        <v>1</v>
      </c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71">
        <f t="shared" si="3"/>
        <v>1</v>
      </c>
    </row>
    <row r="506" spans="1:16" ht="15" customHeight="1" x14ac:dyDescent="0.25">
      <c r="A506" s="129"/>
      <c r="B506" s="125" t="s">
        <v>65</v>
      </c>
      <c r="C506" s="193" t="s">
        <v>101</v>
      </c>
      <c r="D506" s="127">
        <v>6</v>
      </c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71">
        <f t="shared" si="3"/>
        <v>6</v>
      </c>
    </row>
    <row r="507" spans="1:16" ht="15" customHeight="1" x14ac:dyDescent="0.25">
      <c r="A507" s="129"/>
      <c r="B507" s="129"/>
      <c r="C507" s="194" t="s">
        <v>160</v>
      </c>
      <c r="D507" s="127">
        <v>1</v>
      </c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71">
        <f t="shared" si="3"/>
        <v>1</v>
      </c>
    </row>
    <row r="508" spans="1:16" ht="15" customHeight="1" x14ac:dyDescent="0.25">
      <c r="A508" s="129"/>
      <c r="B508" s="129"/>
      <c r="C508" s="194" t="s">
        <v>104</v>
      </c>
      <c r="D508" s="127">
        <v>2</v>
      </c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71">
        <f t="shared" si="3"/>
        <v>2</v>
      </c>
    </row>
    <row r="509" spans="1:16" ht="15" customHeight="1" x14ac:dyDescent="0.25">
      <c r="A509" s="129"/>
      <c r="B509" s="131"/>
      <c r="C509" s="195" t="s">
        <v>427</v>
      </c>
      <c r="D509" s="127">
        <v>1</v>
      </c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71">
        <f t="shared" si="3"/>
        <v>1</v>
      </c>
    </row>
    <row r="510" spans="1:16" ht="15" customHeight="1" x14ac:dyDescent="0.25">
      <c r="A510" s="129"/>
      <c r="B510" s="125" t="s">
        <v>22</v>
      </c>
      <c r="C510" s="193" t="s">
        <v>106</v>
      </c>
      <c r="D510" s="127">
        <v>2</v>
      </c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71">
        <f t="shared" si="3"/>
        <v>2</v>
      </c>
    </row>
    <row r="511" spans="1:16" ht="15" customHeight="1" x14ac:dyDescent="0.25">
      <c r="A511" s="129"/>
      <c r="B511" s="131"/>
      <c r="C511" s="195" t="s">
        <v>109</v>
      </c>
      <c r="D511" s="127">
        <v>1</v>
      </c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71">
        <f t="shared" si="3"/>
        <v>1</v>
      </c>
    </row>
    <row r="512" spans="1:16" ht="15" customHeight="1" x14ac:dyDescent="0.25">
      <c r="A512" s="129"/>
      <c r="B512" s="133" t="s">
        <v>21</v>
      </c>
      <c r="C512" s="196" t="s">
        <v>111</v>
      </c>
      <c r="D512" s="127">
        <v>1</v>
      </c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71">
        <f t="shared" si="3"/>
        <v>1</v>
      </c>
    </row>
    <row r="513" spans="1:16" ht="15" customHeight="1" x14ac:dyDescent="0.25">
      <c r="A513" s="129"/>
      <c r="B513" s="125" t="s">
        <v>24</v>
      </c>
      <c r="C513" s="193" t="s">
        <v>118</v>
      </c>
      <c r="D513" s="127">
        <v>2</v>
      </c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71">
        <f t="shared" si="3"/>
        <v>2</v>
      </c>
    </row>
    <row r="514" spans="1:16" ht="15" customHeight="1" x14ac:dyDescent="0.25">
      <c r="A514" s="129"/>
      <c r="B514" s="129"/>
      <c r="C514" s="194" t="s">
        <v>120</v>
      </c>
      <c r="D514" s="127">
        <v>1</v>
      </c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71">
        <f t="shared" si="3"/>
        <v>1</v>
      </c>
    </row>
    <row r="515" spans="1:16" ht="15" customHeight="1" x14ac:dyDescent="0.25">
      <c r="A515" s="129"/>
      <c r="B515" s="131"/>
      <c r="C515" s="195" t="s">
        <v>122</v>
      </c>
      <c r="D515" s="127">
        <v>1</v>
      </c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71">
        <f t="shared" si="3"/>
        <v>1</v>
      </c>
    </row>
    <row r="516" spans="1:16" ht="15" customHeight="1" x14ac:dyDescent="0.25">
      <c r="A516" s="129"/>
      <c r="B516" s="125" t="s">
        <v>29</v>
      </c>
      <c r="C516" s="193" t="s">
        <v>126</v>
      </c>
      <c r="D516" s="127">
        <v>1</v>
      </c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71">
        <f t="shared" si="3"/>
        <v>1</v>
      </c>
    </row>
    <row r="517" spans="1:16" ht="15" customHeight="1" x14ac:dyDescent="0.25">
      <c r="A517" s="129"/>
      <c r="B517" s="129"/>
      <c r="C517" s="194" t="s">
        <v>494</v>
      </c>
      <c r="D517" s="127">
        <v>1</v>
      </c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71">
        <f t="shared" si="3"/>
        <v>1</v>
      </c>
    </row>
    <row r="518" spans="1:16" ht="15" customHeight="1" x14ac:dyDescent="0.25">
      <c r="A518" s="129"/>
      <c r="B518" s="131"/>
      <c r="C518" s="195" t="s">
        <v>311</v>
      </c>
      <c r="D518" s="127">
        <v>1</v>
      </c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71">
        <f t="shared" si="3"/>
        <v>1</v>
      </c>
    </row>
    <row r="519" spans="1:16" ht="15" customHeight="1" x14ac:dyDescent="0.25">
      <c r="A519" s="129"/>
      <c r="B519" s="133" t="s">
        <v>39</v>
      </c>
      <c r="C519" s="196" t="s">
        <v>285</v>
      </c>
      <c r="D519" s="127">
        <v>2</v>
      </c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71">
        <f t="shared" si="3"/>
        <v>2</v>
      </c>
    </row>
    <row r="520" spans="1:16" ht="15" customHeight="1" x14ac:dyDescent="0.25">
      <c r="A520" s="129"/>
      <c r="B520" s="125" t="s">
        <v>47</v>
      </c>
      <c r="C520" s="193" t="s">
        <v>358</v>
      </c>
      <c r="D520" s="127">
        <v>1</v>
      </c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71">
        <f t="shared" si="3"/>
        <v>1</v>
      </c>
    </row>
    <row r="521" spans="1:16" ht="15" customHeight="1" x14ac:dyDescent="0.25">
      <c r="A521" s="129"/>
      <c r="B521" s="131"/>
      <c r="C521" s="195" t="s">
        <v>501</v>
      </c>
      <c r="D521" s="127">
        <v>1</v>
      </c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71">
        <f t="shared" si="3"/>
        <v>1</v>
      </c>
    </row>
    <row r="522" spans="1:16" ht="15" customHeight="1" x14ac:dyDescent="0.25">
      <c r="A522" s="129"/>
      <c r="B522" s="125" t="s">
        <v>19</v>
      </c>
      <c r="C522" s="193" t="s">
        <v>129</v>
      </c>
      <c r="D522" s="127">
        <v>1</v>
      </c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71">
        <f t="shared" si="3"/>
        <v>1</v>
      </c>
    </row>
    <row r="523" spans="1:16" ht="15" customHeight="1" x14ac:dyDescent="0.25">
      <c r="A523" s="129"/>
      <c r="B523" s="133" t="s">
        <v>34</v>
      </c>
      <c r="C523" s="196" t="s">
        <v>416</v>
      </c>
      <c r="D523" s="127">
        <v>3</v>
      </c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71">
        <f t="shared" si="3"/>
        <v>3</v>
      </c>
    </row>
    <row r="524" spans="1:16" ht="15" customHeight="1" x14ac:dyDescent="0.25">
      <c r="A524" s="129"/>
      <c r="B524" s="125" t="s">
        <v>37</v>
      </c>
      <c r="C524" s="193" t="s">
        <v>538</v>
      </c>
      <c r="D524" s="127">
        <v>1</v>
      </c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71">
        <f t="shared" si="3"/>
        <v>1</v>
      </c>
    </row>
    <row r="525" spans="1:16" ht="15" customHeight="1" x14ac:dyDescent="0.25">
      <c r="A525" s="129"/>
      <c r="B525" s="131"/>
      <c r="C525" s="195" t="s">
        <v>537</v>
      </c>
      <c r="D525" s="127">
        <v>1</v>
      </c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71">
        <f t="shared" si="3"/>
        <v>1</v>
      </c>
    </row>
    <row r="526" spans="1:16" ht="15" customHeight="1" x14ac:dyDescent="0.25">
      <c r="A526" s="129"/>
      <c r="B526" s="125" t="s">
        <v>426</v>
      </c>
      <c r="C526" s="193" t="s">
        <v>610</v>
      </c>
      <c r="D526" s="127">
        <v>1</v>
      </c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71">
        <f t="shared" si="3"/>
        <v>1</v>
      </c>
    </row>
    <row r="527" spans="1:16" ht="15" customHeight="1" x14ac:dyDescent="0.25">
      <c r="A527" s="129"/>
      <c r="B527" s="133" t="s">
        <v>27</v>
      </c>
      <c r="C527" s="196" t="s">
        <v>139</v>
      </c>
      <c r="D527" s="127">
        <v>2</v>
      </c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71">
        <f t="shared" si="3"/>
        <v>2</v>
      </c>
    </row>
    <row r="528" spans="1:16" ht="15" customHeight="1" x14ac:dyDescent="0.25">
      <c r="A528" s="129"/>
      <c r="B528" s="197" t="s">
        <v>20</v>
      </c>
      <c r="C528" s="194" t="s">
        <v>595</v>
      </c>
      <c r="D528" s="127">
        <v>4</v>
      </c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71">
        <f t="shared" si="3"/>
        <v>4</v>
      </c>
    </row>
    <row r="529" spans="1:16" ht="15" customHeight="1" x14ac:dyDescent="0.25">
      <c r="A529" s="129"/>
      <c r="B529" s="197"/>
      <c r="C529" s="194" t="s">
        <v>417</v>
      </c>
      <c r="D529" s="127">
        <v>2</v>
      </c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71">
        <f t="shared" si="3"/>
        <v>2</v>
      </c>
    </row>
    <row r="530" spans="1:16" ht="15" customHeight="1" x14ac:dyDescent="0.25">
      <c r="A530" s="131"/>
      <c r="B530" s="183"/>
      <c r="C530" s="195" t="s">
        <v>542</v>
      </c>
      <c r="D530" s="127">
        <v>1</v>
      </c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71">
        <f t="shared" si="3"/>
        <v>1</v>
      </c>
    </row>
    <row r="531" spans="1:16" ht="14.25" x14ac:dyDescent="0.2">
      <c r="A531" s="184" t="s">
        <v>1</v>
      </c>
      <c r="B531" s="184"/>
      <c r="C531" s="184"/>
      <c r="D531" s="184">
        <f t="shared" ref="D531:P531" si="8">SUM(D5:D530)</f>
        <v>1903</v>
      </c>
      <c r="E531" s="184">
        <f t="shared" si="8"/>
        <v>0</v>
      </c>
      <c r="F531" s="184">
        <f t="shared" si="8"/>
        <v>0</v>
      </c>
      <c r="G531" s="184">
        <f t="shared" si="8"/>
        <v>0</v>
      </c>
      <c r="H531" s="184">
        <f t="shared" si="8"/>
        <v>0</v>
      </c>
      <c r="I531" s="184">
        <f t="shared" si="8"/>
        <v>0</v>
      </c>
      <c r="J531" s="184">
        <f t="shared" si="8"/>
        <v>0</v>
      </c>
      <c r="K531" s="184">
        <f t="shared" si="8"/>
        <v>0</v>
      </c>
      <c r="L531" s="184">
        <f t="shared" si="8"/>
        <v>0</v>
      </c>
      <c r="M531" s="184">
        <f t="shared" si="8"/>
        <v>0</v>
      </c>
      <c r="N531" s="184">
        <f t="shared" si="8"/>
        <v>0</v>
      </c>
      <c r="O531" s="184">
        <f t="shared" si="8"/>
        <v>0</v>
      </c>
      <c r="P531" s="184">
        <f t="shared" si="8"/>
        <v>1903</v>
      </c>
    </row>
  </sheetData>
  <pageMargins left="0.19685039370078741" right="0.19685039370078741" top="0.19685039370078741" bottom="0.19685039370078741" header="0" footer="0"/>
  <pageSetup paperSize="9" scale="6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C5F1-2BA7-49D2-9322-653149C4F820}">
  <dimension ref="A1:Q542"/>
  <sheetViews>
    <sheetView zoomScale="80" zoomScaleNormal="80" workbookViewId="0"/>
  </sheetViews>
  <sheetFormatPr baseColWidth="10" defaultColWidth="11.42578125" defaultRowHeight="15" outlineLevelCol="1" x14ac:dyDescent="0.25"/>
  <cols>
    <col min="1" max="1" width="12.5703125" style="173" customWidth="1"/>
    <col min="2" max="2" width="18" style="173" customWidth="1"/>
    <col min="3" max="3" width="15" style="173" customWidth="1"/>
    <col min="4" max="4" width="18" style="155" customWidth="1"/>
    <col min="5" max="5" width="14.7109375" style="175" customWidth="1"/>
    <col min="6" max="7" width="10.140625" style="175" hidden="1" customWidth="1" outlineLevel="1"/>
    <col min="8" max="16" width="10.140625" style="176" hidden="1" customWidth="1" outlineLevel="1"/>
    <col min="17" max="17" width="12" style="177" customWidth="1" collapsed="1"/>
    <col min="18" max="16384" width="11.42578125" style="155"/>
  </cols>
  <sheetData>
    <row r="1" spans="1:17" x14ac:dyDescent="0.25">
      <c r="A1" s="150"/>
      <c r="B1" s="150"/>
      <c r="C1" s="150"/>
      <c r="D1" s="178"/>
      <c r="E1" s="152"/>
      <c r="F1" s="152"/>
      <c r="G1" s="152"/>
      <c r="H1" s="153"/>
      <c r="I1" s="153"/>
      <c r="J1" s="153"/>
      <c r="K1" s="153"/>
      <c r="L1" s="153"/>
      <c r="M1" s="153"/>
      <c r="N1" s="153"/>
      <c r="O1" s="153"/>
      <c r="P1" s="153"/>
      <c r="Q1" s="154"/>
    </row>
    <row r="2" spans="1:17" ht="15.75" x14ac:dyDescent="0.25">
      <c r="A2" s="156" t="s">
        <v>185</v>
      </c>
      <c r="B2" s="156"/>
      <c r="C2" s="156"/>
      <c r="D2" s="179"/>
      <c r="E2" s="158"/>
      <c r="F2" s="158"/>
      <c r="G2" s="158"/>
      <c r="H2" s="159"/>
      <c r="I2" s="159"/>
      <c r="J2" s="159"/>
      <c r="K2" s="159"/>
      <c r="L2" s="159"/>
      <c r="M2" s="159"/>
      <c r="N2" s="159"/>
      <c r="O2" s="112"/>
      <c r="P2" s="159"/>
      <c r="Q2" s="160"/>
    </row>
    <row r="3" spans="1:17" x14ac:dyDescent="0.25">
      <c r="A3" s="161" t="s">
        <v>186</v>
      </c>
      <c r="B3" s="161"/>
      <c r="C3" s="161"/>
      <c r="D3" s="180"/>
      <c r="E3" s="163"/>
      <c r="F3" s="163"/>
      <c r="G3" s="163"/>
      <c r="H3" s="164"/>
      <c r="I3" s="164"/>
      <c r="J3" s="164"/>
      <c r="K3" s="164"/>
      <c r="L3" s="164"/>
      <c r="M3" s="164"/>
      <c r="N3" s="164"/>
      <c r="O3" s="165"/>
      <c r="P3" s="164"/>
      <c r="Q3" s="166"/>
    </row>
    <row r="4" spans="1:17" x14ac:dyDescent="0.25">
      <c r="A4" s="181" t="s">
        <v>3</v>
      </c>
      <c r="B4" s="181" t="s">
        <v>0</v>
      </c>
      <c r="C4" s="181" t="s">
        <v>2</v>
      </c>
      <c r="D4" s="182" t="s">
        <v>76</v>
      </c>
      <c r="E4" s="168" t="s">
        <v>77</v>
      </c>
      <c r="F4" s="168" t="s">
        <v>78</v>
      </c>
      <c r="G4" s="168" t="s">
        <v>79</v>
      </c>
      <c r="H4" s="169" t="s">
        <v>80</v>
      </c>
      <c r="I4" s="169" t="s">
        <v>81</v>
      </c>
      <c r="J4" s="169" t="s">
        <v>82</v>
      </c>
      <c r="K4" s="169" t="s">
        <v>83</v>
      </c>
      <c r="L4" s="169" t="s">
        <v>84</v>
      </c>
      <c r="M4" s="169" t="s">
        <v>85</v>
      </c>
      <c r="N4" s="169" t="s">
        <v>86</v>
      </c>
      <c r="O4" s="169" t="s">
        <v>87</v>
      </c>
      <c r="P4" s="169" t="s">
        <v>88</v>
      </c>
      <c r="Q4" s="170" t="s">
        <v>89</v>
      </c>
    </row>
    <row r="5" spans="1:17" x14ac:dyDescent="0.25">
      <c r="A5" s="125" t="s">
        <v>50</v>
      </c>
      <c r="B5" s="126" t="s">
        <v>187</v>
      </c>
      <c r="C5" s="193" t="s">
        <v>35</v>
      </c>
      <c r="D5" s="193" t="s">
        <v>91</v>
      </c>
      <c r="E5" s="127">
        <v>1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71">
        <f t="shared" ref="Q5:Q6" si="0">SUM(E5:P5)</f>
        <v>1</v>
      </c>
    </row>
    <row r="6" spans="1:17" x14ac:dyDescent="0.25">
      <c r="A6" s="129"/>
      <c r="B6" s="129"/>
      <c r="C6" s="129"/>
      <c r="D6" s="194" t="s">
        <v>469</v>
      </c>
      <c r="E6" s="127">
        <v>1</v>
      </c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71">
        <f t="shared" si="0"/>
        <v>1</v>
      </c>
    </row>
    <row r="7" spans="1:17" x14ac:dyDescent="0.25">
      <c r="A7" s="129"/>
      <c r="B7" s="129"/>
      <c r="C7" s="129"/>
      <c r="D7" s="194" t="s">
        <v>473</v>
      </c>
      <c r="E7" s="127">
        <v>1</v>
      </c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71">
        <f t="shared" ref="Q7:Q436" si="1">SUM(E7:P7)</f>
        <v>1</v>
      </c>
    </row>
    <row r="8" spans="1:17" x14ac:dyDescent="0.25">
      <c r="A8" s="129"/>
      <c r="B8" s="129"/>
      <c r="C8" s="131"/>
      <c r="D8" s="195" t="s">
        <v>474</v>
      </c>
      <c r="E8" s="127">
        <v>2</v>
      </c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71">
        <f t="shared" si="1"/>
        <v>2</v>
      </c>
    </row>
    <row r="9" spans="1:17" x14ac:dyDescent="0.25">
      <c r="A9" s="129"/>
      <c r="B9" s="129"/>
      <c r="C9" s="125" t="s">
        <v>23</v>
      </c>
      <c r="D9" s="193" t="s">
        <v>94</v>
      </c>
      <c r="E9" s="127">
        <v>1</v>
      </c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71">
        <f t="shared" ref="Q9:Q242" si="2">SUM(E9:P9)</f>
        <v>1</v>
      </c>
    </row>
    <row r="10" spans="1:17" x14ac:dyDescent="0.25">
      <c r="A10" s="129"/>
      <c r="B10" s="129"/>
      <c r="C10" s="129"/>
      <c r="D10" s="194" t="s">
        <v>356</v>
      </c>
      <c r="E10" s="127">
        <v>2</v>
      </c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71">
        <f t="shared" si="2"/>
        <v>2</v>
      </c>
    </row>
    <row r="11" spans="1:17" x14ac:dyDescent="0.25">
      <c r="A11" s="129"/>
      <c r="B11" s="129"/>
      <c r="C11" s="129"/>
      <c r="D11" s="194" t="s">
        <v>149</v>
      </c>
      <c r="E11" s="127">
        <v>3</v>
      </c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71">
        <f t="shared" si="2"/>
        <v>3</v>
      </c>
    </row>
    <row r="12" spans="1:17" x14ac:dyDescent="0.25">
      <c r="A12" s="129"/>
      <c r="B12" s="129"/>
      <c r="C12" s="129"/>
      <c r="D12" s="194" t="s">
        <v>307</v>
      </c>
      <c r="E12" s="127">
        <v>1</v>
      </c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71">
        <f t="shared" si="2"/>
        <v>1</v>
      </c>
    </row>
    <row r="13" spans="1:17" x14ac:dyDescent="0.25">
      <c r="A13" s="129"/>
      <c r="B13" s="129"/>
      <c r="C13" s="129"/>
      <c r="D13" s="194" t="s">
        <v>551</v>
      </c>
      <c r="E13" s="127">
        <v>1</v>
      </c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71">
        <f t="shared" si="2"/>
        <v>1</v>
      </c>
    </row>
    <row r="14" spans="1:17" x14ac:dyDescent="0.25">
      <c r="A14" s="129"/>
      <c r="B14" s="129"/>
      <c r="C14" s="129"/>
      <c r="D14" s="194" t="s">
        <v>305</v>
      </c>
      <c r="E14" s="127">
        <v>3</v>
      </c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71">
        <f t="shared" si="2"/>
        <v>3</v>
      </c>
    </row>
    <row r="15" spans="1:17" x14ac:dyDescent="0.25">
      <c r="A15" s="129"/>
      <c r="B15" s="129"/>
      <c r="C15" s="129"/>
      <c r="D15" s="194" t="s">
        <v>306</v>
      </c>
      <c r="E15" s="127">
        <v>1</v>
      </c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71">
        <f t="shared" si="2"/>
        <v>1</v>
      </c>
    </row>
    <row r="16" spans="1:17" x14ac:dyDescent="0.25">
      <c r="A16" s="129"/>
      <c r="B16" s="129"/>
      <c r="C16" s="129"/>
      <c r="D16" s="194" t="s">
        <v>478</v>
      </c>
      <c r="E16" s="127">
        <v>2</v>
      </c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71">
        <f t="shared" si="2"/>
        <v>2</v>
      </c>
    </row>
    <row r="17" spans="1:17" x14ac:dyDescent="0.25">
      <c r="A17" s="129"/>
      <c r="B17" s="129"/>
      <c r="C17" s="129"/>
      <c r="D17" s="194" t="s">
        <v>482</v>
      </c>
      <c r="E17" s="127">
        <v>1</v>
      </c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71">
        <f t="shared" si="2"/>
        <v>1</v>
      </c>
    </row>
    <row r="18" spans="1:17" x14ac:dyDescent="0.25">
      <c r="A18" s="129"/>
      <c r="B18" s="129"/>
      <c r="C18" s="131"/>
      <c r="D18" s="195" t="s">
        <v>552</v>
      </c>
      <c r="E18" s="127">
        <v>1</v>
      </c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71">
        <f t="shared" si="2"/>
        <v>1</v>
      </c>
    </row>
    <row r="19" spans="1:17" x14ac:dyDescent="0.25">
      <c r="A19" s="129"/>
      <c r="B19" s="129"/>
      <c r="C19" s="133" t="s">
        <v>28</v>
      </c>
      <c r="D19" s="196" t="s">
        <v>151</v>
      </c>
      <c r="E19" s="127">
        <v>1</v>
      </c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71">
        <f t="shared" si="2"/>
        <v>1</v>
      </c>
    </row>
    <row r="20" spans="1:17" x14ac:dyDescent="0.25">
      <c r="A20" s="129"/>
      <c r="B20" s="129"/>
      <c r="C20" s="125" t="s">
        <v>65</v>
      </c>
      <c r="D20" s="193" t="s">
        <v>101</v>
      </c>
      <c r="E20" s="127">
        <v>13</v>
      </c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71">
        <f t="shared" si="2"/>
        <v>13</v>
      </c>
    </row>
    <row r="21" spans="1:17" x14ac:dyDescent="0.25">
      <c r="A21" s="129"/>
      <c r="B21" s="129"/>
      <c r="C21" s="131"/>
      <c r="D21" s="195" t="s">
        <v>102</v>
      </c>
      <c r="E21" s="127">
        <v>1</v>
      </c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71">
        <f t="shared" si="2"/>
        <v>1</v>
      </c>
    </row>
    <row r="22" spans="1:17" x14ac:dyDescent="0.25">
      <c r="A22" s="129"/>
      <c r="B22" s="129"/>
      <c r="C22" s="125" t="s">
        <v>22</v>
      </c>
      <c r="D22" s="193" t="s">
        <v>106</v>
      </c>
      <c r="E22" s="127">
        <v>6</v>
      </c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71">
        <f t="shared" si="2"/>
        <v>6</v>
      </c>
    </row>
    <row r="23" spans="1:17" x14ac:dyDescent="0.25">
      <c r="A23" s="129"/>
      <c r="B23" s="129"/>
      <c r="C23" s="129"/>
      <c r="D23" s="194" t="s">
        <v>107</v>
      </c>
      <c r="E23" s="127">
        <v>1</v>
      </c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71">
        <f t="shared" si="2"/>
        <v>1</v>
      </c>
    </row>
    <row r="24" spans="1:17" x14ac:dyDescent="0.25">
      <c r="A24" s="129"/>
      <c r="B24" s="129"/>
      <c r="C24" s="129"/>
      <c r="D24" s="194" t="s">
        <v>484</v>
      </c>
      <c r="E24" s="127">
        <v>1</v>
      </c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71">
        <f t="shared" si="2"/>
        <v>1</v>
      </c>
    </row>
    <row r="25" spans="1:17" x14ac:dyDescent="0.25">
      <c r="A25" s="129"/>
      <c r="B25" s="129"/>
      <c r="C25" s="131"/>
      <c r="D25" s="195" t="s">
        <v>109</v>
      </c>
      <c r="E25" s="127">
        <v>1</v>
      </c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71">
        <f t="shared" si="2"/>
        <v>1</v>
      </c>
    </row>
    <row r="26" spans="1:17" x14ac:dyDescent="0.25">
      <c r="A26" s="129"/>
      <c r="B26" s="129"/>
      <c r="C26" s="125" t="s">
        <v>21</v>
      </c>
      <c r="D26" s="193" t="s">
        <v>110</v>
      </c>
      <c r="E26" s="127">
        <v>1</v>
      </c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71">
        <f t="shared" si="2"/>
        <v>1</v>
      </c>
    </row>
    <row r="27" spans="1:17" x14ac:dyDescent="0.25">
      <c r="A27" s="129"/>
      <c r="B27" s="129"/>
      <c r="C27" s="129"/>
      <c r="D27" s="194" t="s">
        <v>112</v>
      </c>
      <c r="E27" s="127">
        <v>2</v>
      </c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71">
        <f t="shared" si="2"/>
        <v>2</v>
      </c>
    </row>
    <row r="28" spans="1:17" x14ac:dyDescent="0.25">
      <c r="A28" s="129"/>
      <c r="B28" s="129"/>
      <c r="C28" s="129"/>
      <c r="D28" s="194" t="s">
        <v>113</v>
      </c>
      <c r="E28" s="127">
        <v>5</v>
      </c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71">
        <f t="shared" si="2"/>
        <v>5</v>
      </c>
    </row>
    <row r="29" spans="1:17" x14ac:dyDescent="0.25">
      <c r="A29" s="129"/>
      <c r="B29" s="129"/>
      <c r="C29" s="131"/>
      <c r="D29" s="195" t="s">
        <v>310</v>
      </c>
      <c r="E29" s="127">
        <v>1</v>
      </c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71">
        <f t="shared" si="2"/>
        <v>1</v>
      </c>
    </row>
    <row r="30" spans="1:17" x14ac:dyDescent="0.25">
      <c r="A30" s="129"/>
      <c r="B30" s="129"/>
      <c r="C30" s="133" t="s">
        <v>26</v>
      </c>
      <c r="D30" s="196" t="s">
        <v>288</v>
      </c>
      <c r="E30" s="127">
        <v>7</v>
      </c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71">
        <f t="shared" si="2"/>
        <v>7</v>
      </c>
    </row>
    <row r="31" spans="1:17" x14ac:dyDescent="0.25">
      <c r="A31" s="129"/>
      <c r="B31" s="129"/>
      <c r="C31" s="125" t="s">
        <v>24</v>
      </c>
      <c r="D31" s="193" t="s">
        <v>114</v>
      </c>
      <c r="E31" s="127">
        <v>3</v>
      </c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71">
        <f t="shared" si="2"/>
        <v>3</v>
      </c>
    </row>
    <row r="32" spans="1:17" x14ac:dyDescent="0.25">
      <c r="A32" s="129"/>
      <c r="B32" s="129"/>
      <c r="C32" s="129"/>
      <c r="D32" s="194" t="s">
        <v>115</v>
      </c>
      <c r="E32" s="127">
        <v>1</v>
      </c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71">
        <f t="shared" si="2"/>
        <v>1</v>
      </c>
    </row>
    <row r="33" spans="1:17" x14ac:dyDescent="0.25">
      <c r="A33" s="129"/>
      <c r="B33" s="129"/>
      <c r="C33" s="129"/>
      <c r="D33" s="194" t="s">
        <v>116</v>
      </c>
      <c r="E33" s="127">
        <v>1</v>
      </c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71">
        <f t="shared" si="2"/>
        <v>1</v>
      </c>
    </row>
    <row r="34" spans="1:17" x14ac:dyDescent="0.25">
      <c r="A34" s="129"/>
      <c r="B34" s="129"/>
      <c r="C34" s="129"/>
      <c r="D34" s="194" t="s">
        <v>119</v>
      </c>
      <c r="E34" s="127">
        <v>4</v>
      </c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71">
        <f t="shared" si="2"/>
        <v>4</v>
      </c>
    </row>
    <row r="35" spans="1:17" x14ac:dyDescent="0.25">
      <c r="A35" s="129"/>
      <c r="B35" s="129"/>
      <c r="C35" s="129"/>
      <c r="D35" s="194" t="s">
        <v>120</v>
      </c>
      <c r="E35" s="127">
        <v>8</v>
      </c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71">
        <f t="shared" si="2"/>
        <v>8</v>
      </c>
    </row>
    <row r="36" spans="1:17" x14ac:dyDescent="0.25">
      <c r="A36" s="129"/>
      <c r="B36" s="129"/>
      <c r="C36" s="131"/>
      <c r="D36" s="195" t="s">
        <v>121</v>
      </c>
      <c r="E36" s="127">
        <v>7</v>
      </c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71">
        <f t="shared" si="2"/>
        <v>7</v>
      </c>
    </row>
    <row r="37" spans="1:17" x14ac:dyDescent="0.25">
      <c r="A37" s="129"/>
      <c r="B37" s="129"/>
      <c r="C37" s="125" t="s">
        <v>29</v>
      </c>
      <c r="D37" s="193" t="s">
        <v>123</v>
      </c>
      <c r="E37" s="127">
        <v>1</v>
      </c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71">
        <f t="shared" si="2"/>
        <v>1</v>
      </c>
    </row>
    <row r="38" spans="1:17" x14ac:dyDescent="0.25">
      <c r="A38" s="129"/>
      <c r="B38" s="129"/>
      <c r="C38" s="129"/>
      <c r="D38" s="194" t="s">
        <v>492</v>
      </c>
      <c r="E38" s="127">
        <v>3</v>
      </c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71">
        <f t="shared" si="2"/>
        <v>3</v>
      </c>
    </row>
    <row r="39" spans="1:17" x14ac:dyDescent="0.25">
      <c r="A39" s="129"/>
      <c r="B39" s="129"/>
      <c r="C39" s="129"/>
      <c r="D39" s="194" t="s">
        <v>124</v>
      </c>
      <c r="E39" s="127">
        <v>1</v>
      </c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71">
        <f t="shared" si="2"/>
        <v>1</v>
      </c>
    </row>
    <row r="40" spans="1:17" x14ac:dyDescent="0.25">
      <c r="A40" s="129"/>
      <c r="B40" s="129"/>
      <c r="C40" s="129"/>
      <c r="D40" s="194" t="s">
        <v>125</v>
      </c>
      <c r="E40" s="127">
        <v>2</v>
      </c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71">
        <f t="shared" si="2"/>
        <v>2</v>
      </c>
    </row>
    <row r="41" spans="1:17" x14ac:dyDescent="0.25">
      <c r="A41" s="129"/>
      <c r="B41" s="129"/>
      <c r="C41" s="129"/>
      <c r="D41" s="194" t="s">
        <v>126</v>
      </c>
      <c r="E41" s="127">
        <v>1</v>
      </c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71">
        <f t="shared" si="2"/>
        <v>1</v>
      </c>
    </row>
    <row r="42" spans="1:17" x14ac:dyDescent="0.25">
      <c r="A42" s="129"/>
      <c r="B42" s="129"/>
      <c r="C42" s="129"/>
      <c r="D42" s="194" t="s">
        <v>311</v>
      </c>
      <c r="E42" s="127">
        <v>3</v>
      </c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71">
        <f t="shared" si="2"/>
        <v>3</v>
      </c>
    </row>
    <row r="43" spans="1:17" x14ac:dyDescent="0.25">
      <c r="A43" s="129"/>
      <c r="B43" s="129"/>
      <c r="C43" s="131"/>
      <c r="D43" s="195" t="s">
        <v>495</v>
      </c>
      <c r="E43" s="127">
        <v>1</v>
      </c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71">
        <f t="shared" si="2"/>
        <v>1</v>
      </c>
    </row>
    <row r="44" spans="1:17" x14ac:dyDescent="0.25">
      <c r="A44" s="129"/>
      <c r="B44" s="129"/>
      <c r="C44" s="133" t="s">
        <v>39</v>
      </c>
      <c r="D44" s="196" t="s">
        <v>285</v>
      </c>
      <c r="E44" s="127">
        <v>3</v>
      </c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71">
        <f t="shared" si="2"/>
        <v>3</v>
      </c>
    </row>
    <row r="45" spans="1:17" x14ac:dyDescent="0.25">
      <c r="A45" s="129"/>
      <c r="B45" s="129"/>
      <c r="C45" s="125" t="s">
        <v>19</v>
      </c>
      <c r="D45" s="193" t="s">
        <v>129</v>
      </c>
      <c r="E45" s="127">
        <v>1</v>
      </c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71">
        <f t="shared" si="2"/>
        <v>1</v>
      </c>
    </row>
    <row r="46" spans="1:17" x14ac:dyDescent="0.25">
      <c r="A46" s="129"/>
      <c r="B46" s="129"/>
      <c r="C46" s="129"/>
      <c r="D46" s="194" t="s">
        <v>131</v>
      </c>
      <c r="E46" s="127">
        <v>1</v>
      </c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71">
        <f t="shared" si="2"/>
        <v>1</v>
      </c>
    </row>
    <row r="47" spans="1:17" x14ac:dyDescent="0.25">
      <c r="A47" s="129"/>
      <c r="B47" s="129"/>
      <c r="C47" s="129"/>
      <c r="D47" s="194" t="s">
        <v>283</v>
      </c>
      <c r="E47" s="127">
        <v>5</v>
      </c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71">
        <f t="shared" si="2"/>
        <v>5</v>
      </c>
    </row>
    <row r="48" spans="1:17" x14ac:dyDescent="0.25">
      <c r="A48" s="129"/>
      <c r="B48" s="129"/>
      <c r="C48" s="129"/>
      <c r="D48" s="194" t="s">
        <v>323</v>
      </c>
      <c r="E48" s="127">
        <v>15</v>
      </c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71">
        <f t="shared" si="2"/>
        <v>15</v>
      </c>
    </row>
    <row r="49" spans="1:17" x14ac:dyDescent="0.25">
      <c r="A49" s="129"/>
      <c r="B49" s="129"/>
      <c r="C49" s="129"/>
      <c r="D49" s="194" t="s">
        <v>554</v>
      </c>
      <c r="E49" s="127">
        <v>2</v>
      </c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71">
        <f t="shared" si="2"/>
        <v>2</v>
      </c>
    </row>
    <row r="50" spans="1:17" x14ac:dyDescent="0.25">
      <c r="A50" s="129"/>
      <c r="B50" s="129"/>
      <c r="C50" s="131"/>
      <c r="D50" s="195" t="s">
        <v>505</v>
      </c>
      <c r="E50" s="127">
        <v>3</v>
      </c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71">
        <f t="shared" si="2"/>
        <v>3</v>
      </c>
    </row>
    <row r="51" spans="1:17" x14ac:dyDescent="0.25">
      <c r="A51" s="129"/>
      <c r="B51" s="129"/>
      <c r="C51" s="125" t="s">
        <v>25</v>
      </c>
      <c r="D51" s="193" t="s">
        <v>152</v>
      </c>
      <c r="E51" s="127">
        <v>11</v>
      </c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71">
        <f t="shared" si="2"/>
        <v>11</v>
      </c>
    </row>
    <row r="52" spans="1:17" x14ac:dyDescent="0.25">
      <c r="A52" s="129"/>
      <c r="B52" s="129"/>
      <c r="C52" s="129"/>
      <c r="D52" s="194" t="s">
        <v>388</v>
      </c>
      <c r="E52" s="127">
        <v>1</v>
      </c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71">
        <f t="shared" si="2"/>
        <v>1</v>
      </c>
    </row>
    <row r="53" spans="1:17" x14ac:dyDescent="0.25">
      <c r="A53" s="129"/>
      <c r="B53" s="129"/>
      <c r="C53" s="131"/>
      <c r="D53" s="195" t="s">
        <v>154</v>
      </c>
      <c r="E53" s="127">
        <v>11</v>
      </c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71">
        <f t="shared" si="2"/>
        <v>11</v>
      </c>
    </row>
    <row r="54" spans="1:17" x14ac:dyDescent="0.25">
      <c r="A54" s="129"/>
      <c r="B54" s="129"/>
      <c r="C54" s="125" t="s">
        <v>31</v>
      </c>
      <c r="D54" s="193" t="s">
        <v>435</v>
      </c>
      <c r="E54" s="127">
        <v>6</v>
      </c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71">
        <f t="shared" si="2"/>
        <v>6</v>
      </c>
    </row>
    <row r="55" spans="1:17" x14ac:dyDescent="0.25">
      <c r="A55" s="129"/>
      <c r="B55" s="129"/>
      <c r="C55" s="129"/>
      <c r="D55" s="194" t="s">
        <v>559</v>
      </c>
      <c r="E55" s="127">
        <v>2</v>
      </c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71">
        <f t="shared" si="2"/>
        <v>2</v>
      </c>
    </row>
    <row r="56" spans="1:17" x14ac:dyDescent="0.25">
      <c r="A56" s="129"/>
      <c r="B56" s="129"/>
      <c r="C56" s="131"/>
      <c r="D56" s="195" t="s">
        <v>520</v>
      </c>
      <c r="E56" s="127">
        <v>1</v>
      </c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71">
        <f t="shared" si="2"/>
        <v>1</v>
      </c>
    </row>
    <row r="57" spans="1:17" x14ac:dyDescent="0.25">
      <c r="A57" s="129"/>
      <c r="B57" s="129"/>
      <c r="C57" s="125" t="s">
        <v>34</v>
      </c>
      <c r="D57" s="193" t="s">
        <v>319</v>
      </c>
      <c r="E57" s="127">
        <v>3</v>
      </c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71">
        <f t="shared" si="2"/>
        <v>3</v>
      </c>
    </row>
    <row r="58" spans="1:17" x14ac:dyDescent="0.25">
      <c r="A58" s="129"/>
      <c r="B58" s="129"/>
      <c r="C58" s="129"/>
      <c r="D58" s="194" t="s">
        <v>364</v>
      </c>
      <c r="E58" s="127">
        <v>1</v>
      </c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71">
        <f t="shared" si="2"/>
        <v>1</v>
      </c>
    </row>
    <row r="59" spans="1:17" x14ac:dyDescent="0.25">
      <c r="A59" s="129"/>
      <c r="B59" s="129"/>
      <c r="C59" s="129"/>
      <c r="D59" s="194" t="s">
        <v>400</v>
      </c>
      <c r="E59" s="127">
        <v>2</v>
      </c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71">
        <f t="shared" si="2"/>
        <v>2</v>
      </c>
    </row>
    <row r="60" spans="1:17" x14ac:dyDescent="0.25">
      <c r="A60" s="129"/>
      <c r="B60" s="129"/>
      <c r="C60" s="131"/>
      <c r="D60" s="195" t="s">
        <v>416</v>
      </c>
      <c r="E60" s="127">
        <v>5</v>
      </c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71">
        <f t="shared" si="2"/>
        <v>5</v>
      </c>
    </row>
    <row r="61" spans="1:17" x14ac:dyDescent="0.25">
      <c r="A61" s="129"/>
      <c r="B61" s="129"/>
      <c r="C61" s="125" t="s">
        <v>20</v>
      </c>
      <c r="D61" s="193" t="s">
        <v>155</v>
      </c>
      <c r="E61" s="127">
        <v>8</v>
      </c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71">
        <f t="shared" si="2"/>
        <v>8</v>
      </c>
    </row>
    <row r="62" spans="1:17" x14ac:dyDescent="0.25">
      <c r="A62" s="129"/>
      <c r="B62" s="129"/>
      <c r="C62" s="129"/>
      <c r="D62" s="194" t="s">
        <v>141</v>
      </c>
      <c r="E62" s="127">
        <v>6</v>
      </c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71">
        <f t="shared" si="2"/>
        <v>6</v>
      </c>
    </row>
    <row r="63" spans="1:17" x14ac:dyDescent="0.25">
      <c r="A63" s="129"/>
      <c r="B63" s="131"/>
      <c r="C63" s="131"/>
      <c r="D63" s="195" t="s">
        <v>142</v>
      </c>
      <c r="E63" s="127">
        <v>6</v>
      </c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71">
        <f t="shared" si="2"/>
        <v>6</v>
      </c>
    </row>
    <row r="64" spans="1:17" x14ac:dyDescent="0.25">
      <c r="A64" s="129"/>
      <c r="B64" s="125" t="s">
        <v>5</v>
      </c>
      <c r="C64" s="133" t="s">
        <v>23</v>
      </c>
      <c r="D64" s="196" t="s">
        <v>389</v>
      </c>
      <c r="E64" s="127">
        <v>2</v>
      </c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71">
        <f t="shared" si="2"/>
        <v>2</v>
      </c>
    </row>
    <row r="65" spans="1:17" x14ac:dyDescent="0.25">
      <c r="A65" s="129"/>
      <c r="B65" s="129"/>
      <c r="C65" s="125" t="s">
        <v>65</v>
      </c>
      <c r="D65" s="193" t="s">
        <v>160</v>
      </c>
      <c r="E65" s="127">
        <v>9</v>
      </c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71">
        <f t="shared" si="2"/>
        <v>9</v>
      </c>
    </row>
    <row r="66" spans="1:17" x14ac:dyDescent="0.25">
      <c r="A66" s="129"/>
      <c r="B66" s="129"/>
      <c r="C66" s="131"/>
      <c r="D66" s="195" t="s">
        <v>569</v>
      </c>
      <c r="E66" s="127">
        <v>1</v>
      </c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71">
        <f t="shared" si="2"/>
        <v>1</v>
      </c>
    </row>
    <row r="67" spans="1:17" x14ac:dyDescent="0.25">
      <c r="A67" s="129"/>
      <c r="B67" s="129"/>
      <c r="C67" s="133" t="s">
        <v>22</v>
      </c>
      <c r="D67" s="196" t="s">
        <v>161</v>
      </c>
      <c r="E67" s="127">
        <v>1</v>
      </c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71">
        <f t="shared" si="2"/>
        <v>1</v>
      </c>
    </row>
    <row r="68" spans="1:17" x14ac:dyDescent="0.25">
      <c r="A68" s="129"/>
      <c r="B68" s="129"/>
      <c r="C68" s="125" t="s">
        <v>21</v>
      </c>
      <c r="D68" s="193" t="s">
        <v>162</v>
      </c>
      <c r="E68" s="127">
        <v>3</v>
      </c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71">
        <f t="shared" si="2"/>
        <v>3</v>
      </c>
    </row>
    <row r="69" spans="1:17" x14ac:dyDescent="0.25">
      <c r="A69" s="129"/>
      <c r="B69" s="129"/>
      <c r="C69" s="129"/>
      <c r="D69" s="194" t="s">
        <v>570</v>
      </c>
      <c r="E69" s="127">
        <v>1</v>
      </c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71">
        <f t="shared" si="2"/>
        <v>1</v>
      </c>
    </row>
    <row r="70" spans="1:17" x14ac:dyDescent="0.25">
      <c r="A70" s="129"/>
      <c r="B70" s="129"/>
      <c r="C70" s="129"/>
      <c r="D70" s="194" t="s">
        <v>571</v>
      </c>
      <c r="E70" s="127">
        <v>1</v>
      </c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71">
        <f t="shared" si="2"/>
        <v>1</v>
      </c>
    </row>
    <row r="71" spans="1:17" x14ac:dyDescent="0.25">
      <c r="A71" s="129"/>
      <c r="B71" s="129"/>
      <c r="C71" s="131"/>
      <c r="D71" s="195" t="s">
        <v>572</v>
      </c>
      <c r="E71" s="127">
        <v>1</v>
      </c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71">
        <f t="shared" si="2"/>
        <v>1</v>
      </c>
    </row>
    <row r="72" spans="1:17" x14ac:dyDescent="0.25">
      <c r="A72" s="129"/>
      <c r="B72" s="129"/>
      <c r="C72" s="125" t="s">
        <v>45</v>
      </c>
      <c r="D72" s="193" t="s">
        <v>327</v>
      </c>
      <c r="E72" s="127">
        <v>2</v>
      </c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71">
        <f t="shared" si="2"/>
        <v>2</v>
      </c>
    </row>
    <row r="73" spans="1:17" x14ac:dyDescent="0.25">
      <c r="A73" s="129"/>
      <c r="B73" s="129"/>
      <c r="C73" s="125" t="s">
        <v>29</v>
      </c>
      <c r="D73" s="193" t="s">
        <v>163</v>
      </c>
      <c r="E73" s="127">
        <v>1</v>
      </c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71">
        <f t="shared" si="2"/>
        <v>1</v>
      </c>
    </row>
    <row r="74" spans="1:17" x14ac:dyDescent="0.25">
      <c r="A74" s="129"/>
      <c r="B74" s="129"/>
      <c r="C74" s="125" t="s">
        <v>39</v>
      </c>
      <c r="D74" s="193" t="s">
        <v>312</v>
      </c>
      <c r="E74" s="127">
        <v>1</v>
      </c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71">
        <f t="shared" si="2"/>
        <v>1</v>
      </c>
    </row>
    <row r="75" spans="1:17" x14ac:dyDescent="0.25">
      <c r="A75" s="129"/>
      <c r="B75" s="129"/>
      <c r="C75" s="133" t="s">
        <v>33</v>
      </c>
      <c r="D75" s="196" t="s">
        <v>575</v>
      </c>
      <c r="E75" s="127">
        <v>1</v>
      </c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71">
        <f t="shared" si="2"/>
        <v>1</v>
      </c>
    </row>
    <row r="76" spans="1:17" x14ac:dyDescent="0.25">
      <c r="A76" s="129"/>
      <c r="B76" s="129"/>
      <c r="C76" s="125" t="s">
        <v>19</v>
      </c>
      <c r="D76" s="193" t="s">
        <v>366</v>
      </c>
      <c r="E76" s="127">
        <v>1</v>
      </c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71">
        <f t="shared" si="2"/>
        <v>1</v>
      </c>
    </row>
    <row r="77" spans="1:17" x14ac:dyDescent="0.25">
      <c r="A77" s="129"/>
      <c r="B77" s="129"/>
      <c r="C77" s="129"/>
      <c r="D77" s="194" t="s">
        <v>585</v>
      </c>
      <c r="E77" s="127">
        <v>2</v>
      </c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71">
        <f t="shared" si="2"/>
        <v>2</v>
      </c>
    </row>
    <row r="78" spans="1:17" x14ac:dyDescent="0.25">
      <c r="A78" s="129"/>
      <c r="B78" s="129"/>
      <c r="C78" s="131"/>
      <c r="D78" s="195" t="s">
        <v>586</v>
      </c>
      <c r="E78" s="127">
        <v>1</v>
      </c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71">
        <f t="shared" si="2"/>
        <v>1</v>
      </c>
    </row>
    <row r="79" spans="1:17" x14ac:dyDescent="0.25">
      <c r="A79" s="129"/>
      <c r="B79" s="129"/>
      <c r="C79" s="125" t="s">
        <v>25</v>
      </c>
      <c r="D79" s="193" t="s">
        <v>588</v>
      </c>
      <c r="E79" s="127">
        <v>1</v>
      </c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71">
        <f t="shared" si="2"/>
        <v>1</v>
      </c>
    </row>
    <row r="80" spans="1:17" x14ac:dyDescent="0.25">
      <c r="A80" s="131"/>
      <c r="B80" s="131"/>
      <c r="C80" s="131"/>
      <c r="D80" s="195" t="s">
        <v>406</v>
      </c>
      <c r="E80" s="127">
        <v>1</v>
      </c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71">
        <f t="shared" si="2"/>
        <v>1</v>
      </c>
    </row>
    <row r="81" spans="1:17" x14ac:dyDescent="0.25">
      <c r="A81" s="125" t="s">
        <v>57</v>
      </c>
      <c r="B81" s="125" t="s">
        <v>187</v>
      </c>
      <c r="C81" s="133" t="s">
        <v>65</v>
      </c>
      <c r="D81" s="196" t="s">
        <v>101</v>
      </c>
      <c r="E81" s="127">
        <v>3</v>
      </c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71">
        <f t="shared" si="2"/>
        <v>3</v>
      </c>
    </row>
    <row r="82" spans="1:17" x14ac:dyDescent="0.25">
      <c r="A82" s="129"/>
      <c r="B82" s="129"/>
      <c r="C82" s="125" t="s">
        <v>22</v>
      </c>
      <c r="D82" s="193" t="s">
        <v>106</v>
      </c>
      <c r="E82" s="127">
        <v>3</v>
      </c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71">
        <f t="shared" si="2"/>
        <v>3</v>
      </c>
    </row>
    <row r="83" spans="1:17" x14ac:dyDescent="0.25">
      <c r="A83" s="129"/>
      <c r="B83" s="129"/>
      <c r="C83" s="129"/>
      <c r="D83" s="194" t="s">
        <v>107</v>
      </c>
      <c r="E83" s="127">
        <v>1</v>
      </c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71">
        <f t="shared" si="2"/>
        <v>1</v>
      </c>
    </row>
    <row r="84" spans="1:17" x14ac:dyDescent="0.25">
      <c r="A84" s="129"/>
      <c r="B84" s="129"/>
      <c r="C84" s="129"/>
      <c r="D84" s="194" t="s">
        <v>105</v>
      </c>
      <c r="E84" s="127">
        <v>1</v>
      </c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71">
        <f t="shared" si="2"/>
        <v>1</v>
      </c>
    </row>
    <row r="85" spans="1:17" x14ac:dyDescent="0.25">
      <c r="A85" s="129"/>
      <c r="B85" s="129"/>
      <c r="C85" s="131"/>
      <c r="D85" s="195" t="s">
        <v>109</v>
      </c>
      <c r="E85" s="127">
        <v>1</v>
      </c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71">
        <f t="shared" si="2"/>
        <v>1</v>
      </c>
    </row>
    <row r="86" spans="1:17" x14ac:dyDescent="0.25">
      <c r="A86" s="129"/>
      <c r="B86" s="129"/>
      <c r="C86" s="125" t="s">
        <v>24</v>
      </c>
      <c r="D86" s="193" t="s">
        <v>114</v>
      </c>
      <c r="E86" s="127">
        <v>1</v>
      </c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71">
        <f t="shared" si="2"/>
        <v>1</v>
      </c>
    </row>
    <row r="87" spans="1:17" x14ac:dyDescent="0.25">
      <c r="A87" s="129"/>
      <c r="B87" s="129"/>
      <c r="C87" s="129"/>
      <c r="D87" s="194" t="s">
        <v>116</v>
      </c>
      <c r="E87" s="127">
        <v>1</v>
      </c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71">
        <f t="shared" si="2"/>
        <v>1</v>
      </c>
    </row>
    <row r="88" spans="1:17" x14ac:dyDescent="0.25">
      <c r="A88" s="129"/>
      <c r="B88" s="129"/>
      <c r="C88" s="129"/>
      <c r="D88" s="194" t="s">
        <v>118</v>
      </c>
      <c r="E88" s="127">
        <v>1</v>
      </c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71">
        <f t="shared" si="2"/>
        <v>1</v>
      </c>
    </row>
    <row r="89" spans="1:17" x14ac:dyDescent="0.25">
      <c r="A89" s="129"/>
      <c r="B89" s="129"/>
      <c r="C89" s="129"/>
      <c r="D89" s="194" t="s">
        <v>119</v>
      </c>
      <c r="E89" s="127">
        <v>1</v>
      </c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71">
        <f t="shared" si="2"/>
        <v>1</v>
      </c>
    </row>
    <row r="90" spans="1:17" x14ac:dyDescent="0.25">
      <c r="A90" s="129"/>
      <c r="B90" s="131"/>
      <c r="C90" s="131"/>
      <c r="D90" s="195" t="s">
        <v>120</v>
      </c>
      <c r="E90" s="127">
        <v>1</v>
      </c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71">
        <f t="shared" si="2"/>
        <v>1</v>
      </c>
    </row>
    <row r="91" spans="1:17" x14ac:dyDescent="0.25">
      <c r="A91" s="131"/>
      <c r="B91" s="133" t="s">
        <v>5</v>
      </c>
      <c r="C91" s="133" t="s">
        <v>21</v>
      </c>
      <c r="D91" s="196" t="s">
        <v>570</v>
      </c>
      <c r="E91" s="127">
        <v>2</v>
      </c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71">
        <f t="shared" si="2"/>
        <v>2</v>
      </c>
    </row>
    <row r="92" spans="1:17" x14ac:dyDescent="0.25">
      <c r="A92" s="125" t="s">
        <v>55</v>
      </c>
      <c r="B92" s="125" t="s">
        <v>187</v>
      </c>
      <c r="C92" s="125" t="s">
        <v>35</v>
      </c>
      <c r="D92" s="193" t="s">
        <v>472</v>
      </c>
      <c r="E92" s="127">
        <v>1</v>
      </c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71">
        <f t="shared" si="2"/>
        <v>1</v>
      </c>
    </row>
    <row r="93" spans="1:17" x14ac:dyDescent="0.25">
      <c r="A93" s="129"/>
      <c r="B93" s="129"/>
      <c r="C93" s="131"/>
      <c r="D93" s="195" t="s">
        <v>473</v>
      </c>
      <c r="E93" s="127">
        <v>1</v>
      </c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71">
        <f t="shared" si="2"/>
        <v>1</v>
      </c>
    </row>
    <row r="94" spans="1:17" x14ac:dyDescent="0.25">
      <c r="A94" s="129"/>
      <c r="B94" s="129"/>
      <c r="C94" s="125" t="s">
        <v>23</v>
      </c>
      <c r="D94" s="193" t="s">
        <v>305</v>
      </c>
      <c r="E94" s="127">
        <v>1</v>
      </c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71">
        <f t="shared" si="2"/>
        <v>1</v>
      </c>
    </row>
    <row r="95" spans="1:17" x14ac:dyDescent="0.25">
      <c r="A95" s="129"/>
      <c r="B95" s="129"/>
      <c r="C95" s="133" t="s">
        <v>65</v>
      </c>
      <c r="D95" s="196" t="s">
        <v>101</v>
      </c>
      <c r="E95" s="127">
        <v>4</v>
      </c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71">
        <f t="shared" si="2"/>
        <v>4</v>
      </c>
    </row>
    <row r="96" spans="1:17" x14ac:dyDescent="0.25">
      <c r="A96" s="129"/>
      <c r="B96" s="129"/>
      <c r="C96" s="125" t="s">
        <v>22</v>
      </c>
      <c r="D96" s="193" t="s">
        <v>106</v>
      </c>
      <c r="E96" s="127">
        <v>1</v>
      </c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71">
        <f t="shared" si="2"/>
        <v>1</v>
      </c>
    </row>
    <row r="97" spans="1:17" x14ac:dyDescent="0.25">
      <c r="A97" s="129"/>
      <c r="B97" s="129"/>
      <c r="C97" s="131"/>
      <c r="D97" s="195" t="s">
        <v>108</v>
      </c>
      <c r="E97" s="127">
        <v>1</v>
      </c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71">
        <f t="shared" si="2"/>
        <v>1</v>
      </c>
    </row>
    <row r="98" spans="1:17" x14ac:dyDescent="0.25">
      <c r="A98" s="129"/>
      <c r="B98" s="129"/>
      <c r="C98" s="125" t="s">
        <v>21</v>
      </c>
      <c r="D98" s="193" t="s">
        <v>112</v>
      </c>
      <c r="E98" s="127">
        <v>1</v>
      </c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71">
        <f t="shared" si="2"/>
        <v>1</v>
      </c>
    </row>
    <row r="99" spans="1:17" x14ac:dyDescent="0.25">
      <c r="A99" s="129"/>
      <c r="B99" s="129"/>
      <c r="C99" s="131"/>
      <c r="D99" s="195" t="s">
        <v>113</v>
      </c>
      <c r="E99" s="127">
        <v>1</v>
      </c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71">
        <f t="shared" si="2"/>
        <v>1</v>
      </c>
    </row>
    <row r="100" spans="1:17" x14ac:dyDescent="0.25">
      <c r="A100" s="129"/>
      <c r="B100" s="129"/>
      <c r="C100" s="125" t="s">
        <v>24</v>
      </c>
      <c r="D100" s="193" t="s">
        <v>116</v>
      </c>
      <c r="E100" s="127">
        <v>2</v>
      </c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71">
        <f t="shared" si="2"/>
        <v>2</v>
      </c>
    </row>
    <row r="101" spans="1:17" x14ac:dyDescent="0.25">
      <c r="A101" s="129"/>
      <c r="B101" s="129"/>
      <c r="C101" s="129"/>
      <c r="D101" s="194" t="s">
        <v>118</v>
      </c>
      <c r="E101" s="127">
        <v>2</v>
      </c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71">
        <f t="shared" si="2"/>
        <v>2</v>
      </c>
    </row>
    <row r="102" spans="1:17" x14ac:dyDescent="0.25">
      <c r="A102" s="129"/>
      <c r="B102" s="129"/>
      <c r="C102" s="129"/>
      <c r="D102" s="194" t="s">
        <v>119</v>
      </c>
      <c r="E102" s="127">
        <v>1</v>
      </c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71">
        <f t="shared" si="2"/>
        <v>1</v>
      </c>
    </row>
    <row r="103" spans="1:17" x14ac:dyDescent="0.25">
      <c r="A103" s="129"/>
      <c r="B103" s="129"/>
      <c r="C103" s="129"/>
      <c r="D103" s="194" t="s">
        <v>120</v>
      </c>
      <c r="E103" s="127">
        <v>1</v>
      </c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71">
        <f t="shared" si="2"/>
        <v>1</v>
      </c>
    </row>
    <row r="104" spans="1:17" x14ac:dyDescent="0.25">
      <c r="A104" s="129"/>
      <c r="B104" s="129"/>
      <c r="C104" s="131"/>
      <c r="D104" s="195" t="s">
        <v>121</v>
      </c>
      <c r="E104" s="127">
        <v>1</v>
      </c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71">
        <f t="shared" si="2"/>
        <v>1</v>
      </c>
    </row>
    <row r="105" spans="1:17" x14ac:dyDescent="0.25">
      <c r="A105" s="129"/>
      <c r="B105" s="129"/>
      <c r="C105" s="125" t="s">
        <v>449</v>
      </c>
      <c r="D105" s="193" t="s">
        <v>490</v>
      </c>
      <c r="E105" s="127">
        <v>2</v>
      </c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71">
        <f t="shared" si="2"/>
        <v>2</v>
      </c>
    </row>
    <row r="106" spans="1:17" x14ac:dyDescent="0.25">
      <c r="A106" s="129"/>
      <c r="B106" s="129"/>
      <c r="C106" s="125" t="s">
        <v>29</v>
      </c>
      <c r="D106" s="193" t="s">
        <v>123</v>
      </c>
      <c r="E106" s="127">
        <v>2</v>
      </c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71">
        <f t="shared" si="2"/>
        <v>2</v>
      </c>
    </row>
    <row r="107" spans="1:17" x14ac:dyDescent="0.25">
      <c r="A107" s="129"/>
      <c r="B107" s="129"/>
      <c r="C107" s="125" t="s">
        <v>39</v>
      </c>
      <c r="D107" s="193" t="s">
        <v>285</v>
      </c>
      <c r="E107" s="127">
        <v>2</v>
      </c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71">
        <f t="shared" si="2"/>
        <v>2</v>
      </c>
    </row>
    <row r="108" spans="1:17" x14ac:dyDescent="0.25">
      <c r="A108" s="129"/>
      <c r="B108" s="129"/>
      <c r="C108" s="133" t="s">
        <v>47</v>
      </c>
      <c r="D108" s="196" t="s">
        <v>358</v>
      </c>
      <c r="E108" s="127">
        <v>1</v>
      </c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71">
        <f t="shared" si="2"/>
        <v>1</v>
      </c>
    </row>
    <row r="109" spans="1:17" x14ac:dyDescent="0.25">
      <c r="A109" s="129"/>
      <c r="B109" s="129"/>
      <c r="C109" s="125" t="s">
        <v>19</v>
      </c>
      <c r="D109" s="193" t="s">
        <v>129</v>
      </c>
      <c r="E109" s="127">
        <v>1</v>
      </c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71">
        <f t="shared" si="2"/>
        <v>1</v>
      </c>
    </row>
    <row r="110" spans="1:17" x14ac:dyDescent="0.25">
      <c r="A110" s="129"/>
      <c r="B110" s="129"/>
      <c r="C110" s="131"/>
      <c r="D110" s="195" t="s">
        <v>283</v>
      </c>
      <c r="E110" s="127">
        <v>1</v>
      </c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71">
        <f t="shared" si="2"/>
        <v>1</v>
      </c>
    </row>
    <row r="111" spans="1:17" x14ac:dyDescent="0.25">
      <c r="A111" s="129"/>
      <c r="B111" s="129"/>
      <c r="C111" s="125" t="s">
        <v>34</v>
      </c>
      <c r="D111" s="193" t="s">
        <v>522</v>
      </c>
      <c r="E111" s="127">
        <v>1</v>
      </c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71">
        <f t="shared" si="2"/>
        <v>1</v>
      </c>
    </row>
    <row r="112" spans="1:17" x14ac:dyDescent="0.25">
      <c r="A112" s="129"/>
      <c r="B112" s="131"/>
      <c r="C112" s="133" t="s">
        <v>27</v>
      </c>
      <c r="D112" s="196" t="s">
        <v>365</v>
      </c>
      <c r="E112" s="127">
        <v>1</v>
      </c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71">
        <f t="shared" si="2"/>
        <v>1</v>
      </c>
    </row>
    <row r="113" spans="1:17" x14ac:dyDescent="0.25">
      <c r="A113" s="131"/>
      <c r="B113" s="133" t="s">
        <v>5</v>
      </c>
      <c r="C113" s="133" t="s">
        <v>454</v>
      </c>
      <c r="D113" s="196" t="s">
        <v>596</v>
      </c>
      <c r="E113" s="127">
        <v>1</v>
      </c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71">
        <f t="shared" si="2"/>
        <v>1</v>
      </c>
    </row>
    <row r="114" spans="1:17" x14ac:dyDescent="0.25">
      <c r="A114" s="133" t="s">
        <v>60</v>
      </c>
      <c r="B114" s="133" t="s">
        <v>187</v>
      </c>
      <c r="C114" s="133" t="s">
        <v>24</v>
      </c>
      <c r="D114" s="196" t="s">
        <v>120</v>
      </c>
      <c r="E114" s="127">
        <v>2</v>
      </c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71">
        <f t="shared" si="2"/>
        <v>2</v>
      </c>
    </row>
    <row r="115" spans="1:17" x14ac:dyDescent="0.25">
      <c r="A115" s="125" t="s">
        <v>51</v>
      </c>
      <c r="B115" s="125" t="s">
        <v>187</v>
      </c>
      <c r="C115" s="125" t="s">
        <v>35</v>
      </c>
      <c r="D115" s="193" t="s">
        <v>471</v>
      </c>
      <c r="E115" s="127">
        <v>1</v>
      </c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71">
        <f t="shared" si="2"/>
        <v>1</v>
      </c>
    </row>
    <row r="116" spans="1:17" x14ac:dyDescent="0.25">
      <c r="A116" s="129"/>
      <c r="B116" s="129"/>
      <c r="C116" s="125" t="s">
        <v>23</v>
      </c>
      <c r="D116" s="193" t="s">
        <v>482</v>
      </c>
      <c r="E116" s="127">
        <v>1</v>
      </c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71">
        <f t="shared" si="2"/>
        <v>1</v>
      </c>
    </row>
    <row r="117" spans="1:17" x14ac:dyDescent="0.25">
      <c r="A117" s="129"/>
      <c r="B117" s="129"/>
      <c r="C117" s="133" t="s">
        <v>65</v>
      </c>
      <c r="D117" s="196" t="s">
        <v>101</v>
      </c>
      <c r="E117" s="127">
        <v>6</v>
      </c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71">
        <f t="shared" si="2"/>
        <v>6</v>
      </c>
    </row>
    <row r="118" spans="1:17" x14ac:dyDescent="0.25">
      <c r="A118" s="129"/>
      <c r="B118" s="129"/>
      <c r="C118" s="125" t="s">
        <v>22</v>
      </c>
      <c r="D118" s="193" t="s">
        <v>106</v>
      </c>
      <c r="E118" s="127">
        <v>8</v>
      </c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71">
        <f t="shared" si="2"/>
        <v>8</v>
      </c>
    </row>
    <row r="119" spans="1:17" x14ac:dyDescent="0.25">
      <c r="A119" s="129"/>
      <c r="B119" s="129"/>
      <c r="C119" s="129"/>
      <c r="D119" s="194" t="s">
        <v>107</v>
      </c>
      <c r="E119" s="127">
        <v>2</v>
      </c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71">
        <f t="shared" si="2"/>
        <v>2</v>
      </c>
    </row>
    <row r="120" spans="1:17" x14ac:dyDescent="0.25">
      <c r="A120" s="129"/>
      <c r="B120" s="129"/>
      <c r="C120" s="129"/>
      <c r="D120" s="194" t="s">
        <v>105</v>
      </c>
      <c r="E120" s="127">
        <v>2</v>
      </c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71">
        <f t="shared" si="2"/>
        <v>2</v>
      </c>
    </row>
    <row r="121" spans="1:17" x14ac:dyDescent="0.25">
      <c r="A121" s="129"/>
      <c r="B121" s="129"/>
      <c r="C121" s="131"/>
      <c r="D121" s="195" t="s">
        <v>108</v>
      </c>
      <c r="E121" s="127">
        <v>2</v>
      </c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71">
        <f t="shared" si="2"/>
        <v>2</v>
      </c>
    </row>
    <row r="122" spans="1:17" x14ac:dyDescent="0.25">
      <c r="A122" s="129"/>
      <c r="B122" s="129"/>
      <c r="C122" s="125" t="s">
        <v>24</v>
      </c>
      <c r="D122" s="193" t="s">
        <v>114</v>
      </c>
      <c r="E122" s="127">
        <v>2</v>
      </c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71">
        <f t="shared" si="2"/>
        <v>2</v>
      </c>
    </row>
    <row r="123" spans="1:17" x14ac:dyDescent="0.25">
      <c r="A123" s="129"/>
      <c r="B123" s="129"/>
      <c r="C123" s="129"/>
      <c r="D123" s="194" t="s">
        <v>115</v>
      </c>
      <c r="E123" s="127">
        <v>1</v>
      </c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71">
        <f t="shared" si="2"/>
        <v>1</v>
      </c>
    </row>
    <row r="124" spans="1:17" x14ac:dyDescent="0.25">
      <c r="A124" s="129"/>
      <c r="B124" s="129"/>
      <c r="C124" s="129"/>
      <c r="D124" s="194" t="s">
        <v>118</v>
      </c>
      <c r="E124" s="127">
        <v>2</v>
      </c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71">
        <f t="shared" si="2"/>
        <v>2</v>
      </c>
    </row>
    <row r="125" spans="1:17" x14ac:dyDescent="0.25">
      <c r="A125" s="129"/>
      <c r="B125" s="129"/>
      <c r="C125" s="129"/>
      <c r="D125" s="194" t="s">
        <v>119</v>
      </c>
      <c r="E125" s="127">
        <v>5</v>
      </c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71">
        <f t="shared" si="2"/>
        <v>5</v>
      </c>
    </row>
    <row r="126" spans="1:17" x14ac:dyDescent="0.25">
      <c r="A126" s="129"/>
      <c r="B126" s="129"/>
      <c r="C126" s="129"/>
      <c r="D126" s="194" t="s">
        <v>120</v>
      </c>
      <c r="E126" s="127">
        <v>7</v>
      </c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71">
        <f t="shared" si="2"/>
        <v>7</v>
      </c>
    </row>
    <row r="127" spans="1:17" x14ac:dyDescent="0.25">
      <c r="A127" s="129"/>
      <c r="B127" s="129"/>
      <c r="C127" s="129"/>
      <c r="D127" s="194" t="s">
        <v>357</v>
      </c>
      <c r="E127" s="127">
        <v>1</v>
      </c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71">
        <f t="shared" si="2"/>
        <v>1</v>
      </c>
    </row>
    <row r="128" spans="1:17" x14ac:dyDescent="0.25">
      <c r="A128" s="129"/>
      <c r="B128" s="129"/>
      <c r="C128" s="129"/>
      <c r="D128" s="194" t="s">
        <v>121</v>
      </c>
      <c r="E128" s="127">
        <v>1</v>
      </c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71">
        <f t="shared" si="2"/>
        <v>1</v>
      </c>
    </row>
    <row r="129" spans="1:17" x14ac:dyDescent="0.25">
      <c r="A129" s="129"/>
      <c r="B129" s="129"/>
      <c r="C129" s="131"/>
      <c r="D129" s="195" t="s">
        <v>122</v>
      </c>
      <c r="E129" s="127">
        <v>2</v>
      </c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71">
        <f t="shared" si="2"/>
        <v>2</v>
      </c>
    </row>
    <row r="130" spans="1:17" x14ac:dyDescent="0.25">
      <c r="A130" s="129"/>
      <c r="B130" s="129"/>
      <c r="C130" s="125" t="s">
        <v>29</v>
      </c>
      <c r="D130" s="193" t="s">
        <v>123</v>
      </c>
      <c r="E130" s="127">
        <v>3</v>
      </c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71">
        <f t="shared" si="2"/>
        <v>3</v>
      </c>
    </row>
    <row r="131" spans="1:17" x14ac:dyDescent="0.25">
      <c r="A131" s="129"/>
      <c r="B131" s="129"/>
      <c r="C131" s="133" t="s">
        <v>19</v>
      </c>
      <c r="D131" s="196" t="s">
        <v>129</v>
      </c>
      <c r="E131" s="127">
        <v>1</v>
      </c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71">
        <f t="shared" si="2"/>
        <v>1</v>
      </c>
    </row>
    <row r="132" spans="1:17" x14ac:dyDescent="0.25">
      <c r="A132" s="129"/>
      <c r="B132" s="129"/>
      <c r="C132" s="125" t="s">
        <v>34</v>
      </c>
      <c r="D132" s="193" t="s">
        <v>430</v>
      </c>
      <c r="E132" s="127">
        <v>2</v>
      </c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71">
        <f t="shared" si="2"/>
        <v>2</v>
      </c>
    </row>
    <row r="133" spans="1:17" x14ac:dyDescent="0.25">
      <c r="A133" s="129"/>
      <c r="B133" s="129"/>
      <c r="C133" s="131"/>
      <c r="D133" s="195" t="s">
        <v>530</v>
      </c>
      <c r="E133" s="127">
        <v>1</v>
      </c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71">
        <f t="shared" si="2"/>
        <v>1</v>
      </c>
    </row>
    <row r="134" spans="1:17" x14ac:dyDescent="0.25">
      <c r="A134" s="129"/>
      <c r="B134" s="131"/>
      <c r="C134" s="133" t="s">
        <v>20</v>
      </c>
      <c r="D134" s="196" t="s">
        <v>141</v>
      </c>
      <c r="E134" s="127">
        <v>4</v>
      </c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71">
        <f t="shared" si="2"/>
        <v>4</v>
      </c>
    </row>
    <row r="135" spans="1:17" x14ac:dyDescent="0.25">
      <c r="A135" s="129"/>
      <c r="B135" s="125" t="s">
        <v>5</v>
      </c>
      <c r="C135" s="133" t="s">
        <v>65</v>
      </c>
      <c r="D135" s="196" t="s">
        <v>160</v>
      </c>
      <c r="E135" s="127">
        <v>3</v>
      </c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71">
        <f t="shared" si="2"/>
        <v>3</v>
      </c>
    </row>
    <row r="136" spans="1:17" x14ac:dyDescent="0.25">
      <c r="A136" s="129"/>
      <c r="B136" s="129"/>
      <c r="C136" s="125" t="s">
        <v>21</v>
      </c>
      <c r="D136" s="193" t="s">
        <v>162</v>
      </c>
      <c r="E136" s="127">
        <v>6</v>
      </c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71">
        <f t="shared" si="2"/>
        <v>6</v>
      </c>
    </row>
    <row r="137" spans="1:17" x14ac:dyDescent="0.25">
      <c r="A137" s="129"/>
      <c r="B137" s="129"/>
      <c r="C137" s="131"/>
      <c r="D137" s="195" t="s">
        <v>571</v>
      </c>
      <c r="E137" s="127">
        <v>1</v>
      </c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71">
        <f t="shared" si="2"/>
        <v>1</v>
      </c>
    </row>
    <row r="138" spans="1:17" x14ac:dyDescent="0.25">
      <c r="A138" s="129"/>
      <c r="B138" s="129"/>
      <c r="C138" s="133" t="s">
        <v>447</v>
      </c>
      <c r="D138" s="196" t="s">
        <v>580</v>
      </c>
      <c r="E138" s="127">
        <v>1</v>
      </c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71">
        <f t="shared" si="2"/>
        <v>1</v>
      </c>
    </row>
    <row r="139" spans="1:17" x14ac:dyDescent="0.25">
      <c r="A139" s="129"/>
      <c r="B139" s="129"/>
      <c r="C139" s="125" t="s">
        <v>19</v>
      </c>
      <c r="D139" s="193" t="s">
        <v>585</v>
      </c>
      <c r="E139" s="127">
        <v>3</v>
      </c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71">
        <f t="shared" si="2"/>
        <v>3</v>
      </c>
    </row>
    <row r="140" spans="1:17" x14ac:dyDescent="0.25">
      <c r="A140" s="129"/>
      <c r="B140" s="129"/>
      <c r="C140" s="131"/>
      <c r="D140" s="195" t="s">
        <v>586</v>
      </c>
      <c r="E140" s="127">
        <v>2</v>
      </c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71">
        <f t="shared" si="2"/>
        <v>2</v>
      </c>
    </row>
    <row r="141" spans="1:17" x14ac:dyDescent="0.25">
      <c r="A141" s="131"/>
      <c r="B141" s="131"/>
      <c r="C141" s="133" t="s">
        <v>426</v>
      </c>
      <c r="D141" s="196" t="s">
        <v>610</v>
      </c>
      <c r="E141" s="127">
        <v>1</v>
      </c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71">
        <f t="shared" si="2"/>
        <v>1</v>
      </c>
    </row>
    <row r="142" spans="1:17" x14ac:dyDescent="0.25">
      <c r="A142" s="125" t="s">
        <v>54</v>
      </c>
      <c r="B142" s="125" t="s">
        <v>187</v>
      </c>
      <c r="C142" s="125" t="s">
        <v>22</v>
      </c>
      <c r="D142" s="193" t="s">
        <v>106</v>
      </c>
      <c r="E142" s="127">
        <v>5</v>
      </c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71">
        <f t="shared" si="2"/>
        <v>5</v>
      </c>
    </row>
    <row r="143" spans="1:17" x14ac:dyDescent="0.25">
      <c r="A143" s="129"/>
      <c r="B143" s="129"/>
      <c r="C143" s="131"/>
      <c r="D143" s="195" t="s">
        <v>107</v>
      </c>
      <c r="E143" s="127">
        <v>1</v>
      </c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71">
        <f t="shared" si="2"/>
        <v>1</v>
      </c>
    </row>
    <row r="144" spans="1:17" x14ac:dyDescent="0.25">
      <c r="A144" s="129"/>
      <c r="B144" s="129"/>
      <c r="C144" s="125" t="s">
        <v>21</v>
      </c>
      <c r="D144" s="193" t="s">
        <v>110</v>
      </c>
      <c r="E144" s="127">
        <v>1</v>
      </c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71">
        <f t="shared" si="2"/>
        <v>1</v>
      </c>
    </row>
    <row r="145" spans="1:17" x14ac:dyDescent="0.25">
      <c r="A145" s="129"/>
      <c r="B145" s="129"/>
      <c r="C145" s="131"/>
      <c r="D145" s="195" t="s">
        <v>113</v>
      </c>
      <c r="E145" s="127">
        <v>4</v>
      </c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71">
        <f t="shared" si="2"/>
        <v>4</v>
      </c>
    </row>
    <row r="146" spans="1:17" x14ac:dyDescent="0.25">
      <c r="A146" s="129"/>
      <c r="B146" s="129"/>
      <c r="C146" s="125" t="s">
        <v>24</v>
      </c>
      <c r="D146" s="193" t="s">
        <v>114</v>
      </c>
      <c r="E146" s="127">
        <v>2</v>
      </c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71">
        <f t="shared" si="2"/>
        <v>2</v>
      </c>
    </row>
    <row r="147" spans="1:17" x14ac:dyDescent="0.25">
      <c r="A147" s="129"/>
      <c r="B147" s="129"/>
      <c r="C147" s="129"/>
      <c r="D147" s="194" t="s">
        <v>115</v>
      </c>
      <c r="E147" s="127">
        <v>1</v>
      </c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71">
        <f t="shared" si="2"/>
        <v>1</v>
      </c>
    </row>
    <row r="148" spans="1:17" x14ac:dyDescent="0.25">
      <c r="A148" s="129"/>
      <c r="B148" s="129"/>
      <c r="C148" s="129"/>
      <c r="D148" s="194" t="s">
        <v>116</v>
      </c>
      <c r="E148" s="127">
        <v>1</v>
      </c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71">
        <f t="shared" si="2"/>
        <v>1</v>
      </c>
    </row>
    <row r="149" spans="1:17" x14ac:dyDescent="0.25">
      <c r="A149" s="129"/>
      <c r="B149" s="129"/>
      <c r="C149" s="129"/>
      <c r="D149" s="194" t="s">
        <v>119</v>
      </c>
      <c r="E149" s="127">
        <v>1</v>
      </c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71">
        <f t="shared" si="2"/>
        <v>1</v>
      </c>
    </row>
    <row r="150" spans="1:17" x14ac:dyDescent="0.25">
      <c r="A150" s="129"/>
      <c r="B150" s="129"/>
      <c r="C150" s="129"/>
      <c r="D150" s="194" t="s">
        <v>120</v>
      </c>
      <c r="E150" s="127">
        <v>8</v>
      </c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71">
        <f t="shared" si="2"/>
        <v>8</v>
      </c>
    </row>
    <row r="151" spans="1:17" x14ac:dyDescent="0.25">
      <c r="A151" s="129"/>
      <c r="B151" s="129"/>
      <c r="C151" s="129"/>
      <c r="D151" s="194" t="s">
        <v>121</v>
      </c>
      <c r="E151" s="127">
        <v>1</v>
      </c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71">
        <f t="shared" si="2"/>
        <v>1</v>
      </c>
    </row>
    <row r="152" spans="1:17" x14ac:dyDescent="0.25">
      <c r="A152" s="129"/>
      <c r="B152" s="129"/>
      <c r="C152" s="131"/>
      <c r="D152" s="195" t="s">
        <v>122</v>
      </c>
      <c r="E152" s="127">
        <v>4</v>
      </c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71">
        <f t="shared" si="2"/>
        <v>4</v>
      </c>
    </row>
    <row r="153" spans="1:17" x14ac:dyDescent="0.25">
      <c r="A153" s="129"/>
      <c r="B153" s="129"/>
      <c r="C153" s="125" t="s">
        <v>29</v>
      </c>
      <c r="D153" s="193" t="s">
        <v>123</v>
      </c>
      <c r="E153" s="127">
        <v>2</v>
      </c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71">
        <f t="shared" si="2"/>
        <v>2</v>
      </c>
    </row>
    <row r="154" spans="1:17" x14ac:dyDescent="0.25">
      <c r="A154" s="129"/>
      <c r="B154" s="129"/>
      <c r="C154" s="129"/>
      <c r="D154" s="194" t="s">
        <v>125</v>
      </c>
      <c r="E154" s="127">
        <v>1</v>
      </c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71">
        <f t="shared" si="2"/>
        <v>1</v>
      </c>
    </row>
    <row r="155" spans="1:17" x14ac:dyDescent="0.25">
      <c r="A155" s="129"/>
      <c r="B155" s="131"/>
      <c r="C155" s="131"/>
      <c r="D155" s="195" t="s">
        <v>311</v>
      </c>
      <c r="E155" s="127">
        <v>1</v>
      </c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71">
        <f t="shared" si="2"/>
        <v>1</v>
      </c>
    </row>
    <row r="156" spans="1:17" x14ac:dyDescent="0.25">
      <c r="A156" s="131"/>
      <c r="B156" s="133" t="s">
        <v>5</v>
      </c>
      <c r="C156" s="133" t="s">
        <v>29</v>
      </c>
      <c r="D156" s="196" t="s">
        <v>163</v>
      </c>
      <c r="E156" s="127">
        <v>2</v>
      </c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71">
        <f t="shared" si="2"/>
        <v>2</v>
      </c>
    </row>
    <row r="157" spans="1:17" x14ac:dyDescent="0.25">
      <c r="A157" s="125" t="s">
        <v>61</v>
      </c>
      <c r="B157" s="125" t="s">
        <v>187</v>
      </c>
      <c r="C157" s="125" t="s">
        <v>23</v>
      </c>
      <c r="D157" s="193" t="s">
        <v>306</v>
      </c>
      <c r="E157" s="127">
        <v>1</v>
      </c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71">
        <f t="shared" si="2"/>
        <v>1</v>
      </c>
    </row>
    <row r="158" spans="1:17" x14ac:dyDescent="0.25">
      <c r="A158" s="129"/>
      <c r="B158" s="131"/>
      <c r="C158" s="133" t="s">
        <v>24</v>
      </c>
      <c r="D158" s="196" t="s">
        <v>120</v>
      </c>
      <c r="E158" s="127">
        <v>7</v>
      </c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71">
        <f t="shared" si="2"/>
        <v>7</v>
      </c>
    </row>
    <row r="159" spans="1:17" x14ac:dyDescent="0.25">
      <c r="A159" s="129"/>
      <c r="B159" s="125" t="s">
        <v>5</v>
      </c>
      <c r="C159" s="133" t="s">
        <v>21</v>
      </c>
      <c r="D159" s="196" t="s">
        <v>162</v>
      </c>
      <c r="E159" s="127">
        <v>1</v>
      </c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71">
        <f t="shared" si="2"/>
        <v>1</v>
      </c>
    </row>
    <row r="160" spans="1:17" x14ac:dyDescent="0.25">
      <c r="A160" s="129"/>
      <c r="B160" s="129"/>
      <c r="C160" s="125" t="s">
        <v>32</v>
      </c>
      <c r="D160" s="193" t="s">
        <v>164</v>
      </c>
      <c r="E160" s="127">
        <v>1</v>
      </c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71">
        <f t="shared" si="2"/>
        <v>1</v>
      </c>
    </row>
    <row r="161" spans="1:17" x14ac:dyDescent="0.25">
      <c r="A161" s="131"/>
      <c r="B161" s="131"/>
      <c r="C161" s="131"/>
      <c r="D161" s="195" t="s">
        <v>165</v>
      </c>
      <c r="E161" s="127">
        <v>3</v>
      </c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71">
        <f t="shared" si="2"/>
        <v>3</v>
      </c>
    </row>
    <row r="162" spans="1:17" x14ac:dyDescent="0.25">
      <c r="A162" s="133" t="s">
        <v>59</v>
      </c>
      <c r="B162" s="133" t="s">
        <v>187</v>
      </c>
      <c r="C162" s="133" t="s">
        <v>39</v>
      </c>
      <c r="D162" s="196" t="s">
        <v>285</v>
      </c>
      <c r="E162" s="127">
        <v>1</v>
      </c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71">
        <f t="shared" si="2"/>
        <v>1</v>
      </c>
    </row>
    <row r="163" spans="1:17" x14ac:dyDescent="0.25">
      <c r="A163" s="125" t="s">
        <v>300</v>
      </c>
      <c r="B163" s="133" t="s">
        <v>187</v>
      </c>
      <c r="C163" s="133" t="s">
        <v>29</v>
      </c>
      <c r="D163" s="196" t="s">
        <v>126</v>
      </c>
      <c r="E163" s="127">
        <v>1</v>
      </c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71">
        <f t="shared" si="2"/>
        <v>1</v>
      </c>
    </row>
    <row r="164" spans="1:17" x14ac:dyDescent="0.25">
      <c r="A164" s="129"/>
      <c r="B164" s="125" t="s">
        <v>5</v>
      </c>
      <c r="C164" s="125" t="s">
        <v>21</v>
      </c>
      <c r="D164" s="193" t="s">
        <v>162</v>
      </c>
      <c r="E164" s="127">
        <v>1</v>
      </c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71">
        <f t="shared" si="2"/>
        <v>1</v>
      </c>
    </row>
    <row r="165" spans="1:17" x14ac:dyDescent="0.25">
      <c r="A165" s="131"/>
      <c r="B165" s="131"/>
      <c r="C165" s="133" t="s">
        <v>29</v>
      </c>
      <c r="D165" s="196" t="s">
        <v>163</v>
      </c>
      <c r="E165" s="127">
        <v>1</v>
      </c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71">
        <f t="shared" si="2"/>
        <v>1</v>
      </c>
    </row>
    <row r="166" spans="1:17" x14ac:dyDescent="0.25">
      <c r="A166" s="133" t="s">
        <v>299</v>
      </c>
      <c r="B166" s="133" t="s">
        <v>187</v>
      </c>
      <c r="C166" s="133" t="s">
        <v>22</v>
      </c>
      <c r="D166" s="196" t="s">
        <v>484</v>
      </c>
      <c r="E166" s="127">
        <v>1</v>
      </c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71">
        <f t="shared" si="2"/>
        <v>1</v>
      </c>
    </row>
    <row r="167" spans="1:17" x14ac:dyDescent="0.25">
      <c r="A167" s="125" t="s">
        <v>52</v>
      </c>
      <c r="B167" s="125" t="s">
        <v>187</v>
      </c>
      <c r="C167" s="125" t="s">
        <v>35</v>
      </c>
      <c r="D167" s="193" t="s">
        <v>92</v>
      </c>
      <c r="E167" s="127">
        <v>1</v>
      </c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71">
        <f t="shared" si="2"/>
        <v>1</v>
      </c>
    </row>
    <row r="168" spans="1:17" x14ac:dyDescent="0.25">
      <c r="A168" s="129"/>
      <c r="B168" s="129"/>
      <c r="C168" s="131"/>
      <c r="D168" s="195" t="s">
        <v>474</v>
      </c>
      <c r="E168" s="127">
        <v>2</v>
      </c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71">
        <f t="shared" si="2"/>
        <v>2</v>
      </c>
    </row>
    <row r="169" spans="1:17" x14ac:dyDescent="0.25">
      <c r="A169" s="129"/>
      <c r="B169" s="129"/>
      <c r="C169" s="125" t="s">
        <v>23</v>
      </c>
      <c r="D169" s="193" t="s">
        <v>96</v>
      </c>
      <c r="E169" s="127">
        <v>1</v>
      </c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71">
        <f t="shared" si="2"/>
        <v>1</v>
      </c>
    </row>
    <row r="170" spans="1:17" x14ac:dyDescent="0.25">
      <c r="A170" s="129"/>
      <c r="B170" s="129"/>
      <c r="C170" s="131"/>
      <c r="D170" s="195" t="s">
        <v>100</v>
      </c>
      <c r="E170" s="127">
        <v>1</v>
      </c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71">
        <f t="shared" si="2"/>
        <v>1</v>
      </c>
    </row>
    <row r="171" spans="1:17" x14ac:dyDescent="0.25">
      <c r="A171" s="129"/>
      <c r="B171" s="129"/>
      <c r="C171" s="125" t="s">
        <v>65</v>
      </c>
      <c r="D171" s="193" t="s">
        <v>101</v>
      </c>
      <c r="E171" s="127">
        <v>3</v>
      </c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71">
        <f t="shared" si="2"/>
        <v>3</v>
      </c>
    </row>
    <row r="172" spans="1:17" x14ac:dyDescent="0.25">
      <c r="A172" s="129"/>
      <c r="B172" s="129"/>
      <c r="C172" s="129"/>
      <c r="D172" s="194" t="s">
        <v>104</v>
      </c>
      <c r="E172" s="127">
        <v>2</v>
      </c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71">
        <f t="shared" si="2"/>
        <v>2</v>
      </c>
    </row>
    <row r="173" spans="1:17" x14ac:dyDescent="0.25">
      <c r="A173" s="129"/>
      <c r="B173" s="129"/>
      <c r="C173" s="131"/>
      <c r="D173" s="195" t="s">
        <v>427</v>
      </c>
      <c r="E173" s="127">
        <v>1</v>
      </c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71">
        <f t="shared" si="2"/>
        <v>1</v>
      </c>
    </row>
    <row r="174" spans="1:17" x14ac:dyDescent="0.25">
      <c r="A174" s="129"/>
      <c r="B174" s="129"/>
      <c r="C174" s="125" t="s">
        <v>22</v>
      </c>
      <c r="D174" s="193" t="s">
        <v>109</v>
      </c>
      <c r="E174" s="127">
        <v>1</v>
      </c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71">
        <f t="shared" si="2"/>
        <v>1</v>
      </c>
    </row>
    <row r="175" spans="1:17" x14ac:dyDescent="0.25">
      <c r="A175" s="129"/>
      <c r="B175" s="129"/>
      <c r="C175" s="125" t="s">
        <v>24</v>
      </c>
      <c r="D175" s="193" t="s">
        <v>122</v>
      </c>
      <c r="E175" s="127">
        <v>1</v>
      </c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71">
        <f t="shared" si="2"/>
        <v>1</v>
      </c>
    </row>
    <row r="176" spans="1:17" x14ac:dyDescent="0.25">
      <c r="A176" s="129"/>
      <c r="B176" s="129"/>
      <c r="C176" s="125" t="s">
        <v>29</v>
      </c>
      <c r="D176" s="193" t="s">
        <v>126</v>
      </c>
      <c r="E176" s="127">
        <v>1</v>
      </c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71">
        <f t="shared" si="2"/>
        <v>1</v>
      </c>
    </row>
    <row r="177" spans="1:17" x14ac:dyDescent="0.25">
      <c r="A177" s="129"/>
      <c r="B177" s="129"/>
      <c r="C177" s="125" t="s">
        <v>39</v>
      </c>
      <c r="D177" s="193" t="s">
        <v>285</v>
      </c>
      <c r="E177" s="127">
        <v>1</v>
      </c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71">
        <f t="shared" si="2"/>
        <v>1</v>
      </c>
    </row>
    <row r="178" spans="1:17" x14ac:dyDescent="0.25">
      <c r="A178" s="129"/>
      <c r="B178" s="131"/>
      <c r="C178" s="133" t="s">
        <v>47</v>
      </c>
      <c r="D178" s="196" t="s">
        <v>501</v>
      </c>
      <c r="E178" s="127">
        <v>1</v>
      </c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71">
        <f t="shared" si="2"/>
        <v>1</v>
      </c>
    </row>
    <row r="179" spans="1:17" x14ac:dyDescent="0.25">
      <c r="A179" s="131"/>
      <c r="B179" s="133" t="s">
        <v>5</v>
      </c>
      <c r="C179" s="133" t="s">
        <v>426</v>
      </c>
      <c r="D179" s="196" t="s">
        <v>610</v>
      </c>
      <c r="E179" s="127">
        <v>1</v>
      </c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71">
        <f t="shared" si="2"/>
        <v>1</v>
      </c>
    </row>
    <row r="180" spans="1:17" x14ac:dyDescent="0.25">
      <c r="A180" s="125" t="s">
        <v>48</v>
      </c>
      <c r="B180" s="125" t="s">
        <v>187</v>
      </c>
      <c r="C180" s="125" t="s">
        <v>297</v>
      </c>
      <c r="D180" s="193" t="s">
        <v>358</v>
      </c>
      <c r="E180" s="127">
        <v>6</v>
      </c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71">
        <f t="shared" si="2"/>
        <v>6</v>
      </c>
    </row>
    <row r="181" spans="1:17" x14ac:dyDescent="0.25">
      <c r="A181" s="129"/>
      <c r="B181" s="129"/>
      <c r="C181" s="131"/>
      <c r="D181" s="195" t="s">
        <v>543</v>
      </c>
      <c r="E181" s="127">
        <v>1</v>
      </c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71">
        <f t="shared" si="2"/>
        <v>1</v>
      </c>
    </row>
    <row r="182" spans="1:17" x14ac:dyDescent="0.25">
      <c r="A182" s="129"/>
      <c r="B182" s="129"/>
      <c r="C182" s="125" t="s">
        <v>30</v>
      </c>
      <c r="D182" s="193" t="s">
        <v>90</v>
      </c>
      <c r="E182" s="127">
        <v>1</v>
      </c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71">
        <f t="shared" si="2"/>
        <v>1</v>
      </c>
    </row>
    <row r="183" spans="1:17" x14ac:dyDescent="0.25">
      <c r="A183" s="129"/>
      <c r="B183" s="129"/>
      <c r="C183" s="129"/>
      <c r="D183" s="194" t="s">
        <v>439</v>
      </c>
      <c r="E183" s="127">
        <v>20</v>
      </c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71">
        <f t="shared" si="2"/>
        <v>20</v>
      </c>
    </row>
    <row r="184" spans="1:17" x14ac:dyDescent="0.25">
      <c r="A184" s="129"/>
      <c r="B184" s="129"/>
      <c r="C184" s="129"/>
      <c r="D184" s="194" t="s">
        <v>459</v>
      </c>
      <c r="E184" s="127">
        <v>1</v>
      </c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71">
        <f t="shared" si="2"/>
        <v>1</v>
      </c>
    </row>
    <row r="185" spans="1:17" x14ac:dyDescent="0.25">
      <c r="A185" s="129"/>
      <c r="B185" s="129"/>
      <c r="C185" s="129"/>
      <c r="D185" s="194" t="s">
        <v>460</v>
      </c>
      <c r="E185" s="127">
        <v>1</v>
      </c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71">
        <f t="shared" si="2"/>
        <v>1</v>
      </c>
    </row>
    <row r="186" spans="1:17" x14ac:dyDescent="0.25">
      <c r="A186" s="129"/>
      <c r="B186" s="129"/>
      <c r="C186" s="129"/>
      <c r="D186" s="194" t="s">
        <v>441</v>
      </c>
      <c r="E186" s="127">
        <v>3</v>
      </c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71">
        <f t="shared" si="2"/>
        <v>3</v>
      </c>
    </row>
    <row r="187" spans="1:17" x14ac:dyDescent="0.25">
      <c r="A187" s="129"/>
      <c r="B187" s="129"/>
      <c r="C187" s="131"/>
      <c r="D187" s="195" t="s">
        <v>461</v>
      </c>
      <c r="E187" s="127">
        <v>2</v>
      </c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71">
        <f t="shared" si="2"/>
        <v>2</v>
      </c>
    </row>
    <row r="188" spans="1:17" x14ac:dyDescent="0.25">
      <c r="A188" s="129"/>
      <c r="B188" s="129"/>
      <c r="C188" s="125" t="s">
        <v>40</v>
      </c>
      <c r="D188" s="193" t="s">
        <v>321</v>
      </c>
      <c r="E188" s="127">
        <v>4</v>
      </c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71">
        <f t="shared" si="2"/>
        <v>4</v>
      </c>
    </row>
    <row r="189" spans="1:17" x14ac:dyDescent="0.25">
      <c r="A189" s="129"/>
      <c r="B189" s="129"/>
      <c r="C189" s="129"/>
      <c r="D189" s="194" t="s">
        <v>304</v>
      </c>
      <c r="E189" s="127">
        <v>14</v>
      </c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71">
        <f t="shared" si="2"/>
        <v>14</v>
      </c>
    </row>
    <row r="190" spans="1:17" x14ac:dyDescent="0.25">
      <c r="A190" s="129"/>
      <c r="B190" s="129"/>
      <c r="C190" s="129"/>
      <c r="D190" s="194" t="s">
        <v>353</v>
      </c>
      <c r="E190" s="127">
        <v>5</v>
      </c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71">
        <f t="shared" si="2"/>
        <v>5</v>
      </c>
    </row>
    <row r="191" spans="1:17" x14ac:dyDescent="0.25">
      <c r="A191" s="129"/>
      <c r="B191" s="129"/>
      <c r="C191" s="129"/>
      <c r="D191" s="194" t="s">
        <v>545</v>
      </c>
      <c r="E191" s="127">
        <v>1</v>
      </c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71">
        <f t="shared" si="2"/>
        <v>1</v>
      </c>
    </row>
    <row r="192" spans="1:17" x14ac:dyDescent="0.25">
      <c r="A192" s="129"/>
      <c r="B192" s="129"/>
      <c r="C192" s="129"/>
      <c r="D192" s="194" t="s">
        <v>462</v>
      </c>
      <c r="E192" s="127">
        <v>1</v>
      </c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71">
        <f t="shared" si="2"/>
        <v>1</v>
      </c>
    </row>
    <row r="193" spans="1:17" x14ac:dyDescent="0.25">
      <c r="A193" s="129"/>
      <c r="B193" s="129"/>
      <c r="C193" s="129"/>
      <c r="D193" s="194" t="s">
        <v>546</v>
      </c>
      <c r="E193" s="127">
        <v>1</v>
      </c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71">
        <f t="shared" si="2"/>
        <v>1</v>
      </c>
    </row>
    <row r="194" spans="1:17" x14ac:dyDescent="0.25">
      <c r="A194" s="129"/>
      <c r="B194" s="129"/>
      <c r="C194" s="129"/>
      <c r="D194" s="194" t="s">
        <v>547</v>
      </c>
      <c r="E194" s="127">
        <v>1</v>
      </c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71">
        <f t="shared" si="2"/>
        <v>1</v>
      </c>
    </row>
    <row r="195" spans="1:17" x14ac:dyDescent="0.25">
      <c r="A195" s="129"/>
      <c r="B195" s="129"/>
      <c r="C195" s="129"/>
      <c r="D195" s="194" t="s">
        <v>548</v>
      </c>
      <c r="E195" s="127">
        <v>11</v>
      </c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71">
        <f t="shared" si="2"/>
        <v>11</v>
      </c>
    </row>
    <row r="196" spans="1:17" x14ac:dyDescent="0.25">
      <c r="A196" s="129"/>
      <c r="B196" s="129"/>
      <c r="C196" s="129"/>
      <c r="D196" s="194" t="s">
        <v>463</v>
      </c>
      <c r="E196" s="127">
        <v>2</v>
      </c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71">
        <f t="shared" si="2"/>
        <v>2</v>
      </c>
    </row>
    <row r="197" spans="1:17" x14ac:dyDescent="0.25">
      <c r="A197" s="129"/>
      <c r="B197" s="129"/>
      <c r="C197" s="129"/>
      <c r="D197" s="194" t="s">
        <v>549</v>
      </c>
      <c r="E197" s="127">
        <v>1</v>
      </c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71">
        <f t="shared" si="2"/>
        <v>1</v>
      </c>
    </row>
    <row r="198" spans="1:17" x14ac:dyDescent="0.25">
      <c r="A198" s="129"/>
      <c r="B198" s="129"/>
      <c r="C198" s="131"/>
      <c r="D198" s="195" t="s">
        <v>464</v>
      </c>
      <c r="E198" s="127">
        <v>1</v>
      </c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71">
        <f t="shared" si="2"/>
        <v>1</v>
      </c>
    </row>
    <row r="199" spans="1:17" x14ac:dyDescent="0.25">
      <c r="A199" s="129"/>
      <c r="B199" s="129"/>
      <c r="C199" s="133" t="s">
        <v>450</v>
      </c>
      <c r="D199" s="196" t="s">
        <v>465</v>
      </c>
      <c r="E199" s="127">
        <v>1</v>
      </c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71">
        <f t="shared" si="2"/>
        <v>1</v>
      </c>
    </row>
    <row r="200" spans="1:17" x14ac:dyDescent="0.25">
      <c r="A200" s="129"/>
      <c r="B200" s="129"/>
      <c r="C200" s="125" t="s">
        <v>35</v>
      </c>
      <c r="D200" s="193" t="s">
        <v>91</v>
      </c>
      <c r="E200" s="127">
        <v>1</v>
      </c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71">
        <f t="shared" si="2"/>
        <v>1</v>
      </c>
    </row>
    <row r="201" spans="1:17" x14ac:dyDescent="0.25">
      <c r="A201" s="129"/>
      <c r="B201" s="129"/>
      <c r="C201" s="129"/>
      <c r="D201" s="194" t="s">
        <v>92</v>
      </c>
      <c r="E201" s="127">
        <v>1</v>
      </c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71">
        <f t="shared" si="2"/>
        <v>1</v>
      </c>
    </row>
    <row r="202" spans="1:17" x14ac:dyDescent="0.25">
      <c r="A202" s="129"/>
      <c r="B202" s="129"/>
      <c r="C202" s="129"/>
      <c r="D202" s="194" t="s">
        <v>467</v>
      </c>
      <c r="E202" s="127">
        <v>1</v>
      </c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71">
        <f t="shared" si="2"/>
        <v>1</v>
      </c>
    </row>
    <row r="203" spans="1:17" x14ac:dyDescent="0.25">
      <c r="A203" s="129"/>
      <c r="B203" s="129"/>
      <c r="C203" s="129"/>
      <c r="D203" s="194" t="s">
        <v>468</v>
      </c>
      <c r="E203" s="127">
        <v>1</v>
      </c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71">
        <f t="shared" si="2"/>
        <v>1</v>
      </c>
    </row>
    <row r="204" spans="1:17" x14ac:dyDescent="0.25">
      <c r="A204" s="129"/>
      <c r="B204" s="129"/>
      <c r="C204" s="129"/>
      <c r="D204" s="194" t="s">
        <v>470</v>
      </c>
      <c r="E204" s="127">
        <v>1</v>
      </c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71">
        <f t="shared" si="2"/>
        <v>1</v>
      </c>
    </row>
    <row r="205" spans="1:17" x14ac:dyDescent="0.25">
      <c r="A205" s="129"/>
      <c r="B205" s="129"/>
      <c r="C205" s="129"/>
      <c r="D205" s="194" t="s">
        <v>471</v>
      </c>
      <c r="E205" s="127">
        <v>1</v>
      </c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71">
        <f t="shared" si="2"/>
        <v>1</v>
      </c>
    </row>
    <row r="206" spans="1:17" x14ac:dyDescent="0.25">
      <c r="A206" s="129"/>
      <c r="B206" s="129"/>
      <c r="C206" s="129"/>
      <c r="D206" s="194" t="s">
        <v>472</v>
      </c>
      <c r="E206" s="127">
        <v>2</v>
      </c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71">
        <f t="shared" si="2"/>
        <v>2</v>
      </c>
    </row>
    <row r="207" spans="1:17" x14ac:dyDescent="0.25">
      <c r="A207" s="129"/>
      <c r="B207" s="129"/>
      <c r="C207" s="131"/>
      <c r="D207" s="195" t="s">
        <v>473</v>
      </c>
      <c r="E207" s="127">
        <v>3</v>
      </c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71">
        <f t="shared" si="2"/>
        <v>3</v>
      </c>
    </row>
    <row r="208" spans="1:17" x14ac:dyDescent="0.25">
      <c r="A208" s="129"/>
      <c r="B208" s="129"/>
      <c r="C208" s="125" t="s">
        <v>23</v>
      </c>
      <c r="D208" s="193" t="s">
        <v>354</v>
      </c>
      <c r="E208" s="127">
        <v>1</v>
      </c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71">
        <f t="shared" si="2"/>
        <v>1</v>
      </c>
    </row>
    <row r="209" spans="1:17" x14ac:dyDescent="0.25">
      <c r="A209" s="129"/>
      <c r="B209" s="129"/>
      <c r="C209" s="129"/>
      <c r="D209" s="194" t="s">
        <v>93</v>
      </c>
      <c r="E209" s="127">
        <v>3</v>
      </c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71">
        <f t="shared" si="2"/>
        <v>3</v>
      </c>
    </row>
    <row r="210" spans="1:17" x14ac:dyDescent="0.25">
      <c r="A210" s="129"/>
      <c r="B210" s="129"/>
      <c r="C210" s="129"/>
      <c r="D210" s="194" t="s">
        <v>94</v>
      </c>
      <c r="E210" s="127">
        <v>11</v>
      </c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71">
        <f t="shared" si="2"/>
        <v>11</v>
      </c>
    </row>
    <row r="211" spans="1:17" x14ac:dyDescent="0.25">
      <c r="A211" s="129"/>
      <c r="B211" s="129"/>
      <c r="C211" s="129"/>
      <c r="D211" s="194" t="s">
        <v>355</v>
      </c>
      <c r="E211" s="127">
        <v>3</v>
      </c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71">
        <f t="shared" si="2"/>
        <v>3</v>
      </c>
    </row>
    <row r="212" spans="1:17" x14ac:dyDescent="0.25">
      <c r="A212" s="129"/>
      <c r="B212" s="129"/>
      <c r="C212" s="129"/>
      <c r="D212" s="194" t="s">
        <v>95</v>
      </c>
      <c r="E212" s="127">
        <v>6</v>
      </c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71">
        <f t="shared" si="2"/>
        <v>6</v>
      </c>
    </row>
    <row r="213" spans="1:17" x14ac:dyDescent="0.25">
      <c r="A213" s="129"/>
      <c r="B213" s="129"/>
      <c r="C213" s="129"/>
      <c r="D213" s="194" t="s">
        <v>475</v>
      </c>
      <c r="E213" s="127">
        <v>1</v>
      </c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71">
        <f t="shared" si="2"/>
        <v>1</v>
      </c>
    </row>
    <row r="214" spans="1:17" x14ac:dyDescent="0.25">
      <c r="A214" s="129"/>
      <c r="B214" s="129"/>
      <c r="C214" s="129"/>
      <c r="D214" s="194" t="s">
        <v>356</v>
      </c>
      <c r="E214" s="127">
        <v>1</v>
      </c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71">
        <f t="shared" si="2"/>
        <v>1</v>
      </c>
    </row>
    <row r="215" spans="1:17" x14ac:dyDescent="0.25">
      <c r="A215" s="129"/>
      <c r="B215" s="129"/>
      <c r="C215" s="129"/>
      <c r="D215" s="194" t="s">
        <v>96</v>
      </c>
      <c r="E215" s="127">
        <v>6</v>
      </c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71">
        <f t="shared" si="2"/>
        <v>6</v>
      </c>
    </row>
    <row r="216" spans="1:17" x14ac:dyDescent="0.25">
      <c r="A216" s="129"/>
      <c r="B216" s="129"/>
      <c r="C216" s="129"/>
      <c r="D216" s="194" t="s">
        <v>476</v>
      </c>
      <c r="E216" s="127">
        <v>3</v>
      </c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71">
        <f t="shared" si="2"/>
        <v>3</v>
      </c>
    </row>
    <row r="217" spans="1:17" x14ac:dyDescent="0.25">
      <c r="A217" s="129"/>
      <c r="B217" s="129"/>
      <c r="C217" s="129"/>
      <c r="D217" s="194" t="s">
        <v>149</v>
      </c>
      <c r="E217" s="127">
        <v>22</v>
      </c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71">
        <f t="shared" si="2"/>
        <v>22</v>
      </c>
    </row>
    <row r="218" spans="1:17" x14ac:dyDescent="0.25">
      <c r="A218" s="129"/>
      <c r="B218" s="129"/>
      <c r="C218" s="129"/>
      <c r="D218" s="194" t="s">
        <v>97</v>
      </c>
      <c r="E218" s="127">
        <v>4</v>
      </c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71">
        <f t="shared" si="2"/>
        <v>4</v>
      </c>
    </row>
    <row r="219" spans="1:17" x14ac:dyDescent="0.25">
      <c r="A219" s="129"/>
      <c r="B219" s="129"/>
      <c r="C219" s="129"/>
      <c r="D219" s="194" t="s">
        <v>308</v>
      </c>
      <c r="E219" s="127">
        <v>2</v>
      </c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71">
        <f t="shared" si="2"/>
        <v>2</v>
      </c>
    </row>
    <row r="220" spans="1:17" x14ac:dyDescent="0.25">
      <c r="A220" s="129"/>
      <c r="B220" s="129"/>
      <c r="C220" s="129"/>
      <c r="D220" s="194" t="s">
        <v>307</v>
      </c>
      <c r="E220" s="127">
        <v>2</v>
      </c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71">
        <f t="shared" si="2"/>
        <v>2</v>
      </c>
    </row>
    <row r="221" spans="1:17" x14ac:dyDescent="0.25">
      <c r="A221" s="129"/>
      <c r="B221" s="129"/>
      <c r="C221" s="129"/>
      <c r="D221" s="194" t="s">
        <v>550</v>
      </c>
      <c r="E221" s="127">
        <v>4</v>
      </c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71">
        <f t="shared" si="2"/>
        <v>4</v>
      </c>
    </row>
    <row r="222" spans="1:17" x14ac:dyDescent="0.25">
      <c r="A222" s="129"/>
      <c r="B222" s="129"/>
      <c r="C222" s="129"/>
      <c r="D222" s="194" t="s">
        <v>551</v>
      </c>
      <c r="E222" s="127">
        <v>3</v>
      </c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71">
        <f t="shared" si="2"/>
        <v>3</v>
      </c>
    </row>
    <row r="223" spans="1:17" x14ac:dyDescent="0.25">
      <c r="A223" s="129"/>
      <c r="B223" s="129"/>
      <c r="C223" s="129"/>
      <c r="D223" s="194" t="s">
        <v>99</v>
      </c>
      <c r="E223" s="127">
        <v>3</v>
      </c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71">
        <f t="shared" si="2"/>
        <v>3</v>
      </c>
    </row>
    <row r="224" spans="1:17" x14ac:dyDescent="0.25">
      <c r="A224" s="129"/>
      <c r="B224" s="129"/>
      <c r="C224" s="129"/>
      <c r="D224" s="194" t="s">
        <v>477</v>
      </c>
      <c r="E224" s="127">
        <v>1</v>
      </c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71">
        <f t="shared" si="2"/>
        <v>1</v>
      </c>
    </row>
    <row r="225" spans="1:17" x14ac:dyDescent="0.25">
      <c r="A225" s="129"/>
      <c r="B225" s="129"/>
      <c r="C225" s="129"/>
      <c r="D225" s="194" t="s">
        <v>100</v>
      </c>
      <c r="E225" s="127">
        <v>3</v>
      </c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71">
        <f t="shared" si="2"/>
        <v>3</v>
      </c>
    </row>
    <row r="226" spans="1:17" x14ac:dyDescent="0.25">
      <c r="A226" s="129"/>
      <c r="B226" s="129"/>
      <c r="C226" s="129"/>
      <c r="D226" s="194" t="s">
        <v>306</v>
      </c>
      <c r="E226" s="127">
        <v>7</v>
      </c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71">
        <f t="shared" si="2"/>
        <v>7</v>
      </c>
    </row>
    <row r="227" spans="1:17" x14ac:dyDescent="0.25">
      <c r="A227" s="129"/>
      <c r="B227" s="129"/>
      <c r="C227" s="129"/>
      <c r="D227" s="194" t="s">
        <v>309</v>
      </c>
      <c r="E227" s="127">
        <v>2</v>
      </c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71">
        <f t="shared" si="2"/>
        <v>2</v>
      </c>
    </row>
    <row r="228" spans="1:17" x14ac:dyDescent="0.25">
      <c r="A228" s="129"/>
      <c r="B228" s="129"/>
      <c r="C228" s="129"/>
      <c r="D228" s="194" t="s">
        <v>478</v>
      </c>
      <c r="E228" s="127">
        <v>2</v>
      </c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71">
        <f t="shared" si="2"/>
        <v>2</v>
      </c>
    </row>
    <row r="229" spans="1:17" x14ac:dyDescent="0.25">
      <c r="A229" s="129"/>
      <c r="B229" s="129"/>
      <c r="C229" s="129"/>
      <c r="D229" s="194" t="s">
        <v>479</v>
      </c>
      <c r="E229" s="127">
        <v>2</v>
      </c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71">
        <f t="shared" si="2"/>
        <v>2</v>
      </c>
    </row>
    <row r="230" spans="1:17" x14ac:dyDescent="0.25">
      <c r="A230" s="129"/>
      <c r="B230" s="129"/>
      <c r="C230" s="129"/>
      <c r="D230" s="194" t="s">
        <v>480</v>
      </c>
      <c r="E230" s="127">
        <v>3</v>
      </c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71">
        <f t="shared" si="2"/>
        <v>3</v>
      </c>
    </row>
    <row r="231" spans="1:17" x14ac:dyDescent="0.25">
      <c r="A231" s="129"/>
      <c r="B231" s="129"/>
      <c r="C231" s="129"/>
      <c r="D231" s="194" t="s">
        <v>481</v>
      </c>
      <c r="E231" s="127">
        <v>1</v>
      </c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71">
        <f t="shared" si="2"/>
        <v>1</v>
      </c>
    </row>
    <row r="232" spans="1:17" x14ac:dyDescent="0.25">
      <c r="A232" s="129"/>
      <c r="B232" s="129"/>
      <c r="C232" s="131"/>
      <c r="D232" s="195" t="s">
        <v>483</v>
      </c>
      <c r="E232" s="127">
        <v>1</v>
      </c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71">
        <f t="shared" si="2"/>
        <v>1</v>
      </c>
    </row>
    <row r="233" spans="1:17" x14ac:dyDescent="0.25">
      <c r="A233" s="129"/>
      <c r="B233" s="129"/>
      <c r="C233" s="125" t="s">
        <v>28</v>
      </c>
      <c r="D233" s="193" t="s">
        <v>150</v>
      </c>
      <c r="E233" s="127">
        <v>2</v>
      </c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71">
        <f t="shared" si="2"/>
        <v>2</v>
      </c>
    </row>
    <row r="234" spans="1:17" x14ac:dyDescent="0.25">
      <c r="A234" s="129"/>
      <c r="B234" s="129"/>
      <c r="C234" s="131"/>
      <c r="D234" s="195" t="s">
        <v>151</v>
      </c>
      <c r="E234" s="127">
        <v>6</v>
      </c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71">
        <f t="shared" si="2"/>
        <v>6</v>
      </c>
    </row>
    <row r="235" spans="1:17" x14ac:dyDescent="0.25">
      <c r="A235" s="129"/>
      <c r="B235" s="129"/>
      <c r="C235" s="125" t="s">
        <v>65</v>
      </c>
      <c r="D235" s="193" t="s">
        <v>101</v>
      </c>
      <c r="E235" s="127">
        <v>29</v>
      </c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71">
        <f t="shared" si="2"/>
        <v>29</v>
      </c>
    </row>
    <row r="236" spans="1:17" x14ac:dyDescent="0.25">
      <c r="A236" s="129"/>
      <c r="B236" s="129"/>
      <c r="C236" s="129"/>
      <c r="D236" s="194" t="s">
        <v>102</v>
      </c>
      <c r="E236" s="127">
        <v>2</v>
      </c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71">
        <f t="shared" si="2"/>
        <v>2</v>
      </c>
    </row>
    <row r="237" spans="1:17" x14ac:dyDescent="0.25">
      <c r="A237" s="129"/>
      <c r="B237" s="129"/>
      <c r="C237" s="129"/>
      <c r="D237" s="194" t="s">
        <v>103</v>
      </c>
      <c r="E237" s="127">
        <v>2</v>
      </c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71">
        <f t="shared" si="2"/>
        <v>2</v>
      </c>
    </row>
    <row r="238" spans="1:17" x14ac:dyDescent="0.25">
      <c r="A238" s="129"/>
      <c r="B238" s="129"/>
      <c r="C238" s="129"/>
      <c r="D238" s="194" t="s">
        <v>104</v>
      </c>
      <c r="E238" s="127">
        <v>1</v>
      </c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71">
        <f t="shared" si="2"/>
        <v>1</v>
      </c>
    </row>
    <row r="239" spans="1:17" x14ac:dyDescent="0.25">
      <c r="A239" s="129"/>
      <c r="B239" s="129"/>
      <c r="C239" s="131"/>
      <c r="D239" s="195" t="s">
        <v>427</v>
      </c>
      <c r="E239" s="127">
        <v>1</v>
      </c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71">
        <f t="shared" si="2"/>
        <v>1</v>
      </c>
    </row>
    <row r="240" spans="1:17" x14ac:dyDescent="0.25">
      <c r="A240" s="129"/>
      <c r="B240" s="129"/>
      <c r="C240" s="125" t="s">
        <v>22</v>
      </c>
      <c r="D240" s="193" t="s">
        <v>106</v>
      </c>
      <c r="E240" s="127">
        <v>22</v>
      </c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71">
        <f t="shared" si="2"/>
        <v>22</v>
      </c>
    </row>
    <row r="241" spans="1:17" x14ac:dyDescent="0.25">
      <c r="A241" s="129"/>
      <c r="B241" s="129"/>
      <c r="C241" s="129"/>
      <c r="D241" s="194" t="s">
        <v>107</v>
      </c>
      <c r="E241" s="127">
        <v>13</v>
      </c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71">
        <f t="shared" si="2"/>
        <v>13</v>
      </c>
    </row>
    <row r="242" spans="1:17" x14ac:dyDescent="0.25">
      <c r="A242" s="129"/>
      <c r="B242" s="129"/>
      <c r="C242" s="129"/>
      <c r="D242" s="194" t="s">
        <v>484</v>
      </c>
      <c r="E242" s="127">
        <v>8</v>
      </c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71">
        <f t="shared" si="2"/>
        <v>8</v>
      </c>
    </row>
    <row r="243" spans="1:17" x14ac:dyDescent="0.25">
      <c r="A243" s="129"/>
      <c r="B243" s="129"/>
      <c r="C243" s="129"/>
      <c r="D243" s="194" t="s">
        <v>105</v>
      </c>
      <c r="E243" s="127">
        <v>4</v>
      </c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71">
        <f t="shared" si="1"/>
        <v>4</v>
      </c>
    </row>
    <row r="244" spans="1:17" x14ac:dyDescent="0.25">
      <c r="A244" s="129"/>
      <c r="B244" s="129"/>
      <c r="C244" s="129"/>
      <c r="D244" s="194" t="s">
        <v>108</v>
      </c>
      <c r="E244" s="127">
        <v>5</v>
      </c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71">
        <f t="shared" ref="Q244:Q361" si="3">SUM(E244:P244)</f>
        <v>5</v>
      </c>
    </row>
    <row r="245" spans="1:17" x14ac:dyDescent="0.25">
      <c r="A245" s="129"/>
      <c r="B245" s="129"/>
      <c r="C245" s="131"/>
      <c r="D245" s="195" t="s">
        <v>109</v>
      </c>
      <c r="E245" s="127">
        <v>6</v>
      </c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71">
        <f t="shared" si="3"/>
        <v>6</v>
      </c>
    </row>
    <row r="246" spans="1:17" x14ac:dyDescent="0.25">
      <c r="A246" s="129"/>
      <c r="B246" s="129"/>
      <c r="C246" s="125" t="s">
        <v>72</v>
      </c>
      <c r="D246" s="193" t="s">
        <v>485</v>
      </c>
      <c r="E246" s="127">
        <v>1</v>
      </c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71">
        <f t="shared" si="3"/>
        <v>1</v>
      </c>
    </row>
    <row r="247" spans="1:17" x14ac:dyDescent="0.25">
      <c r="A247" s="129"/>
      <c r="B247" s="129"/>
      <c r="C247" s="129"/>
      <c r="D247" s="194" t="s">
        <v>486</v>
      </c>
      <c r="E247" s="127">
        <v>1</v>
      </c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71">
        <f t="shared" si="3"/>
        <v>1</v>
      </c>
    </row>
    <row r="248" spans="1:17" x14ac:dyDescent="0.25">
      <c r="A248" s="129"/>
      <c r="B248" s="129"/>
      <c r="C248" s="129"/>
      <c r="D248" s="194" t="s">
        <v>487</v>
      </c>
      <c r="E248" s="127">
        <v>1</v>
      </c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71">
        <f t="shared" si="3"/>
        <v>1</v>
      </c>
    </row>
    <row r="249" spans="1:17" x14ac:dyDescent="0.25">
      <c r="A249" s="129"/>
      <c r="B249" s="129"/>
      <c r="C249" s="129"/>
      <c r="D249" s="194" t="s">
        <v>488</v>
      </c>
      <c r="E249" s="127">
        <v>1</v>
      </c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71">
        <f t="shared" si="3"/>
        <v>1</v>
      </c>
    </row>
    <row r="250" spans="1:17" x14ac:dyDescent="0.25">
      <c r="A250" s="129"/>
      <c r="B250" s="129"/>
      <c r="C250" s="131"/>
      <c r="D250" s="195" t="s">
        <v>489</v>
      </c>
      <c r="E250" s="127">
        <v>1</v>
      </c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71">
        <f t="shared" si="3"/>
        <v>1</v>
      </c>
    </row>
    <row r="251" spans="1:17" x14ac:dyDescent="0.25">
      <c r="A251" s="129"/>
      <c r="B251" s="129"/>
      <c r="C251" s="133" t="s">
        <v>448</v>
      </c>
      <c r="D251" s="196" t="s">
        <v>562</v>
      </c>
      <c r="E251" s="127">
        <v>5</v>
      </c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71">
        <f t="shared" si="3"/>
        <v>5</v>
      </c>
    </row>
    <row r="252" spans="1:17" x14ac:dyDescent="0.25">
      <c r="A252" s="129"/>
      <c r="B252" s="129"/>
      <c r="C252" s="125" t="s">
        <v>21</v>
      </c>
      <c r="D252" s="193" t="s">
        <v>110</v>
      </c>
      <c r="E252" s="127">
        <v>9</v>
      </c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71">
        <f t="shared" si="3"/>
        <v>9</v>
      </c>
    </row>
    <row r="253" spans="1:17" x14ac:dyDescent="0.25">
      <c r="A253" s="129"/>
      <c r="B253" s="129"/>
      <c r="C253" s="129"/>
      <c r="D253" s="194" t="s">
        <v>112</v>
      </c>
      <c r="E253" s="127">
        <v>11</v>
      </c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71">
        <f t="shared" si="3"/>
        <v>11</v>
      </c>
    </row>
    <row r="254" spans="1:17" x14ac:dyDescent="0.25">
      <c r="A254" s="129"/>
      <c r="B254" s="129"/>
      <c r="C254" s="129"/>
      <c r="D254" s="194" t="s">
        <v>113</v>
      </c>
      <c r="E254" s="127">
        <v>10</v>
      </c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71">
        <f t="shared" si="3"/>
        <v>10</v>
      </c>
    </row>
    <row r="255" spans="1:17" x14ac:dyDescent="0.25">
      <c r="A255" s="129"/>
      <c r="B255" s="129"/>
      <c r="C255" s="131"/>
      <c r="D255" s="195" t="s">
        <v>310</v>
      </c>
      <c r="E255" s="127">
        <v>1</v>
      </c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71">
        <f t="shared" si="3"/>
        <v>1</v>
      </c>
    </row>
    <row r="256" spans="1:17" x14ac:dyDescent="0.25">
      <c r="A256" s="129"/>
      <c r="B256" s="129"/>
      <c r="C256" s="125" t="s">
        <v>26</v>
      </c>
      <c r="D256" s="193" t="s">
        <v>553</v>
      </c>
      <c r="E256" s="127">
        <v>1</v>
      </c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71">
        <f t="shared" si="3"/>
        <v>1</v>
      </c>
    </row>
    <row r="257" spans="1:17" x14ac:dyDescent="0.25">
      <c r="A257" s="129"/>
      <c r="B257" s="129"/>
      <c r="C257" s="129"/>
      <c r="D257" s="194" t="s">
        <v>288</v>
      </c>
      <c r="E257" s="127">
        <v>11</v>
      </c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71">
        <f t="shared" si="3"/>
        <v>11</v>
      </c>
    </row>
    <row r="258" spans="1:17" x14ac:dyDescent="0.25">
      <c r="A258" s="129"/>
      <c r="B258" s="129"/>
      <c r="C258" s="131"/>
      <c r="D258" s="195" t="s">
        <v>385</v>
      </c>
      <c r="E258" s="127">
        <v>14</v>
      </c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71">
        <f t="shared" si="3"/>
        <v>14</v>
      </c>
    </row>
    <row r="259" spans="1:17" x14ac:dyDescent="0.25">
      <c r="A259" s="129"/>
      <c r="B259" s="129"/>
      <c r="C259" s="125" t="s">
        <v>24</v>
      </c>
      <c r="D259" s="193" t="s">
        <v>114</v>
      </c>
      <c r="E259" s="127">
        <v>13</v>
      </c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71">
        <f t="shared" si="3"/>
        <v>13</v>
      </c>
    </row>
    <row r="260" spans="1:17" x14ac:dyDescent="0.25">
      <c r="A260" s="129"/>
      <c r="B260" s="129"/>
      <c r="C260" s="129"/>
      <c r="D260" s="194" t="s">
        <v>115</v>
      </c>
      <c r="E260" s="127">
        <v>11</v>
      </c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71">
        <f t="shared" si="3"/>
        <v>11</v>
      </c>
    </row>
    <row r="261" spans="1:17" x14ac:dyDescent="0.25">
      <c r="A261" s="129"/>
      <c r="B261" s="129"/>
      <c r="C261" s="129"/>
      <c r="D261" s="194" t="s">
        <v>116</v>
      </c>
      <c r="E261" s="127">
        <v>5</v>
      </c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71">
        <f t="shared" si="3"/>
        <v>5</v>
      </c>
    </row>
    <row r="262" spans="1:17" x14ac:dyDescent="0.25">
      <c r="A262" s="129"/>
      <c r="B262" s="129"/>
      <c r="C262" s="129"/>
      <c r="D262" s="194" t="s">
        <v>117</v>
      </c>
      <c r="E262" s="127">
        <v>1</v>
      </c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71">
        <f t="shared" si="3"/>
        <v>1</v>
      </c>
    </row>
    <row r="263" spans="1:17" x14ac:dyDescent="0.25">
      <c r="A263" s="129"/>
      <c r="B263" s="129"/>
      <c r="C263" s="129"/>
      <c r="D263" s="194" t="s">
        <v>118</v>
      </c>
      <c r="E263" s="127">
        <v>7</v>
      </c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71">
        <f t="shared" si="3"/>
        <v>7</v>
      </c>
    </row>
    <row r="264" spans="1:17" x14ac:dyDescent="0.25">
      <c r="A264" s="129"/>
      <c r="B264" s="129"/>
      <c r="C264" s="129"/>
      <c r="D264" s="194" t="s">
        <v>119</v>
      </c>
      <c r="E264" s="127">
        <v>15</v>
      </c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71">
        <f t="shared" si="3"/>
        <v>15</v>
      </c>
    </row>
    <row r="265" spans="1:17" x14ac:dyDescent="0.25">
      <c r="A265" s="129"/>
      <c r="B265" s="129"/>
      <c r="C265" s="129"/>
      <c r="D265" s="194" t="s">
        <v>120</v>
      </c>
      <c r="E265" s="127">
        <v>30</v>
      </c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71">
        <f t="shared" si="3"/>
        <v>30</v>
      </c>
    </row>
    <row r="266" spans="1:17" x14ac:dyDescent="0.25">
      <c r="A266" s="129"/>
      <c r="B266" s="129"/>
      <c r="C266" s="129"/>
      <c r="D266" s="194" t="s">
        <v>357</v>
      </c>
      <c r="E266" s="127">
        <v>2</v>
      </c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71">
        <f t="shared" si="3"/>
        <v>2</v>
      </c>
    </row>
    <row r="267" spans="1:17" x14ac:dyDescent="0.25">
      <c r="A267" s="129"/>
      <c r="B267" s="129"/>
      <c r="C267" s="129"/>
      <c r="D267" s="194" t="s">
        <v>121</v>
      </c>
      <c r="E267" s="127">
        <v>7</v>
      </c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71">
        <f t="shared" si="3"/>
        <v>7</v>
      </c>
    </row>
    <row r="268" spans="1:17" x14ac:dyDescent="0.25">
      <c r="A268" s="129"/>
      <c r="B268" s="129"/>
      <c r="C268" s="131"/>
      <c r="D268" s="195" t="s">
        <v>122</v>
      </c>
      <c r="E268" s="127">
        <v>13</v>
      </c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71">
        <f t="shared" si="3"/>
        <v>13</v>
      </c>
    </row>
    <row r="269" spans="1:17" x14ac:dyDescent="0.25">
      <c r="A269" s="129"/>
      <c r="B269" s="129"/>
      <c r="C269" s="133" t="s">
        <v>449</v>
      </c>
      <c r="D269" s="196" t="s">
        <v>491</v>
      </c>
      <c r="E269" s="127">
        <v>2</v>
      </c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71">
        <f t="shared" si="3"/>
        <v>2</v>
      </c>
    </row>
    <row r="270" spans="1:17" x14ac:dyDescent="0.25">
      <c r="A270" s="129"/>
      <c r="B270" s="129"/>
      <c r="C270" s="125" t="s">
        <v>29</v>
      </c>
      <c r="D270" s="193" t="s">
        <v>123</v>
      </c>
      <c r="E270" s="127">
        <v>13</v>
      </c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71">
        <f t="shared" si="3"/>
        <v>13</v>
      </c>
    </row>
    <row r="271" spans="1:17" x14ac:dyDescent="0.25">
      <c r="A271" s="129"/>
      <c r="B271" s="129"/>
      <c r="C271" s="129"/>
      <c r="D271" s="194" t="s">
        <v>492</v>
      </c>
      <c r="E271" s="127">
        <v>2</v>
      </c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71">
        <f t="shared" si="3"/>
        <v>2</v>
      </c>
    </row>
    <row r="272" spans="1:17" x14ac:dyDescent="0.25">
      <c r="A272" s="129"/>
      <c r="B272" s="129"/>
      <c r="C272" s="129"/>
      <c r="D272" s="194" t="s">
        <v>124</v>
      </c>
      <c r="E272" s="127">
        <v>5</v>
      </c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71">
        <f t="shared" si="3"/>
        <v>5</v>
      </c>
    </row>
    <row r="273" spans="1:17" x14ac:dyDescent="0.25">
      <c r="A273" s="129"/>
      <c r="B273" s="129"/>
      <c r="C273" s="129"/>
      <c r="D273" s="194" t="s">
        <v>125</v>
      </c>
      <c r="E273" s="127">
        <v>7</v>
      </c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71">
        <f t="shared" si="3"/>
        <v>7</v>
      </c>
    </row>
    <row r="274" spans="1:17" x14ac:dyDescent="0.25">
      <c r="A274" s="129"/>
      <c r="B274" s="129"/>
      <c r="C274" s="129"/>
      <c r="D274" s="194" t="s">
        <v>126</v>
      </c>
      <c r="E274" s="127">
        <v>4</v>
      </c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71">
        <f t="shared" si="3"/>
        <v>4</v>
      </c>
    </row>
    <row r="275" spans="1:17" x14ac:dyDescent="0.25">
      <c r="A275" s="129"/>
      <c r="B275" s="129"/>
      <c r="C275" s="129"/>
      <c r="D275" s="194" t="s">
        <v>493</v>
      </c>
      <c r="E275" s="127">
        <v>1</v>
      </c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71">
        <f t="shared" si="3"/>
        <v>1</v>
      </c>
    </row>
    <row r="276" spans="1:17" x14ac:dyDescent="0.25">
      <c r="A276" s="129"/>
      <c r="B276" s="129"/>
      <c r="C276" s="129"/>
      <c r="D276" s="194" t="s">
        <v>494</v>
      </c>
      <c r="E276" s="127">
        <v>2</v>
      </c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71">
        <f t="shared" si="3"/>
        <v>2</v>
      </c>
    </row>
    <row r="277" spans="1:17" x14ac:dyDescent="0.25">
      <c r="A277" s="129"/>
      <c r="B277" s="129"/>
      <c r="C277" s="129"/>
      <c r="D277" s="194" t="s">
        <v>311</v>
      </c>
      <c r="E277" s="127">
        <v>1</v>
      </c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71">
        <f t="shared" si="3"/>
        <v>1</v>
      </c>
    </row>
    <row r="278" spans="1:17" x14ac:dyDescent="0.25">
      <c r="A278" s="129"/>
      <c r="B278" s="129"/>
      <c r="C278" s="131"/>
      <c r="D278" s="195" t="s">
        <v>497</v>
      </c>
      <c r="E278" s="127">
        <v>1</v>
      </c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71">
        <f t="shared" si="3"/>
        <v>1</v>
      </c>
    </row>
    <row r="279" spans="1:17" x14ac:dyDescent="0.25">
      <c r="A279" s="129"/>
      <c r="B279" s="129"/>
      <c r="C279" s="125" t="s">
        <v>451</v>
      </c>
      <c r="D279" s="193" t="s">
        <v>544</v>
      </c>
      <c r="E279" s="127">
        <v>1</v>
      </c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71">
        <f t="shared" si="3"/>
        <v>1</v>
      </c>
    </row>
    <row r="280" spans="1:17" x14ac:dyDescent="0.25">
      <c r="A280" s="129"/>
      <c r="B280" s="129"/>
      <c r="C280" s="133" t="s">
        <v>455</v>
      </c>
      <c r="D280" s="196" t="s">
        <v>498</v>
      </c>
      <c r="E280" s="127">
        <v>1</v>
      </c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71">
        <f t="shared" si="3"/>
        <v>1</v>
      </c>
    </row>
    <row r="281" spans="1:17" x14ac:dyDescent="0.25">
      <c r="A281" s="129"/>
      <c r="B281" s="129"/>
      <c r="C281" s="125" t="s">
        <v>39</v>
      </c>
      <c r="D281" s="193" t="s">
        <v>285</v>
      </c>
      <c r="E281" s="127">
        <v>9</v>
      </c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71">
        <f t="shared" si="3"/>
        <v>9</v>
      </c>
    </row>
    <row r="282" spans="1:17" x14ac:dyDescent="0.25">
      <c r="A282" s="129"/>
      <c r="B282" s="129"/>
      <c r="C282" s="131"/>
      <c r="D282" s="195" t="s">
        <v>499</v>
      </c>
      <c r="E282" s="127">
        <v>1</v>
      </c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71">
        <f t="shared" si="3"/>
        <v>1</v>
      </c>
    </row>
    <row r="283" spans="1:17" x14ac:dyDescent="0.25">
      <c r="A283" s="129"/>
      <c r="B283" s="129"/>
      <c r="C283" s="125" t="s">
        <v>47</v>
      </c>
      <c r="D283" s="193" t="s">
        <v>313</v>
      </c>
      <c r="E283" s="127">
        <v>1</v>
      </c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71">
        <f t="shared" si="3"/>
        <v>1</v>
      </c>
    </row>
    <row r="284" spans="1:17" x14ac:dyDescent="0.25">
      <c r="A284" s="129"/>
      <c r="B284" s="129"/>
      <c r="C284" s="129"/>
      <c r="D284" s="194" t="s">
        <v>358</v>
      </c>
      <c r="E284" s="127">
        <v>2</v>
      </c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71">
        <f t="shared" si="3"/>
        <v>2</v>
      </c>
    </row>
    <row r="285" spans="1:17" x14ac:dyDescent="0.25">
      <c r="A285" s="129"/>
      <c r="B285" s="129"/>
      <c r="C285" s="131"/>
      <c r="D285" s="195" t="s">
        <v>502</v>
      </c>
      <c r="E285" s="127">
        <v>1</v>
      </c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71">
        <f t="shared" si="3"/>
        <v>1</v>
      </c>
    </row>
    <row r="286" spans="1:17" x14ac:dyDescent="0.25">
      <c r="A286" s="129"/>
      <c r="B286" s="129"/>
      <c r="C286" s="125" t="s">
        <v>42</v>
      </c>
      <c r="D286" s="193" t="s">
        <v>322</v>
      </c>
      <c r="E286" s="127">
        <v>20</v>
      </c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71">
        <f t="shared" si="3"/>
        <v>20</v>
      </c>
    </row>
    <row r="287" spans="1:17" x14ac:dyDescent="0.25">
      <c r="A287" s="129"/>
      <c r="B287" s="129"/>
      <c r="C287" s="133" t="s">
        <v>71</v>
      </c>
      <c r="D287" s="196" t="s">
        <v>429</v>
      </c>
      <c r="E287" s="127">
        <v>1</v>
      </c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71">
        <f t="shared" si="3"/>
        <v>1</v>
      </c>
    </row>
    <row r="288" spans="1:17" x14ac:dyDescent="0.25">
      <c r="A288" s="129"/>
      <c r="B288" s="129"/>
      <c r="C288" s="125" t="s">
        <v>19</v>
      </c>
      <c r="D288" s="193" t="s">
        <v>128</v>
      </c>
      <c r="E288" s="127">
        <v>3</v>
      </c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71">
        <f t="shared" si="3"/>
        <v>3</v>
      </c>
    </row>
    <row r="289" spans="1:17" x14ac:dyDescent="0.25">
      <c r="A289" s="129"/>
      <c r="B289" s="129"/>
      <c r="C289" s="129"/>
      <c r="D289" s="194" t="s">
        <v>504</v>
      </c>
      <c r="E289" s="127">
        <v>1</v>
      </c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71">
        <f t="shared" si="3"/>
        <v>1</v>
      </c>
    </row>
    <row r="290" spans="1:17" x14ac:dyDescent="0.25">
      <c r="A290" s="129"/>
      <c r="B290" s="129"/>
      <c r="C290" s="129"/>
      <c r="D290" s="194" t="s">
        <v>129</v>
      </c>
      <c r="E290" s="127">
        <v>6</v>
      </c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71">
        <f t="shared" si="3"/>
        <v>6</v>
      </c>
    </row>
    <row r="291" spans="1:17" x14ac:dyDescent="0.25">
      <c r="A291" s="129"/>
      <c r="B291" s="129"/>
      <c r="C291" s="129"/>
      <c r="D291" s="194" t="s">
        <v>130</v>
      </c>
      <c r="E291" s="127">
        <v>1</v>
      </c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71">
        <f t="shared" si="3"/>
        <v>1</v>
      </c>
    </row>
    <row r="292" spans="1:17" x14ac:dyDescent="0.25">
      <c r="A292" s="129"/>
      <c r="B292" s="129"/>
      <c r="C292" s="129"/>
      <c r="D292" s="194" t="s">
        <v>131</v>
      </c>
      <c r="E292" s="127">
        <v>6</v>
      </c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71">
        <f t="shared" si="3"/>
        <v>6</v>
      </c>
    </row>
    <row r="293" spans="1:17" x14ac:dyDescent="0.25">
      <c r="A293" s="129"/>
      <c r="B293" s="129"/>
      <c r="C293" s="129"/>
      <c r="D293" s="194" t="s">
        <v>314</v>
      </c>
      <c r="E293" s="127">
        <v>2</v>
      </c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71">
        <f t="shared" si="3"/>
        <v>2</v>
      </c>
    </row>
    <row r="294" spans="1:17" x14ac:dyDescent="0.25">
      <c r="A294" s="129"/>
      <c r="B294" s="129"/>
      <c r="C294" s="129"/>
      <c r="D294" s="194" t="s">
        <v>132</v>
      </c>
      <c r="E294" s="127">
        <v>1</v>
      </c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71">
        <f t="shared" si="3"/>
        <v>1</v>
      </c>
    </row>
    <row r="295" spans="1:17" x14ac:dyDescent="0.25">
      <c r="A295" s="129"/>
      <c r="B295" s="129"/>
      <c r="C295" s="129"/>
      <c r="D295" s="194" t="s">
        <v>133</v>
      </c>
      <c r="E295" s="127">
        <v>3</v>
      </c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71">
        <f t="shared" si="3"/>
        <v>3</v>
      </c>
    </row>
    <row r="296" spans="1:17" x14ac:dyDescent="0.25">
      <c r="A296" s="129"/>
      <c r="B296" s="129"/>
      <c r="C296" s="129"/>
      <c r="D296" s="194" t="s">
        <v>134</v>
      </c>
      <c r="E296" s="127">
        <v>4</v>
      </c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71">
        <f t="shared" si="3"/>
        <v>4</v>
      </c>
    </row>
    <row r="297" spans="1:17" x14ac:dyDescent="0.25">
      <c r="A297" s="129"/>
      <c r="B297" s="129"/>
      <c r="C297" s="129"/>
      <c r="D297" s="194" t="s">
        <v>503</v>
      </c>
      <c r="E297" s="127">
        <v>1</v>
      </c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71">
        <f t="shared" si="3"/>
        <v>1</v>
      </c>
    </row>
    <row r="298" spans="1:17" x14ac:dyDescent="0.25">
      <c r="A298" s="129"/>
      <c r="B298" s="129"/>
      <c r="C298" s="129"/>
      <c r="D298" s="194" t="s">
        <v>315</v>
      </c>
      <c r="E298" s="127">
        <v>1</v>
      </c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71">
        <f t="shared" si="3"/>
        <v>1</v>
      </c>
    </row>
    <row r="299" spans="1:17" x14ac:dyDescent="0.25">
      <c r="A299" s="129"/>
      <c r="B299" s="129"/>
      <c r="C299" s="129"/>
      <c r="D299" s="194" t="s">
        <v>283</v>
      </c>
      <c r="E299" s="127">
        <v>3</v>
      </c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71">
        <f t="shared" si="3"/>
        <v>3</v>
      </c>
    </row>
    <row r="300" spans="1:17" x14ac:dyDescent="0.25">
      <c r="A300" s="129"/>
      <c r="B300" s="129"/>
      <c r="C300" s="129"/>
      <c r="D300" s="194" t="s">
        <v>323</v>
      </c>
      <c r="E300" s="127">
        <v>1</v>
      </c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71">
        <f t="shared" si="3"/>
        <v>1</v>
      </c>
    </row>
    <row r="301" spans="1:17" x14ac:dyDescent="0.25">
      <c r="A301" s="129"/>
      <c r="B301" s="129"/>
      <c r="C301" s="129"/>
      <c r="D301" s="194" t="s">
        <v>316</v>
      </c>
      <c r="E301" s="127">
        <v>1</v>
      </c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71">
        <f t="shared" si="3"/>
        <v>1</v>
      </c>
    </row>
    <row r="302" spans="1:17" x14ac:dyDescent="0.25">
      <c r="A302" s="129"/>
      <c r="B302" s="129"/>
      <c r="C302" s="131"/>
      <c r="D302" s="195" t="s">
        <v>505</v>
      </c>
      <c r="E302" s="127">
        <v>14</v>
      </c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71">
        <f t="shared" si="3"/>
        <v>14</v>
      </c>
    </row>
    <row r="303" spans="1:17" x14ac:dyDescent="0.25">
      <c r="A303" s="129"/>
      <c r="B303" s="129"/>
      <c r="C303" s="125" t="s">
        <v>25</v>
      </c>
      <c r="D303" s="193" t="s">
        <v>506</v>
      </c>
      <c r="E303" s="127">
        <v>1</v>
      </c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71">
        <f t="shared" si="3"/>
        <v>1</v>
      </c>
    </row>
    <row r="304" spans="1:17" x14ac:dyDescent="0.25">
      <c r="A304" s="129"/>
      <c r="B304" s="129"/>
      <c r="C304" s="129"/>
      <c r="D304" s="194" t="s">
        <v>507</v>
      </c>
      <c r="E304" s="127">
        <v>2</v>
      </c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71">
        <f t="shared" si="3"/>
        <v>2</v>
      </c>
    </row>
    <row r="305" spans="1:17" x14ac:dyDescent="0.25">
      <c r="A305" s="129"/>
      <c r="B305" s="129"/>
      <c r="C305" s="129"/>
      <c r="D305" s="194" t="s">
        <v>510</v>
      </c>
      <c r="E305" s="127">
        <v>1</v>
      </c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71">
        <f t="shared" si="3"/>
        <v>1</v>
      </c>
    </row>
    <row r="306" spans="1:17" x14ac:dyDescent="0.25">
      <c r="A306" s="129"/>
      <c r="B306" s="129"/>
      <c r="C306" s="129"/>
      <c r="D306" s="194" t="s">
        <v>135</v>
      </c>
      <c r="E306" s="127">
        <v>3</v>
      </c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71">
        <f t="shared" si="3"/>
        <v>3</v>
      </c>
    </row>
    <row r="307" spans="1:17" x14ac:dyDescent="0.25">
      <c r="A307" s="129"/>
      <c r="B307" s="129"/>
      <c r="C307" s="129"/>
      <c r="D307" s="194" t="s">
        <v>363</v>
      </c>
      <c r="E307" s="127">
        <v>1</v>
      </c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71">
        <f t="shared" si="3"/>
        <v>1</v>
      </c>
    </row>
    <row r="308" spans="1:17" x14ac:dyDescent="0.25">
      <c r="A308" s="129"/>
      <c r="B308" s="129"/>
      <c r="C308" s="129"/>
      <c r="D308" s="194" t="s">
        <v>511</v>
      </c>
      <c r="E308" s="127">
        <v>3</v>
      </c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71">
        <f t="shared" si="3"/>
        <v>3</v>
      </c>
    </row>
    <row r="309" spans="1:17" x14ac:dyDescent="0.25">
      <c r="A309" s="129"/>
      <c r="B309" s="129"/>
      <c r="C309" s="129"/>
      <c r="D309" s="194" t="s">
        <v>152</v>
      </c>
      <c r="E309" s="127">
        <v>29</v>
      </c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71">
        <f t="shared" si="3"/>
        <v>29</v>
      </c>
    </row>
    <row r="310" spans="1:17" x14ac:dyDescent="0.25">
      <c r="A310" s="129"/>
      <c r="B310" s="129"/>
      <c r="C310" s="129"/>
      <c r="D310" s="194" t="s">
        <v>388</v>
      </c>
      <c r="E310" s="127">
        <v>12</v>
      </c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71">
        <f t="shared" si="3"/>
        <v>12</v>
      </c>
    </row>
    <row r="311" spans="1:17" x14ac:dyDescent="0.25">
      <c r="A311" s="129"/>
      <c r="B311" s="129"/>
      <c r="C311" s="129"/>
      <c r="D311" s="194" t="s">
        <v>512</v>
      </c>
      <c r="E311" s="127">
        <v>2</v>
      </c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71">
        <f t="shared" si="3"/>
        <v>2</v>
      </c>
    </row>
    <row r="312" spans="1:17" x14ac:dyDescent="0.25">
      <c r="A312" s="129"/>
      <c r="B312" s="129"/>
      <c r="C312" s="129"/>
      <c r="D312" s="194" t="s">
        <v>509</v>
      </c>
      <c r="E312" s="127">
        <v>2</v>
      </c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71">
        <f t="shared" si="3"/>
        <v>2</v>
      </c>
    </row>
    <row r="313" spans="1:17" x14ac:dyDescent="0.25">
      <c r="A313" s="129"/>
      <c r="B313" s="129"/>
      <c r="C313" s="129"/>
      <c r="D313" s="194" t="s">
        <v>324</v>
      </c>
      <c r="E313" s="127">
        <v>3</v>
      </c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71">
        <f t="shared" si="3"/>
        <v>3</v>
      </c>
    </row>
    <row r="314" spans="1:17" x14ac:dyDescent="0.25">
      <c r="A314" s="129"/>
      <c r="B314" s="129"/>
      <c r="C314" s="129"/>
      <c r="D314" s="194" t="s">
        <v>362</v>
      </c>
      <c r="E314" s="127">
        <v>2</v>
      </c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71">
        <f t="shared" si="3"/>
        <v>2</v>
      </c>
    </row>
    <row r="315" spans="1:17" x14ac:dyDescent="0.25">
      <c r="A315" s="129"/>
      <c r="B315" s="129"/>
      <c r="C315" s="129"/>
      <c r="D315" s="194" t="s">
        <v>361</v>
      </c>
      <c r="E315" s="127">
        <v>14</v>
      </c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71">
        <f t="shared" si="3"/>
        <v>14</v>
      </c>
    </row>
    <row r="316" spans="1:17" x14ac:dyDescent="0.25">
      <c r="A316" s="129"/>
      <c r="B316" s="129"/>
      <c r="C316" s="129"/>
      <c r="D316" s="194" t="s">
        <v>508</v>
      </c>
      <c r="E316" s="127">
        <v>6</v>
      </c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71">
        <f t="shared" si="3"/>
        <v>6</v>
      </c>
    </row>
    <row r="317" spans="1:17" x14ac:dyDescent="0.25">
      <c r="A317" s="129"/>
      <c r="B317" s="129"/>
      <c r="C317" s="129"/>
      <c r="D317" s="194" t="s">
        <v>153</v>
      </c>
      <c r="E317" s="127">
        <v>1</v>
      </c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71">
        <f t="shared" si="3"/>
        <v>1</v>
      </c>
    </row>
    <row r="318" spans="1:17" x14ac:dyDescent="0.25">
      <c r="A318" s="129"/>
      <c r="B318" s="129"/>
      <c r="C318" s="129"/>
      <c r="D318" s="194" t="s">
        <v>154</v>
      </c>
      <c r="E318" s="127">
        <v>13</v>
      </c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71">
        <f t="shared" si="3"/>
        <v>13</v>
      </c>
    </row>
    <row r="319" spans="1:17" x14ac:dyDescent="0.25">
      <c r="A319" s="129"/>
      <c r="B319" s="129"/>
      <c r="C319" s="129"/>
      <c r="D319" s="194" t="s">
        <v>513</v>
      </c>
      <c r="E319" s="127">
        <v>1</v>
      </c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71">
        <f t="shared" si="3"/>
        <v>1</v>
      </c>
    </row>
    <row r="320" spans="1:17" x14ac:dyDescent="0.25">
      <c r="A320" s="129"/>
      <c r="B320" s="129"/>
      <c r="C320" s="129"/>
      <c r="D320" s="194" t="s">
        <v>555</v>
      </c>
      <c r="E320" s="127">
        <v>13</v>
      </c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71">
        <f t="shared" si="3"/>
        <v>13</v>
      </c>
    </row>
    <row r="321" spans="1:17" x14ac:dyDescent="0.25">
      <c r="A321" s="129"/>
      <c r="B321" s="129"/>
      <c r="C321" s="129"/>
      <c r="D321" s="194" t="s">
        <v>556</v>
      </c>
      <c r="E321" s="127">
        <v>3</v>
      </c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71">
        <f t="shared" si="3"/>
        <v>3</v>
      </c>
    </row>
    <row r="322" spans="1:17" x14ac:dyDescent="0.25">
      <c r="A322" s="129"/>
      <c r="B322" s="129"/>
      <c r="C322" s="131"/>
      <c r="D322" s="195" t="s">
        <v>557</v>
      </c>
      <c r="E322" s="127">
        <v>2</v>
      </c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71">
        <f t="shared" si="3"/>
        <v>2</v>
      </c>
    </row>
    <row r="323" spans="1:17" x14ac:dyDescent="0.25">
      <c r="A323" s="129"/>
      <c r="B323" s="129"/>
      <c r="C323" s="125" t="s">
        <v>31</v>
      </c>
      <c r="D323" s="193" t="s">
        <v>289</v>
      </c>
      <c r="E323" s="127">
        <v>4</v>
      </c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71">
        <f t="shared" si="3"/>
        <v>4</v>
      </c>
    </row>
    <row r="324" spans="1:17" x14ac:dyDescent="0.25">
      <c r="A324" s="129"/>
      <c r="B324" s="129"/>
      <c r="C324" s="129"/>
      <c r="D324" s="194" t="s">
        <v>386</v>
      </c>
      <c r="E324" s="127">
        <v>2</v>
      </c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71">
        <f t="shared" si="3"/>
        <v>2</v>
      </c>
    </row>
    <row r="325" spans="1:17" x14ac:dyDescent="0.25">
      <c r="A325" s="129"/>
      <c r="B325" s="129"/>
      <c r="C325" s="129"/>
      <c r="D325" s="194" t="s">
        <v>514</v>
      </c>
      <c r="E325" s="127">
        <v>1</v>
      </c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71">
        <f t="shared" si="3"/>
        <v>1</v>
      </c>
    </row>
    <row r="326" spans="1:17" x14ac:dyDescent="0.25">
      <c r="A326" s="129"/>
      <c r="B326" s="129"/>
      <c r="C326" s="129"/>
      <c r="D326" s="194" t="s">
        <v>515</v>
      </c>
      <c r="E326" s="127">
        <v>1</v>
      </c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71">
        <f t="shared" si="3"/>
        <v>1</v>
      </c>
    </row>
    <row r="327" spans="1:17" x14ac:dyDescent="0.25">
      <c r="A327" s="129"/>
      <c r="B327" s="129"/>
      <c r="C327" s="129"/>
      <c r="D327" s="194" t="s">
        <v>387</v>
      </c>
      <c r="E327" s="127">
        <v>1</v>
      </c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71">
        <f t="shared" si="3"/>
        <v>1</v>
      </c>
    </row>
    <row r="328" spans="1:17" x14ac:dyDescent="0.25">
      <c r="A328" s="129"/>
      <c r="B328" s="129"/>
      <c r="C328" s="129"/>
      <c r="D328" s="194" t="s">
        <v>558</v>
      </c>
      <c r="E328" s="127">
        <v>6</v>
      </c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71">
        <f t="shared" si="3"/>
        <v>6</v>
      </c>
    </row>
    <row r="329" spans="1:17" x14ac:dyDescent="0.25">
      <c r="A329" s="129"/>
      <c r="B329" s="129"/>
      <c r="C329" s="129"/>
      <c r="D329" s="194" t="s">
        <v>516</v>
      </c>
      <c r="E329" s="127">
        <v>3</v>
      </c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71">
        <f t="shared" si="3"/>
        <v>3</v>
      </c>
    </row>
    <row r="330" spans="1:17" x14ac:dyDescent="0.25">
      <c r="A330" s="129"/>
      <c r="B330" s="129"/>
      <c r="C330" s="129"/>
      <c r="D330" s="194" t="s">
        <v>317</v>
      </c>
      <c r="E330" s="127">
        <v>3</v>
      </c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71">
        <f t="shared" si="3"/>
        <v>3</v>
      </c>
    </row>
    <row r="331" spans="1:17" x14ac:dyDescent="0.25">
      <c r="A331" s="129"/>
      <c r="B331" s="129"/>
      <c r="C331" s="129"/>
      <c r="D331" s="194" t="s">
        <v>318</v>
      </c>
      <c r="E331" s="127">
        <v>8</v>
      </c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71">
        <f t="shared" si="3"/>
        <v>8</v>
      </c>
    </row>
    <row r="332" spans="1:17" x14ac:dyDescent="0.25">
      <c r="A332" s="129"/>
      <c r="B332" s="129"/>
      <c r="C332" s="129"/>
      <c r="D332" s="194" t="s">
        <v>517</v>
      </c>
      <c r="E332" s="127">
        <v>2</v>
      </c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71">
        <f t="shared" si="3"/>
        <v>2</v>
      </c>
    </row>
    <row r="333" spans="1:17" x14ac:dyDescent="0.25">
      <c r="A333" s="129"/>
      <c r="B333" s="129"/>
      <c r="C333" s="129"/>
      <c r="D333" s="194" t="s">
        <v>414</v>
      </c>
      <c r="E333" s="127">
        <v>2</v>
      </c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71">
        <f t="shared" si="3"/>
        <v>2</v>
      </c>
    </row>
    <row r="334" spans="1:17" x14ac:dyDescent="0.25">
      <c r="A334" s="129"/>
      <c r="B334" s="129"/>
      <c r="C334" s="129"/>
      <c r="D334" s="194" t="s">
        <v>518</v>
      </c>
      <c r="E334" s="127">
        <v>1</v>
      </c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71">
        <f t="shared" si="3"/>
        <v>1</v>
      </c>
    </row>
    <row r="335" spans="1:17" x14ac:dyDescent="0.25">
      <c r="A335" s="129"/>
      <c r="B335" s="129"/>
      <c r="C335" s="129"/>
      <c r="D335" s="194" t="s">
        <v>434</v>
      </c>
      <c r="E335" s="127">
        <v>1</v>
      </c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71">
        <f t="shared" si="3"/>
        <v>1</v>
      </c>
    </row>
    <row r="336" spans="1:17" x14ac:dyDescent="0.25">
      <c r="A336" s="129"/>
      <c r="B336" s="129"/>
      <c r="C336" s="129"/>
      <c r="D336" s="194" t="s">
        <v>519</v>
      </c>
      <c r="E336" s="127">
        <v>1</v>
      </c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71">
        <f t="shared" si="3"/>
        <v>1</v>
      </c>
    </row>
    <row r="337" spans="1:17" x14ac:dyDescent="0.25">
      <c r="A337" s="129"/>
      <c r="B337" s="129"/>
      <c r="C337" s="129"/>
      <c r="D337" s="194" t="s">
        <v>559</v>
      </c>
      <c r="E337" s="127">
        <v>2</v>
      </c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71">
        <f t="shared" si="3"/>
        <v>2</v>
      </c>
    </row>
    <row r="338" spans="1:17" x14ac:dyDescent="0.25">
      <c r="A338" s="129"/>
      <c r="B338" s="129"/>
      <c r="C338" s="129"/>
      <c r="D338" s="194" t="s">
        <v>520</v>
      </c>
      <c r="E338" s="127">
        <v>2</v>
      </c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71">
        <f t="shared" si="3"/>
        <v>2</v>
      </c>
    </row>
    <row r="339" spans="1:17" x14ac:dyDescent="0.25">
      <c r="A339" s="129"/>
      <c r="B339" s="129"/>
      <c r="C339" s="129"/>
      <c r="D339" s="194" t="s">
        <v>521</v>
      </c>
      <c r="E339" s="127">
        <v>1</v>
      </c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71">
        <f t="shared" si="3"/>
        <v>1</v>
      </c>
    </row>
    <row r="340" spans="1:17" x14ac:dyDescent="0.25">
      <c r="A340" s="129"/>
      <c r="B340" s="129"/>
      <c r="C340" s="129"/>
      <c r="D340" s="194" t="s">
        <v>560</v>
      </c>
      <c r="E340" s="127">
        <v>2</v>
      </c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71">
        <f t="shared" si="3"/>
        <v>2</v>
      </c>
    </row>
    <row r="341" spans="1:17" x14ac:dyDescent="0.25">
      <c r="A341" s="129"/>
      <c r="B341" s="129"/>
      <c r="C341" s="131"/>
      <c r="D341" s="195" t="s">
        <v>561</v>
      </c>
      <c r="E341" s="127">
        <v>1</v>
      </c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71">
        <f t="shared" si="3"/>
        <v>1</v>
      </c>
    </row>
    <row r="342" spans="1:17" x14ac:dyDescent="0.25">
      <c r="A342" s="129"/>
      <c r="B342" s="129"/>
      <c r="C342" s="125" t="s">
        <v>34</v>
      </c>
      <c r="D342" s="193" t="s">
        <v>522</v>
      </c>
      <c r="E342" s="127">
        <v>2</v>
      </c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71">
        <f t="shared" si="3"/>
        <v>2</v>
      </c>
    </row>
    <row r="343" spans="1:17" x14ac:dyDescent="0.25">
      <c r="A343" s="129"/>
      <c r="B343" s="129"/>
      <c r="C343" s="129"/>
      <c r="D343" s="194" t="s">
        <v>523</v>
      </c>
      <c r="E343" s="127">
        <v>1</v>
      </c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71">
        <f t="shared" si="3"/>
        <v>1</v>
      </c>
    </row>
    <row r="344" spans="1:17" x14ac:dyDescent="0.25">
      <c r="A344" s="129"/>
      <c r="B344" s="129"/>
      <c r="C344" s="129"/>
      <c r="D344" s="194" t="s">
        <v>524</v>
      </c>
      <c r="E344" s="127">
        <v>3</v>
      </c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71">
        <f t="shared" si="3"/>
        <v>3</v>
      </c>
    </row>
    <row r="345" spans="1:17" x14ac:dyDescent="0.25">
      <c r="A345" s="129"/>
      <c r="B345" s="129"/>
      <c r="C345" s="129"/>
      <c r="D345" s="194" t="s">
        <v>282</v>
      </c>
      <c r="E345" s="127">
        <v>3</v>
      </c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71">
        <f t="shared" si="3"/>
        <v>3</v>
      </c>
    </row>
    <row r="346" spans="1:17" x14ac:dyDescent="0.25">
      <c r="A346" s="129"/>
      <c r="B346" s="129"/>
      <c r="C346" s="129"/>
      <c r="D346" s="194" t="s">
        <v>428</v>
      </c>
      <c r="E346" s="127">
        <v>6</v>
      </c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71">
        <f t="shared" si="3"/>
        <v>6</v>
      </c>
    </row>
    <row r="347" spans="1:17" x14ac:dyDescent="0.25">
      <c r="A347" s="129"/>
      <c r="B347" s="129"/>
      <c r="C347" s="129"/>
      <c r="D347" s="194" t="s">
        <v>319</v>
      </c>
      <c r="E347" s="127">
        <v>9</v>
      </c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71">
        <f t="shared" si="3"/>
        <v>9</v>
      </c>
    </row>
    <row r="348" spans="1:17" x14ac:dyDescent="0.25">
      <c r="A348" s="129"/>
      <c r="B348" s="129"/>
      <c r="C348" s="129"/>
      <c r="D348" s="194" t="s">
        <v>364</v>
      </c>
      <c r="E348" s="127">
        <v>5</v>
      </c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71">
        <f t="shared" si="3"/>
        <v>5</v>
      </c>
    </row>
    <row r="349" spans="1:17" x14ac:dyDescent="0.25">
      <c r="A349" s="129"/>
      <c r="B349" s="129"/>
      <c r="C349" s="129"/>
      <c r="D349" s="194" t="s">
        <v>525</v>
      </c>
      <c r="E349" s="127">
        <v>4</v>
      </c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71">
        <f t="shared" si="3"/>
        <v>4</v>
      </c>
    </row>
    <row r="350" spans="1:17" x14ac:dyDescent="0.25">
      <c r="A350" s="129"/>
      <c r="B350" s="129"/>
      <c r="C350" s="129"/>
      <c r="D350" s="194" t="s">
        <v>320</v>
      </c>
      <c r="E350" s="127">
        <v>1</v>
      </c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71">
        <f t="shared" si="3"/>
        <v>1</v>
      </c>
    </row>
    <row r="351" spans="1:17" x14ac:dyDescent="0.25">
      <c r="A351" s="129"/>
      <c r="B351" s="129"/>
      <c r="C351" s="129"/>
      <c r="D351" s="194" t="s">
        <v>526</v>
      </c>
      <c r="E351" s="127">
        <v>2</v>
      </c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71">
        <f t="shared" si="3"/>
        <v>2</v>
      </c>
    </row>
    <row r="352" spans="1:17" x14ac:dyDescent="0.25">
      <c r="A352" s="129"/>
      <c r="B352" s="129"/>
      <c r="C352" s="129"/>
      <c r="D352" s="194" t="s">
        <v>400</v>
      </c>
      <c r="E352" s="127">
        <v>1</v>
      </c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71">
        <f t="shared" si="3"/>
        <v>1</v>
      </c>
    </row>
    <row r="353" spans="1:17" x14ac:dyDescent="0.25">
      <c r="A353" s="129"/>
      <c r="B353" s="129"/>
      <c r="C353" s="129"/>
      <c r="D353" s="194" t="s">
        <v>527</v>
      </c>
      <c r="E353" s="127">
        <v>1</v>
      </c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71">
        <f t="shared" si="3"/>
        <v>1</v>
      </c>
    </row>
    <row r="354" spans="1:17" x14ac:dyDescent="0.25">
      <c r="A354" s="129"/>
      <c r="B354" s="129"/>
      <c r="C354" s="129"/>
      <c r="D354" s="194" t="s">
        <v>401</v>
      </c>
      <c r="E354" s="127">
        <v>10</v>
      </c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71">
        <f t="shared" si="3"/>
        <v>10</v>
      </c>
    </row>
    <row r="355" spans="1:17" x14ac:dyDescent="0.25">
      <c r="A355" s="129"/>
      <c r="B355" s="129"/>
      <c r="C355" s="129"/>
      <c r="D355" s="194" t="s">
        <v>528</v>
      </c>
      <c r="E355" s="127">
        <v>3</v>
      </c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71">
        <f t="shared" si="3"/>
        <v>3</v>
      </c>
    </row>
    <row r="356" spans="1:17" x14ac:dyDescent="0.25">
      <c r="A356" s="129"/>
      <c r="B356" s="129"/>
      <c r="C356" s="129"/>
      <c r="D356" s="194" t="s">
        <v>529</v>
      </c>
      <c r="E356" s="127">
        <v>1</v>
      </c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71">
        <f t="shared" si="3"/>
        <v>1</v>
      </c>
    </row>
    <row r="357" spans="1:17" x14ac:dyDescent="0.25">
      <c r="A357" s="129"/>
      <c r="B357" s="129"/>
      <c r="C357" s="129"/>
      <c r="D357" s="194" t="s">
        <v>416</v>
      </c>
      <c r="E357" s="127">
        <v>22</v>
      </c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71">
        <f t="shared" si="3"/>
        <v>22</v>
      </c>
    </row>
    <row r="358" spans="1:17" x14ac:dyDescent="0.25">
      <c r="A358" s="129"/>
      <c r="B358" s="129"/>
      <c r="C358" s="129"/>
      <c r="D358" s="194" t="s">
        <v>431</v>
      </c>
      <c r="E358" s="127">
        <v>5</v>
      </c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71">
        <f t="shared" si="3"/>
        <v>5</v>
      </c>
    </row>
    <row r="359" spans="1:17" x14ac:dyDescent="0.25">
      <c r="A359" s="129"/>
      <c r="B359" s="129"/>
      <c r="C359" s="129"/>
      <c r="D359" s="194" t="s">
        <v>430</v>
      </c>
      <c r="E359" s="127">
        <v>8</v>
      </c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71">
        <f t="shared" si="3"/>
        <v>8</v>
      </c>
    </row>
    <row r="360" spans="1:17" x14ac:dyDescent="0.25">
      <c r="A360" s="129"/>
      <c r="B360" s="129"/>
      <c r="C360" s="129"/>
      <c r="D360" s="194" t="s">
        <v>562</v>
      </c>
      <c r="E360" s="127">
        <v>6</v>
      </c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71">
        <f t="shared" si="3"/>
        <v>6</v>
      </c>
    </row>
    <row r="361" spans="1:17" x14ac:dyDescent="0.25">
      <c r="A361" s="129"/>
      <c r="B361" s="129"/>
      <c r="C361" s="129"/>
      <c r="D361" s="194" t="s">
        <v>563</v>
      </c>
      <c r="E361" s="127">
        <v>1</v>
      </c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71">
        <f t="shared" si="3"/>
        <v>1</v>
      </c>
    </row>
    <row r="362" spans="1:17" x14ac:dyDescent="0.25">
      <c r="A362" s="129"/>
      <c r="B362" s="129"/>
      <c r="C362" s="129"/>
      <c r="D362" s="194" t="s">
        <v>531</v>
      </c>
      <c r="E362" s="127">
        <v>1</v>
      </c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71">
        <f t="shared" si="1"/>
        <v>1</v>
      </c>
    </row>
    <row r="363" spans="1:17" x14ac:dyDescent="0.25">
      <c r="A363" s="129"/>
      <c r="B363" s="129"/>
      <c r="C363" s="129"/>
      <c r="D363" s="194" t="s">
        <v>532</v>
      </c>
      <c r="E363" s="127">
        <v>1</v>
      </c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71">
        <f t="shared" si="1"/>
        <v>1</v>
      </c>
    </row>
    <row r="364" spans="1:17" x14ac:dyDescent="0.25">
      <c r="A364" s="129"/>
      <c r="B364" s="129"/>
      <c r="C364" s="129"/>
      <c r="D364" s="194" t="s">
        <v>533</v>
      </c>
      <c r="E364" s="127">
        <v>1</v>
      </c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71">
        <f t="shared" si="1"/>
        <v>1</v>
      </c>
    </row>
    <row r="365" spans="1:17" x14ac:dyDescent="0.25">
      <c r="A365" s="129"/>
      <c r="B365" s="129"/>
      <c r="C365" s="129"/>
      <c r="D365" s="194" t="s">
        <v>564</v>
      </c>
      <c r="E365" s="127">
        <v>1</v>
      </c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71">
        <f t="shared" si="1"/>
        <v>1</v>
      </c>
    </row>
    <row r="366" spans="1:17" x14ac:dyDescent="0.25">
      <c r="A366" s="129"/>
      <c r="B366" s="129"/>
      <c r="C366" s="129"/>
      <c r="D366" s="194" t="s">
        <v>534</v>
      </c>
      <c r="E366" s="127">
        <v>2</v>
      </c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71">
        <f t="shared" si="1"/>
        <v>2</v>
      </c>
    </row>
    <row r="367" spans="1:17" x14ac:dyDescent="0.25">
      <c r="A367" s="129"/>
      <c r="B367" s="129"/>
      <c r="C367" s="131"/>
      <c r="D367" s="195" t="s">
        <v>565</v>
      </c>
      <c r="E367" s="127">
        <v>1</v>
      </c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71">
        <f t="shared" si="1"/>
        <v>1</v>
      </c>
    </row>
    <row r="368" spans="1:17" x14ac:dyDescent="0.25">
      <c r="A368" s="129"/>
      <c r="B368" s="129"/>
      <c r="C368" s="125" t="s">
        <v>302</v>
      </c>
      <c r="D368" s="193" t="s">
        <v>535</v>
      </c>
      <c r="E368" s="127">
        <v>1</v>
      </c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71">
        <f t="shared" si="1"/>
        <v>1</v>
      </c>
    </row>
    <row r="369" spans="1:17" x14ac:dyDescent="0.25">
      <c r="A369" s="129"/>
      <c r="B369" s="129"/>
      <c r="C369" s="125" t="s">
        <v>44</v>
      </c>
      <c r="D369" s="193" t="s">
        <v>325</v>
      </c>
      <c r="E369" s="127">
        <v>6</v>
      </c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71">
        <f t="shared" si="1"/>
        <v>6</v>
      </c>
    </row>
    <row r="370" spans="1:17" x14ac:dyDescent="0.25">
      <c r="A370" s="129"/>
      <c r="B370" s="129"/>
      <c r="C370" s="133" t="s">
        <v>41</v>
      </c>
      <c r="D370" s="196" t="s">
        <v>536</v>
      </c>
      <c r="E370" s="127">
        <v>1</v>
      </c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71">
        <f t="shared" si="1"/>
        <v>1</v>
      </c>
    </row>
    <row r="371" spans="1:17" x14ac:dyDescent="0.25">
      <c r="A371" s="129"/>
      <c r="B371" s="129"/>
      <c r="C371" s="125" t="s">
        <v>37</v>
      </c>
      <c r="D371" s="193" t="s">
        <v>538</v>
      </c>
      <c r="E371" s="127">
        <v>2</v>
      </c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71">
        <f t="shared" si="1"/>
        <v>2</v>
      </c>
    </row>
    <row r="372" spans="1:17" x14ac:dyDescent="0.25">
      <c r="A372" s="129"/>
      <c r="B372" s="129"/>
      <c r="C372" s="129"/>
      <c r="D372" s="194" t="s">
        <v>539</v>
      </c>
      <c r="E372" s="127">
        <v>2</v>
      </c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71">
        <f t="shared" si="1"/>
        <v>2</v>
      </c>
    </row>
    <row r="373" spans="1:17" x14ac:dyDescent="0.25">
      <c r="A373" s="129"/>
      <c r="B373" s="129"/>
      <c r="C373" s="131"/>
      <c r="D373" s="195" t="s">
        <v>537</v>
      </c>
      <c r="E373" s="127">
        <v>1</v>
      </c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71">
        <f t="shared" si="1"/>
        <v>1</v>
      </c>
    </row>
    <row r="374" spans="1:17" x14ac:dyDescent="0.25">
      <c r="A374" s="129"/>
      <c r="B374" s="129"/>
      <c r="C374" s="125" t="s">
        <v>27</v>
      </c>
      <c r="D374" s="193" t="s">
        <v>136</v>
      </c>
      <c r="E374" s="127">
        <v>4</v>
      </c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71">
        <f t="shared" si="1"/>
        <v>4</v>
      </c>
    </row>
    <row r="375" spans="1:17" x14ac:dyDescent="0.25">
      <c r="A375" s="129"/>
      <c r="B375" s="129"/>
      <c r="C375" s="129"/>
      <c r="D375" s="194" t="s">
        <v>137</v>
      </c>
      <c r="E375" s="127">
        <v>1</v>
      </c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71">
        <f t="shared" si="1"/>
        <v>1</v>
      </c>
    </row>
    <row r="376" spans="1:17" x14ac:dyDescent="0.25">
      <c r="A376" s="129"/>
      <c r="B376" s="129"/>
      <c r="C376" s="129"/>
      <c r="D376" s="194" t="s">
        <v>365</v>
      </c>
      <c r="E376" s="127">
        <v>3</v>
      </c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71">
        <f t="shared" si="1"/>
        <v>3</v>
      </c>
    </row>
    <row r="377" spans="1:17" x14ac:dyDescent="0.25">
      <c r="A377" s="129"/>
      <c r="B377" s="129"/>
      <c r="C377" s="129"/>
      <c r="D377" s="194" t="s">
        <v>138</v>
      </c>
      <c r="E377" s="127">
        <v>8</v>
      </c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71">
        <f t="shared" si="1"/>
        <v>8</v>
      </c>
    </row>
    <row r="378" spans="1:17" x14ac:dyDescent="0.25">
      <c r="A378" s="129"/>
      <c r="B378" s="129"/>
      <c r="C378" s="129"/>
      <c r="D378" s="194" t="s">
        <v>139</v>
      </c>
      <c r="E378" s="127">
        <v>1</v>
      </c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71">
        <f t="shared" si="1"/>
        <v>1</v>
      </c>
    </row>
    <row r="379" spans="1:17" x14ac:dyDescent="0.25">
      <c r="A379" s="129"/>
      <c r="B379" s="129"/>
      <c r="C379" s="129"/>
      <c r="D379" s="194" t="s">
        <v>140</v>
      </c>
      <c r="E379" s="127">
        <v>6</v>
      </c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71">
        <f t="shared" si="1"/>
        <v>6</v>
      </c>
    </row>
    <row r="380" spans="1:17" x14ac:dyDescent="0.25">
      <c r="A380" s="129"/>
      <c r="B380" s="129"/>
      <c r="C380" s="131"/>
      <c r="D380" s="195" t="s">
        <v>540</v>
      </c>
      <c r="E380" s="127">
        <v>2</v>
      </c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71">
        <f t="shared" si="1"/>
        <v>2</v>
      </c>
    </row>
    <row r="381" spans="1:17" x14ac:dyDescent="0.25">
      <c r="A381" s="129"/>
      <c r="B381" s="129"/>
      <c r="C381" s="125" t="s">
        <v>20</v>
      </c>
      <c r="D381" s="193" t="s">
        <v>155</v>
      </c>
      <c r="E381" s="127">
        <v>53</v>
      </c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71">
        <f t="shared" si="1"/>
        <v>53</v>
      </c>
    </row>
    <row r="382" spans="1:17" x14ac:dyDescent="0.25">
      <c r="A382" s="129"/>
      <c r="B382" s="129"/>
      <c r="C382" s="129"/>
      <c r="D382" s="194" t="s">
        <v>156</v>
      </c>
      <c r="E382" s="127">
        <v>20</v>
      </c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71">
        <f t="shared" si="1"/>
        <v>20</v>
      </c>
    </row>
    <row r="383" spans="1:17" x14ac:dyDescent="0.25">
      <c r="A383" s="129"/>
      <c r="B383" s="129"/>
      <c r="C383" s="129"/>
      <c r="D383" s="194" t="s">
        <v>141</v>
      </c>
      <c r="E383" s="127">
        <v>33</v>
      </c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71">
        <f t="shared" si="1"/>
        <v>33</v>
      </c>
    </row>
    <row r="384" spans="1:17" x14ac:dyDescent="0.25">
      <c r="A384" s="129"/>
      <c r="B384" s="129"/>
      <c r="C384" s="129"/>
      <c r="D384" s="194" t="s">
        <v>142</v>
      </c>
      <c r="E384" s="127">
        <v>42</v>
      </c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71">
        <f t="shared" si="1"/>
        <v>42</v>
      </c>
    </row>
    <row r="385" spans="1:17" x14ac:dyDescent="0.25">
      <c r="A385" s="129"/>
      <c r="B385" s="129"/>
      <c r="C385" s="129"/>
      <c r="D385" s="194" t="s">
        <v>143</v>
      </c>
      <c r="E385" s="127">
        <v>6</v>
      </c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71">
        <f t="shared" si="1"/>
        <v>6</v>
      </c>
    </row>
    <row r="386" spans="1:17" x14ac:dyDescent="0.25">
      <c r="A386" s="129"/>
      <c r="B386" s="129"/>
      <c r="C386" s="129"/>
      <c r="D386" s="194" t="s">
        <v>144</v>
      </c>
      <c r="E386" s="127">
        <v>7</v>
      </c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71">
        <f t="shared" si="1"/>
        <v>7</v>
      </c>
    </row>
    <row r="387" spans="1:17" x14ac:dyDescent="0.25">
      <c r="A387" s="129"/>
      <c r="B387" s="129"/>
      <c r="C387" s="129"/>
      <c r="D387" s="194" t="s">
        <v>145</v>
      </c>
      <c r="E387" s="127">
        <v>10</v>
      </c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71">
        <f t="shared" si="1"/>
        <v>10</v>
      </c>
    </row>
    <row r="388" spans="1:17" x14ac:dyDescent="0.25">
      <c r="A388" s="129"/>
      <c r="B388" s="129"/>
      <c r="C388" s="129"/>
      <c r="D388" s="194" t="s">
        <v>146</v>
      </c>
      <c r="E388" s="127">
        <v>5</v>
      </c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71">
        <f t="shared" si="1"/>
        <v>5</v>
      </c>
    </row>
    <row r="389" spans="1:17" x14ac:dyDescent="0.25">
      <c r="A389" s="129"/>
      <c r="B389" s="131"/>
      <c r="C389" s="131"/>
      <c r="D389" s="195" t="s">
        <v>541</v>
      </c>
      <c r="E389" s="127">
        <v>2</v>
      </c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71">
        <f t="shared" si="1"/>
        <v>2</v>
      </c>
    </row>
    <row r="390" spans="1:17" x14ac:dyDescent="0.25">
      <c r="A390" s="129"/>
      <c r="B390" s="125" t="s">
        <v>5</v>
      </c>
      <c r="C390" s="125" t="s">
        <v>297</v>
      </c>
      <c r="D390" s="193" t="s">
        <v>607</v>
      </c>
      <c r="E390" s="127">
        <v>2</v>
      </c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71">
        <f t="shared" si="1"/>
        <v>2</v>
      </c>
    </row>
    <row r="391" spans="1:17" x14ac:dyDescent="0.25">
      <c r="A391" s="129"/>
      <c r="B391" s="129"/>
      <c r="C391" s="133" t="s">
        <v>68</v>
      </c>
      <c r="D391" s="196" t="s">
        <v>298</v>
      </c>
      <c r="E391" s="127">
        <v>6</v>
      </c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71">
        <f t="shared" si="1"/>
        <v>6</v>
      </c>
    </row>
    <row r="392" spans="1:17" x14ac:dyDescent="0.25">
      <c r="A392" s="129"/>
      <c r="B392" s="129"/>
      <c r="C392" s="125" t="s">
        <v>23</v>
      </c>
      <c r="D392" s="193" t="s">
        <v>567</v>
      </c>
      <c r="E392" s="127">
        <v>1</v>
      </c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71">
        <f t="shared" si="1"/>
        <v>1</v>
      </c>
    </row>
    <row r="393" spans="1:17" x14ac:dyDescent="0.25">
      <c r="A393" s="129"/>
      <c r="B393" s="129"/>
      <c r="C393" s="129"/>
      <c r="D393" s="194" t="s">
        <v>389</v>
      </c>
      <c r="E393" s="127">
        <v>8</v>
      </c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71">
        <f t="shared" si="1"/>
        <v>8</v>
      </c>
    </row>
    <row r="394" spans="1:17" x14ac:dyDescent="0.25">
      <c r="A394" s="129"/>
      <c r="B394" s="129"/>
      <c r="C394" s="129"/>
      <c r="D394" s="194" t="s">
        <v>326</v>
      </c>
      <c r="E394" s="127">
        <v>1</v>
      </c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71">
        <f t="shared" si="1"/>
        <v>1</v>
      </c>
    </row>
    <row r="395" spans="1:17" x14ac:dyDescent="0.25">
      <c r="A395" s="129"/>
      <c r="B395" s="129"/>
      <c r="C395" s="129"/>
      <c r="D395" s="194" t="s">
        <v>280</v>
      </c>
      <c r="E395" s="127">
        <v>2</v>
      </c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71">
        <f t="shared" si="1"/>
        <v>2</v>
      </c>
    </row>
    <row r="396" spans="1:17" x14ac:dyDescent="0.25">
      <c r="A396" s="129"/>
      <c r="B396" s="129"/>
      <c r="C396" s="131"/>
      <c r="D396" s="195" t="s">
        <v>568</v>
      </c>
      <c r="E396" s="127">
        <v>2</v>
      </c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71">
        <f t="shared" si="1"/>
        <v>2</v>
      </c>
    </row>
    <row r="397" spans="1:17" x14ac:dyDescent="0.25">
      <c r="A397" s="129"/>
      <c r="B397" s="129"/>
      <c r="C397" s="125" t="s">
        <v>65</v>
      </c>
      <c r="D397" s="193" t="s">
        <v>405</v>
      </c>
      <c r="E397" s="127">
        <v>2</v>
      </c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71">
        <f t="shared" si="1"/>
        <v>2</v>
      </c>
    </row>
    <row r="398" spans="1:17" x14ac:dyDescent="0.25">
      <c r="A398" s="129"/>
      <c r="B398" s="129"/>
      <c r="C398" s="131"/>
      <c r="D398" s="195" t="s">
        <v>160</v>
      </c>
      <c r="E398" s="127">
        <v>8</v>
      </c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71">
        <f t="shared" si="1"/>
        <v>8</v>
      </c>
    </row>
    <row r="399" spans="1:17" x14ac:dyDescent="0.25">
      <c r="A399" s="129"/>
      <c r="B399" s="129"/>
      <c r="C399" s="133" t="s">
        <v>22</v>
      </c>
      <c r="D399" s="196" t="s">
        <v>161</v>
      </c>
      <c r="E399" s="127">
        <v>2</v>
      </c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71">
        <f t="shared" si="1"/>
        <v>2</v>
      </c>
    </row>
    <row r="400" spans="1:17" x14ac:dyDescent="0.25">
      <c r="A400" s="129"/>
      <c r="B400" s="129"/>
      <c r="C400" s="125" t="s">
        <v>21</v>
      </c>
      <c r="D400" s="193" t="s">
        <v>162</v>
      </c>
      <c r="E400" s="127">
        <v>17</v>
      </c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71">
        <f t="shared" si="1"/>
        <v>17</v>
      </c>
    </row>
    <row r="401" spans="1:17" x14ac:dyDescent="0.25">
      <c r="A401" s="129"/>
      <c r="B401" s="129"/>
      <c r="C401" s="129"/>
      <c r="D401" s="194" t="s">
        <v>570</v>
      </c>
      <c r="E401" s="127">
        <v>2</v>
      </c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71">
        <f t="shared" si="1"/>
        <v>2</v>
      </c>
    </row>
    <row r="402" spans="1:17" x14ac:dyDescent="0.25">
      <c r="A402" s="129"/>
      <c r="B402" s="129"/>
      <c r="C402" s="129"/>
      <c r="D402" s="194" t="s">
        <v>436</v>
      </c>
      <c r="E402" s="127">
        <v>1</v>
      </c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71">
        <f t="shared" si="1"/>
        <v>1</v>
      </c>
    </row>
    <row r="403" spans="1:17" x14ac:dyDescent="0.25">
      <c r="A403" s="129"/>
      <c r="B403" s="129"/>
      <c r="C403" s="129"/>
      <c r="D403" s="194" t="s">
        <v>571</v>
      </c>
      <c r="E403" s="127">
        <v>4</v>
      </c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71">
        <f t="shared" si="1"/>
        <v>4</v>
      </c>
    </row>
    <row r="404" spans="1:17" x14ac:dyDescent="0.25">
      <c r="A404" s="129"/>
      <c r="B404" s="129"/>
      <c r="C404" s="131"/>
      <c r="D404" s="195" t="s">
        <v>572</v>
      </c>
      <c r="E404" s="127">
        <v>1</v>
      </c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71">
        <f t="shared" si="1"/>
        <v>1</v>
      </c>
    </row>
    <row r="405" spans="1:17" x14ac:dyDescent="0.25">
      <c r="A405" s="129"/>
      <c r="B405" s="129"/>
      <c r="C405" s="125" t="s">
        <v>45</v>
      </c>
      <c r="D405" s="193" t="s">
        <v>573</v>
      </c>
      <c r="E405" s="127">
        <v>1</v>
      </c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71">
        <f t="shared" si="1"/>
        <v>1</v>
      </c>
    </row>
    <row r="406" spans="1:17" x14ac:dyDescent="0.25">
      <c r="A406" s="129"/>
      <c r="B406" s="129"/>
      <c r="C406" s="129"/>
      <c r="D406" s="194" t="s">
        <v>327</v>
      </c>
      <c r="E406" s="127">
        <v>3</v>
      </c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71">
        <f t="shared" si="1"/>
        <v>3</v>
      </c>
    </row>
    <row r="407" spans="1:17" x14ac:dyDescent="0.25">
      <c r="A407" s="129"/>
      <c r="B407" s="129"/>
      <c r="C407" s="129"/>
      <c r="D407" s="194" t="s">
        <v>328</v>
      </c>
      <c r="E407" s="127">
        <v>1</v>
      </c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71">
        <f t="shared" si="1"/>
        <v>1</v>
      </c>
    </row>
    <row r="408" spans="1:17" x14ac:dyDescent="0.25">
      <c r="A408" s="129"/>
      <c r="B408" s="129"/>
      <c r="C408" s="131"/>
      <c r="D408" s="195" t="s">
        <v>574</v>
      </c>
      <c r="E408" s="127">
        <v>7</v>
      </c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71">
        <f t="shared" si="1"/>
        <v>7</v>
      </c>
    </row>
    <row r="409" spans="1:17" x14ac:dyDescent="0.25">
      <c r="A409" s="129"/>
      <c r="B409" s="129"/>
      <c r="C409" s="133" t="s">
        <v>29</v>
      </c>
      <c r="D409" s="196" t="s">
        <v>163</v>
      </c>
      <c r="E409" s="127">
        <v>8</v>
      </c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71">
        <f t="shared" si="1"/>
        <v>8</v>
      </c>
    </row>
    <row r="410" spans="1:17" x14ac:dyDescent="0.25">
      <c r="A410" s="129"/>
      <c r="B410" s="129"/>
      <c r="C410" s="125" t="s">
        <v>32</v>
      </c>
      <c r="D410" s="193" t="s">
        <v>165</v>
      </c>
      <c r="E410" s="127">
        <v>18</v>
      </c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71">
        <f t="shared" si="1"/>
        <v>18</v>
      </c>
    </row>
    <row r="411" spans="1:17" x14ac:dyDescent="0.25">
      <c r="A411" s="129"/>
      <c r="B411" s="129"/>
      <c r="C411" s="131"/>
      <c r="D411" s="195" t="s">
        <v>166</v>
      </c>
      <c r="E411" s="127">
        <v>1</v>
      </c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71">
        <f t="shared" si="1"/>
        <v>1</v>
      </c>
    </row>
    <row r="412" spans="1:17" x14ac:dyDescent="0.25">
      <c r="A412" s="129"/>
      <c r="B412" s="129"/>
      <c r="C412" s="125" t="s">
        <v>33</v>
      </c>
      <c r="D412" s="193" t="s">
        <v>575</v>
      </c>
      <c r="E412" s="127">
        <v>1</v>
      </c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71">
        <f t="shared" si="1"/>
        <v>1</v>
      </c>
    </row>
    <row r="413" spans="1:17" x14ac:dyDescent="0.25">
      <c r="A413" s="129"/>
      <c r="B413" s="129"/>
      <c r="C413" s="129"/>
      <c r="D413" s="194" t="s">
        <v>576</v>
      </c>
      <c r="E413" s="127">
        <v>3</v>
      </c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71">
        <f t="shared" si="1"/>
        <v>3</v>
      </c>
    </row>
    <row r="414" spans="1:17" x14ac:dyDescent="0.25">
      <c r="A414" s="129"/>
      <c r="B414" s="129"/>
      <c r="C414" s="129"/>
      <c r="D414" s="194" t="s">
        <v>577</v>
      </c>
      <c r="E414" s="127">
        <v>3</v>
      </c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71">
        <f t="shared" si="1"/>
        <v>3</v>
      </c>
    </row>
    <row r="415" spans="1:17" x14ac:dyDescent="0.25">
      <c r="A415" s="129"/>
      <c r="B415" s="129"/>
      <c r="C415" s="129"/>
      <c r="D415" s="194" t="s">
        <v>578</v>
      </c>
      <c r="E415" s="127">
        <v>2</v>
      </c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71">
        <f t="shared" si="1"/>
        <v>2</v>
      </c>
    </row>
    <row r="416" spans="1:17" x14ac:dyDescent="0.25">
      <c r="A416" s="129"/>
      <c r="B416" s="129"/>
      <c r="C416" s="131"/>
      <c r="D416" s="195" t="s">
        <v>579</v>
      </c>
      <c r="E416" s="127">
        <v>2</v>
      </c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71">
        <f t="shared" si="1"/>
        <v>2</v>
      </c>
    </row>
    <row r="417" spans="1:17" x14ac:dyDescent="0.25">
      <c r="A417" s="129"/>
      <c r="B417" s="129"/>
      <c r="C417" s="125" t="s">
        <v>447</v>
      </c>
      <c r="D417" s="193" t="s">
        <v>580</v>
      </c>
      <c r="E417" s="127">
        <v>4</v>
      </c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71">
        <f t="shared" si="1"/>
        <v>4</v>
      </c>
    </row>
    <row r="418" spans="1:17" x14ac:dyDescent="0.25">
      <c r="A418" s="129"/>
      <c r="B418" s="129"/>
      <c r="C418" s="131"/>
      <c r="D418" s="195" t="s">
        <v>581</v>
      </c>
      <c r="E418" s="127">
        <v>1</v>
      </c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71">
        <f t="shared" si="1"/>
        <v>1</v>
      </c>
    </row>
    <row r="419" spans="1:17" x14ac:dyDescent="0.25">
      <c r="A419" s="129"/>
      <c r="B419" s="129"/>
      <c r="C419" s="125" t="s">
        <v>19</v>
      </c>
      <c r="D419" s="193" t="s">
        <v>169</v>
      </c>
      <c r="E419" s="127">
        <v>2</v>
      </c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71">
        <f t="shared" si="1"/>
        <v>2</v>
      </c>
    </row>
    <row r="420" spans="1:17" x14ac:dyDescent="0.25">
      <c r="A420" s="129"/>
      <c r="B420" s="129"/>
      <c r="C420" s="129"/>
      <c r="D420" s="194" t="s">
        <v>390</v>
      </c>
      <c r="E420" s="127">
        <v>33</v>
      </c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71">
        <f t="shared" si="1"/>
        <v>33</v>
      </c>
    </row>
    <row r="421" spans="1:17" x14ac:dyDescent="0.25">
      <c r="A421" s="129"/>
      <c r="B421" s="129"/>
      <c r="C421" s="129"/>
      <c r="D421" s="194" t="s">
        <v>583</v>
      </c>
      <c r="E421" s="127">
        <v>2</v>
      </c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71">
        <f t="shared" si="1"/>
        <v>2</v>
      </c>
    </row>
    <row r="422" spans="1:17" x14ac:dyDescent="0.25">
      <c r="A422" s="129"/>
      <c r="B422" s="129"/>
      <c r="C422" s="129"/>
      <c r="D422" s="194" t="s">
        <v>366</v>
      </c>
      <c r="E422" s="127">
        <v>5</v>
      </c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71">
        <f t="shared" si="1"/>
        <v>5</v>
      </c>
    </row>
    <row r="423" spans="1:17" x14ac:dyDescent="0.25">
      <c r="A423" s="129"/>
      <c r="B423" s="129"/>
      <c r="C423" s="129"/>
      <c r="D423" s="194" t="s">
        <v>584</v>
      </c>
      <c r="E423" s="127">
        <v>1</v>
      </c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71">
        <f t="shared" si="1"/>
        <v>1</v>
      </c>
    </row>
    <row r="424" spans="1:17" x14ac:dyDescent="0.25">
      <c r="A424" s="129"/>
      <c r="B424" s="129"/>
      <c r="C424" s="129"/>
      <c r="D424" s="194" t="s">
        <v>582</v>
      </c>
      <c r="E424" s="127">
        <v>1</v>
      </c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71">
        <f t="shared" si="1"/>
        <v>1</v>
      </c>
    </row>
    <row r="425" spans="1:17" x14ac:dyDescent="0.25">
      <c r="A425" s="129"/>
      <c r="B425" s="129"/>
      <c r="C425" s="129"/>
      <c r="D425" s="194" t="s">
        <v>585</v>
      </c>
      <c r="E425" s="127">
        <v>7</v>
      </c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71">
        <f t="shared" si="1"/>
        <v>7</v>
      </c>
    </row>
    <row r="426" spans="1:17" x14ac:dyDescent="0.25">
      <c r="A426" s="129"/>
      <c r="B426" s="129"/>
      <c r="C426" s="129"/>
      <c r="D426" s="194" t="s">
        <v>586</v>
      </c>
      <c r="E426" s="127">
        <v>12</v>
      </c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71">
        <f t="shared" si="1"/>
        <v>12</v>
      </c>
    </row>
    <row r="427" spans="1:17" x14ac:dyDescent="0.25">
      <c r="A427" s="129"/>
      <c r="B427" s="129"/>
      <c r="C427" s="131"/>
      <c r="D427" s="195" t="s">
        <v>587</v>
      </c>
      <c r="E427" s="127">
        <v>1</v>
      </c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71">
        <f t="shared" si="1"/>
        <v>1</v>
      </c>
    </row>
    <row r="428" spans="1:17" x14ac:dyDescent="0.25">
      <c r="A428" s="129"/>
      <c r="B428" s="129"/>
      <c r="C428" s="125" t="s">
        <v>452</v>
      </c>
      <c r="D428" s="193" t="s">
        <v>609</v>
      </c>
      <c r="E428" s="127">
        <v>1</v>
      </c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71">
        <f t="shared" si="1"/>
        <v>1</v>
      </c>
    </row>
    <row r="429" spans="1:17" x14ac:dyDescent="0.25">
      <c r="A429" s="129"/>
      <c r="B429" s="129"/>
      <c r="C429" s="133" t="s">
        <v>301</v>
      </c>
      <c r="D429" s="196" t="s">
        <v>608</v>
      </c>
      <c r="E429" s="127">
        <v>1</v>
      </c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71">
        <f t="shared" si="1"/>
        <v>1</v>
      </c>
    </row>
    <row r="430" spans="1:17" x14ac:dyDescent="0.25">
      <c r="A430" s="129"/>
      <c r="B430" s="129"/>
      <c r="C430" s="125" t="s">
        <v>25</v>
      </c>
      <c r="D430" s="193" t="s">
        <v>588</v>
      </c>
      <c r="E430" s="127">
        <v>5</v>
      </c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71">
        <f t="shared" si="1"/>
        <v>5</v>
      </c>
    </row>
    <row r="431" spans="1:17" x14ac:dyDescent="0.25">
      <c r="A431" s="129"/>
      <c r="B431" s="129"/>
      <c r="C431" s="129"/>
      <c r="D431" s="194" t="s">
        <v>406</v>
      </c>
      <c r="E431" s="127">
        <v>10</v>
      </c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71">
        <f t="shared" si="1"/>
        <v>10</v>
      </c>
    </row>
    <row r="432" spans="1:17" x14ac:dyDescent="0.25">
      <c r="A432" s="129"/>
      <c r="B432" s="129"/>
      <c r="C432" s="129"/>
      <c r="D432" s="194" t="s">
        <v>589</v>
      </c>
      <c r="E432" s="127">
        <v>2</v>
      </c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71">
        <f t="shared" si="1"/>
        <v>2</v>
      </c>
    </row>
    <row r="433" spans="1:17" x14ac:dyDescent="0.25">
      <c r="A433" s="129"/>
      <c r="B433" s="129"/>
      <c r="C433" s="131"/>
      <c r="D433" s="195" t="s">
        <v>590</v>
      </c>
      <c r="E433" s="127">
        <v>1</v>
      </c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71">
        <f t="shared" si="1"/>
        <v>1</v>
      </c>
    </row>
    <row r="434" spans="1:17" x14ac:dyDescent="0.25">
      <c r="A434" s="129"/>
      <c r="B434" s="129"/>
      <c r="C434" s="125" t="s">
        <v>426</v>
      </c>
      <c r="D434" s="193" t="s">
        <v>610</v>
      </c>
      <c r="E434" s="127">
        <v>2</v>
      </c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71">
        <f t="shared" si="1"/>
        <v>2</v>
      </c>
    </row>
    <row r="435" spans="1:17" x14ac:dyDescent="0.25">
      <c r="A435" s="129"/>
      <c r="B435" s="129"/>
      <c r="C435" s="133" t="s">
        <v>453</v>
      </c>
      <c r="D435" s="196" t="s">
        <v>591</v>
      </c>
      <c r="E435" s="127">
        <v>1</v>
      </c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71">
        <f t="shared" si="1"/>
        <v>1</v>
      </c>
    </row>
    <row r="436" spans="1:17" x14ac:dyDescent="0.25">
      <c r="A436" s="129"/>
      <c r="B436" s="129"/>
      <c r="C436" s="125" t="s">
        <v>27</v>
      </c>
      <c r="D436" s="193" t="s">
        <v>170</v>
      </c>
      <c r="E436" s="127">
        <v>1</v>
      </c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71">
        <f t="shared" si="1"/>
        <v>1</v>
      </c>
    </row>
    <row r="437" spans="1:17" x14ac:dyDescent="0.25">
      <c r="A437" s="129"/>
      <c r="B437" s="129"/>
      <c r="C437" s="129"/>
      <c r="D437" s="194" t="s">
        <v>171</v>
      </c>
      <c r="E437" s="127">
        <v>2</v>
      </c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71">
        <f t="shared" ref="Q437:Q541" si="4">SUM(E437:P437)</f>
        <v>2</v>
      </c>
    </row>
    <row r="438" spans="1:17" x14ac:dyDescent="0.25">
      <c r="A438" s="129"/>
      <c r="B438" s="129"/>
      <c r="C438" s="129"/>
      <c r="D438" s="194" t="s">
        <v>592</v>
      </c>
      <c r="E438" s="127">
        <v>12</v>
      </c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71">
        <f t="shared" si="4"/>
        <v>12</v>
      </c>
    </row>
    <row r="439" spans="1:17" x14ac:dyDescent="0.25">
      <c r="A439" s="129"/>
      <c r="B439" s="129"/>
      <c r="C439" s="131"/>
      <c r="D439" s="195" t="s">
        <v>593</v>
      </c>
      <c r="E439" s="127">
        <v>4</v>
      </c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71">
        <f t="shared" si="4"/>
        <v>4</v>
      </c>
    </row>
    <row r="440" spans="1:17" x14ac:dyDescent="0.25">
      <c r="A440" s="129"/>
      <c r="B440" s="129"/>
      <c r="C440" s="125" t="s">
        <v>20</v>
      </c>
      <c r="D440" s="193" t="s">
        <v>594</v>
      </c>
      <c r="E440" s="127">
        <v>1</v>
      </c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71">
        <f t="shared" si="4"/>
        <v>1</v>
      </c>
    </row>
    <row r="441" spans="1:17" x14ac:dyDescent="0.25">
      <c r="A441" s="129"/>
      <c r="B441" s="129"/>
      <c r="C441" s="129"/>
      <c r="D441" s="194" t="s">
        <v>595</v>
      </c>
      <c r="E441" s="127">
        <v>2</v>
      </c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71">
        <f t="shared" si="4"/>
        <v>2</v>
      </c>
    </row>
    <row r="442" spans="1:17" x14ac:dyDescent="0.25">
      <c r="A442" s="129"/>
      <c r="B442" s="129"/>
      <c r="C442" s="131"/>
      <c r="D442" s="195" t="s">
        <v>329</v>
      </c>
      <c r="E442" s="127">
        <v>5</v>
      </c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71">
        <f t="shared" si="4"/>
        <v>5</v>
      </c>
    </row>
    <row r="443" spans="1:17" x14ac:dyDescent="0.25">
      <c r="A443" s="129"/>
      <c r="B443" s="129"/>
      <c r="C443" s="125" t="s">
        <v>36</v>
      </c>
      <c r="D443" s="193" t="s">
        <v>597</v>
      </c>
      <c r="E443" s="127">
        <v>3</v>
      </c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71">
        <f t="shared" si="4"/>
        <v>3</v>
      </c>
    </row>
    <row r="444" spans="1:17" x14ac:dyDescent="0.25">
      <c r="A444" s="129"/>
      <c r="B444" s="129"/>
      <c r="C444" s="129"/>
      <c r="D444" s="194" t="s">
        <v>598</v>
      </c>
      <c r="E444" s="127">
        <v>2</v>
      </c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71">
        <f t="shared" si="4"/>
        <v>2</v>
      </c>
    </row>
    <row r="445" spans="1:17" x14ac:dyDescent="0.25">
      <c r="A445" s="129"/>
      <c r="B445" s="129"/>
      <c r="C445" s="129"/>
      <c r="D445" s="194" t="s">
        <v>599</v>
      </c>
      <c r="E445" s="127">
        <v>2</v>
      </c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71">
        <f t="shared" si="4"/>
        <v>2</v>
      </c>
    </row>
    <row r="446" spans="1:17" x14ac:dyDescent="0.25">
      <c r="A446" s="129"/>
      <c r="B446" s="129"/>
      <c r="C446" s="129"/>
      <c r="D446" s="194" t="s">
        <v>600</v>
      </c>
      <c r="E446" s="127">
        <v>1</v>
      </c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71">
        <f t="shared" si="4"/>
        <v>1</v>
      </c>
    </row>
    <row r="447" spans="1:17" x14ac:dyDescent="0.25">
      <c r="A447" s="129"/>
      <c r="B447" s="129"/>
      <c r="C447" s="129"/>
      <c r="D447" s="194" t="s">
        <v>601</v>
      </c>
      <c r="E447" s="127">
        <v>1</v>
      </c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71">
        <f t="shared" si="4"/>
        <v>1</v>
      </c>
    </row>
    <row r="448" spans="1:17" x14ac:dyDescent="0.25">
      <c r="A448" s="129"/>
      <c r="B448" s="129"/>
      <c r="C448" s="129"/>
      <c r="D448" s="194" t="s">
        <v>602</v>
      </c>
      <c r="E448" s="127">
        <v>3</v>
      </c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71">
        <f t="shared" si="4"/>
        <v>3</v>
      </c>
    </row>
    <row r="449" spans="1:17" x14ac:dyDescent="0.25">
      <c r="A449" s="129"/>
      <c r="B449" s="129"/>
      <c r="C449" s="129"/>
      <c r="D449" s="194" t="s">
        <v>603</v>
      </c>
      <c r="E449" s="127">
        <v>1</v>
      </c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71">
        <f t="shared" si="4"/>
        <v>1</v>
      </c>
    </row>
    <row r="450" spans="1:17" x14ac:dyDescent="0.25">
      <c r="A450" s="129"/>
      <c r="B450" s="129"/>
      <c r="C450" s="129"/>
      <c r="D450" s="194" t="s">
        <v>604</v>
      </c>
      <c r="E450" s="127">
        <v>2</v>
      </c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71">
        <f t="shared" si="4"/>
        <v>2</v>
      </c>
    </row>
    <row r="451" spans="1:17" x14ac:dyDescent="0.25">
      <c r="A451" s="129"/>
      <c r="B451" s="129"/>
      <c r="C451" s="129"/>
      <c r="D451" s="194" t="s">
        <v>605</v>
      </c>
      <c r="E451" s="127">
        <v>1</v>
      </c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71">
        <f t="shared" si="4"/>
        <v>1</v>
      </c>
    </row>
    <row r="452" spans="1:17" x14ac:dyDescent="0.25">
      <c r="A452" s="131"/>
      <c r="B452" s="131"/>
      <c r="C452" s="131"/>
      <c r="D452" s="195" t="s">
        <v>606</v>
      </c>
      <c r="E452" s="127">
        <v>2</v>
      </c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71">
        <f t="shared" si="4"/>
        <v>2</v>
      </c>
    </row>
    <row r="453" spans="1:17" x14ac:dyDescent="0.25">
      <c r="A453" s="125" t="s">
        <v>56</v>
      </c>
      <c r="B453" s="125" t="s">
        <v>187</v>
      </c>
      <c r="C453" s="125" t="s">
        <v>22</v>
      </c>
      <c r="D453" s="193" t="s">
        <v>106</v>
      </c>
      <c r="E453" s="127">
        <v>2</v>
      </c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71">
        <f t="shared" si="4"/>
        <v>2</v>
      </c>
    </row>
    <row r="454" spans="1:17" x14ac:dyDescent="0.25">
      <c r="A454" s="129"/>
      <c r="B454" s="129"/>
      <c r="C454" s="125" t="s">
        <v>21</v>
      </c>
      <c r="D454" s="193" t="s">
        <v>110</v>
      </c>
      <c r="E454" s="127">
        <v>1</v>
      </c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71">
        <f t="shared" si="4"/>
        <v>1</v>
      </c>
    </row>
    <row r="455" spans="1:17" x14ac:dyDescent="0.25">
      <c r="A455" s="129"/>
      <c r="B455" s="129"/>
      <c r="C455" s="133" t="s">
        <v>24</v>
      </c>
      <c r="D455" s="196" t="s">
        <v>122</v>
      </c>
      <c r="E455" s="127">
        <v>3</v>
      </c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71">
        <f t="shared" si="4"/>
        <v>3</v>
      </c>
    </row>
    <row r="456" spans="1:17" x14ac:dyDescent="0.25">
      <c r="A456" s="129"/>
      <c r="B456" s="129"/>
      <c r="C456" s="125" t="s">
        <v>29</v>
      </c>
      <c r="D456" s="193" t="s">
        <v>123</v>
      </c>
      <c r="E456" s="127">
        <v>5</v>
      </c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71">
        <f t="shared" si="4"/>
        <v>5</v>
      </c>
    </row>
    <row r="457" spans="1:17" x14ac:dyDescent="0.25">
      <c r="A457" s="129"/>
      <c r="B457" s="129"/>
      <c r="C457" s="131"/>
      <c r="D457" s="195" t="s">
        <v>311</v>
      </c>
      <c r="E457" s="127">
        <v>1</v>
      </c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71">
        <f t="shared" si="4"/>
        <v>1</v>
      </c>
    </row>
    <row r="458" spans="1:17" x14ac:dyDescent="0.25">
      <c r="A458" s="129"/>
      <c r="B458" s="131"/>
      <c r="C458" s="133" t="s">
        <v>39</v>
      </c>
      <c r="D458" s="196" t="s">
        <v>285</v>
      </c>
      <c r="E458" s="127">
        <v>1</v>
      </c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71">
        <f t="shared" si="4"/>
        <v>1</v>
      </c>
    </row>
    <row r="459" spans="1:17" x14ac:dyDescent="0.25">
      <c r="A459" s="129"/>
      <c r="B459" s="125" t="s">
        <v>5</v>
      </c>
      <c r="C459" s="125" t="s">
        <v>65</v>
      </c>
      <c r="D459" s="193" t="s">
        <v>160</v>
      </c>
      <c r="E459" s="127">
        <v>1</v>
      </c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71">
        <f t="shared" si="4"/>
        <v>1</v>
      </c>
    </row>
    <row r="460" spans="1:17" x14ac:dyDescent="0.25">
      <c r="A460" s="131"/>
      <c r="B460" s="131"/>
      <c r="C460" s="133" t="s">
        <v>29</v>
      </c>
      <c r="D460" s="196" t="s">
        <v>163</v>
      </c>
      <c r="E460" s="127">
        <v>4</v>
      </c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71">
        <f t="shared" si="4"/>
        <v>4</v>
      </c>
    </row>
    <row r="461" spans="1:17" x14ac:dyDescent="0.25">
      <c r="A461" s="133" t="s">
        <v>64</v>
      </c>
      <c r="B461" s="133" t="s">
        <v>5</v>
      </c>
      <c r="C461" s="133" t="s">
        <v>29</v>
      </c>
      <c r="D461" s="196" t="s">
        <v>163</v>
      </c>
      <c r="E461" s="127">
        <v>1</v>
      </c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71">
        <f t="shared" si="4"/>
        <v>1</v>
      </c>
    </row>
    <row r="462" spans="1:17" x14ac:dyDescent="0.25">
      <c r="A462" s="125" t="s">
        <v>53</v>
      </c>
      <c r="B462" s="125" t="s">
        <v>187</v>
      </c>
      <c r="C462" s="125" t="s">
        <v>297</v>
      </c>
      <c r="D462" s="193" t="s">
        <v>358</v>
      </c>
      <c r="E462" s="127">
        <v>1</v>
      </c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71">
        <f t="shared" si="4"/>
        <v>1</v>
      </c>
    </row>
    <row r="463" spans="1:17" x14ac:dyDescent="0.25">
      <c r="A463" s="129"/>
      <c r="B463" s="129"/>
      <c r="C463" s="125" t="s">
        <v>450</v>
      </c>
      <c r="D463" s="193" t="s">
        <v>466</v>
      </c>
      <c r="E463" s="127">
        <v>1</v>
      </c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71">
        <f t="shared" si="4"/>
        <v>1</v>
      </c>
    </row>
    <row r="464" spans="1:17" x14ac:dyDescent="0.25">
      <c r="A464" s="129"/>
      <c r="B464" s="129"/>
      <c r="C464" s="125" t="s">
        <v>65</v>
      </c>
      <c r="D464" s="193" t="s">
        <v>101</v>
      </c>
      <c r="E464" s="127">
        <v>3</v>
      </c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71">
        <f t="shared" si="4"/>
        <v>3</v>
      </c>
    </row>
    <row r="465" spans="1:17" x14ac:dyDescent="0.25">
      <c r="A465" s="129"/>
      <c r="B465" s="129"/>
      <c r="C465" s="125" t="s">
        <v>22</v>
      </c>
      <c r="D465" s="193" t="s">
        <v>106</v>
      </c>
      <c r="E465" s="127">
        <v>2</v>
      </c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71">
        <f t="shared" si="4"/>
        <v>2</v>
      </c>
    </row>
    <row r="466" spans="1:17" x14ac:dyDescent="0.25">
      <c r="A466" s="129"/>
      <c r="B466" s="129"/>
      <c r="C466" s="133" t="s">
        <v>21</v>
      </c>
      <c r="D466" s="196" t="s">
        <v>111</v>
      </c>
      <c r="E466" s="127">
        <v>1</v>
      </c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71">
        <f t="shared" si="4"/>
        <v>1</v>
      </c>
    </row>
    <row r="467" spans="1:17" x14ac:dyDescent="0.25">
      <c r="A467" s="129"/>
      <c r="B467" s="129"/>
      <c r="C467" s="125" t="s">
        <v>24</v>
      </c>
      <c r="D467" s="193" t="s">
        <v>118</v>
      </c>
      <c r="E467" s="127">
        <v>2</v>
      </c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71">
        <f t="shared" si="4"/>
        <v>2</v>
      </c>
    </row>
    <row r="468" spans="1:17" x14ac:dyDescent="0.25">
      <c r="A468" s="129"/>
      <c r="B468" s="129"/>
      <c r="C468" s="131"/>
      <c r="D468" s="195" t="s">
        <v>120</v>
      </c>
      <c r="E468" s="127">
        <v>1</v>
      </c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71">
        <f t="shared" si="4"/>
        <v>1</v>
      </c>
    </row>
    <row r="469" spans="1:17" x14ac:dyDescent="0.25">
      <c r="A469" s="129"/>
      <c r="B469" s="129"/>
      <c r="C469" s="125" t="s">
        <v>29</v>
      </c>
      <c r="D469" s="193" t="s">
        <v>494</v>
      </c>
      <c r="E469" s="127">
        <v>1</v>
      </c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71">
        <f t="shared" si="4"/>
        <v>1</v>
      </c>
    </row>
    <row r="470" spans="1:17" x14ac:dyDescent="0.25">
      <c r="A470" s="129"/>
      <c r="B470" s="129"/>
      <c r="C470" s="131"/>
      <c r="D470" s="195" t="s">
        <v>311</v>
      </c>
      <c r="E470" s="127">
        <v>1</v>
      </c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71">
        <f t="shared" si="4"/>
        <v>1</v>
      </c>
    </row>
    <row r="471" spans="1:17" x14ac:dyDescent="0.25">
      <c r="A471" s="129"/>
      <c r="B471" s="129"/>
      <c r="C471" s="125" t="s">
        <v>39</v>
      </c>
      <c r="D471" s="193" t="s">
        <v>285</v>
      </c>
      <c r="E471" s="127">
        <v>1</v>
      </c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71">
        <f t="shared" si="4"/>
        <v>1</v>
      </c>
    </row>
    <row r="472" spans="1:17" x14ac:dyDescent="0.25">
      <c r="A472" s="129"/>
      <c r="B472" s="129"/>
      <c r="C472" s="125" t="s">
        <v>47</v>
      </c>
      <c r="D472" s="193" t="s">
        <v>358</v>
      </c>
      <c r="E472" s="127">
        <v>1</v>
      </c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71">
        <f t="shared" si="4"/>
        <v>1</v>
      </c>
    </row>
    <row r="473" spans="1:17" x14ac:dyDescent="0.25">
      <c r="A473" s="129"/>
      <c r="B473" s="129"/>
      <c r="C473" s="125" t="s">
        <v>19</v>
      </c>
      <c r="D473" s="193" t="s">
        <v>129</v>
      </c>
      <c r="E473" s="127">
        <v>1</v>
      </c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71">
        <f t="shared" si="4"/>
        <v>1</v>
      </c>
    </row>
    <row r="474" spans="1:17" x14ac:dyDescent="0.25">
      <c r="A474" s="129"/>
      <c r="B474" s="129"/>
      <c r="C474" s="133" t="s">
        <v>34</v>
      </c>
      <c r="D474" s="196" t="s">
        <v>416</v>
      </c>
      <c r="E474" s="127">
        <v>3</v>
      </c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71">
        <f t="shared" si="4"/>
        <v>3</v>
      </c>
    </row>
    <row r="475" spans="1:17" x14ac:dyDescent="0.25">
      <c r="A475" s="129"/>
      <c r="B475" s="129"/>
      <c r="C475" s="125" t="s">
        <v>37</v>
      </c>
      <c r="D475" s="193" t="s">
        <v>538</v>
      </c>
      <c r="E475" s="127">
        <v>1</v>
      </c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71">
        <f t="shared" si="4"/>
        <v>1</v>
      </c>
    </row>
    <row r="476" spans="1:17" x14ac:dyDescent="0.25">
      <c r="A476" s="129"/>
      <c r="B476" s="129"/>
      <c r="C476" s="131"/>
      <c r="D476" s="195" t="s">
        <v>537</v>
      </c>
      <c r="E476" s="127">
        <v>1</v>
      </c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71">
        <f t="shared" si="4"/>
        <v>1</v>
      </c>
    </row>
    <row r="477" spans="1:17" x14ac:dyDescent="0.25">
      <c r="A477" s="129"/>
      <c r="B477" s="129"/>
      <c r="C477" s="133" t="s">
        <v>27</v>
      </c>
      <c r="D477" s="196" t="s">
        <v>139</v>
      </c>
      <c r="E477" s="127">
        <v>2</v>
      </c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71">
        <f t="shared" si="4"/>
        <v>2</v>
      </c>
    </row>
    <row r="478" spans="1:17" x14ac:dyDescent="0.25">
      <c r="A478" s="129"/>
      <c r="B478" s="129"/>
      <c r="C478" s="125" t="s">
        <v>20</v>
      </c>
      <c r="D478" s="193" t="s">
        <v>417</v>
      </c>
      <c r="E478" s="127">
        <v>2</v>
      </c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71">
        <f t="shared" si="4"/>
        <v>2</v>
      </c>
    </row>
    <row r="479" spans="1:17" x14ac:dyDescent="0.25">
      <c r="A479" s="129"/>
      <c r="B479" s="131"/>
      <c r="C479" s="131"/>
      <c r="D479" s="195" t="s">
        <v>542</v>
      </c>
      <c r="E479" s="127">
        <v>1</v>
      </c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71">
        <f t="shared" si="4"/>
        <v>1</v>
      </c>
    </row>
    <row r="480" spans="1:17" x14ac:dyDescent="0.25">
      <c r="A480" s="129"/>
      <c r="B480" s="125" t="s">
        <v>5</v>
      </c>
      <c r="C480" s="125" t="s">
        <v>65</v>
      </c>
      <c r="D480" s="193" t="s">
        <v>160</v>
      </c>
      <c r="E480" s="127">
        <v>1</v>
      </c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71">
        <f t="shared" si="4"/>
        <v>1</v>
      </c>
    </row>
    <row r="481" spans="1:17" x14ac:dyDescent="0.25">
      <c r="A481" s="131"/>
      <c r="B481" s="131"/>
      <c r="C481" s="133" t="s">
        <v>20</v>
      </c>
      <c r="D481" s="196" t="s">
        <v>595</v>
      </c>
      <c r="E481" s="127">
        <v>4</v>
      </c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71">
        <f t="shared" si="4"/>
        <v>4</v>
      </c>
    </row>
    <row r="482" spans="1:17" x14ac:dyDescent="0.25">
      <c r="A482" s="125" t="s">
        <v>58</v>
      </c>
      <c r="B482" s="125" t="s">
        <v>187</v>
      </c>
      <c r="C482" s="133" t="s">
        <v>65</v>
      </c>
      <c r="D482" s="196" t="s">
        <v>101</v>
      </c>
      <c r="E482" s="127">
        <v>1</v>
      </c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71">
        <f t="shared" si="4"/>
        <v>1</v>
      </c>
    </row>
    <row r="483" spans="1:17" x14ac:dyDescent="0.25">
      <c r="A483" s="129"/>
      <c r="B483" s="129"/>
      <c r="C483" s="125" t="s">
        <v>29</v>
      </c>
      <c r="D483" s="193" t="s">
        <v>124</v>
      </c>
      <c r="E483" s="127">
        <v>1</v>
      </c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71">
        <f t="shared" si="4"/>
        <v>1</v>
      </c>
    </row>
    <row r="484" spans="1:17" x14ac:dyDescent="0.25">
      <c r="A484" s="129"/>
      <c r="B484" s="129"/>
      <c r="C484" s="129"/>
      <c r="D484" s="194" t="s">
        <v>126</v>
      </c>
      <c r="E484" s="127">
        <v>1</v>
      </c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71">
        <f t="shared" si="4"/>
        <v>1</v>
      </c>
    </row>
    <row r="485" spans="1:17" x14ac:dyDescent="0.25">
      <c r="A485" s="129"/>
      <c r="B485" s="129"/>
      <c r="C485" s="129"/>
      <c r="D485" s="194" t="s">
        <v>127</v>
      </c>
      <c r="E485" s="127">
        <v>1</v>
      </c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71">
        <f t="shared" si="4"/>
        <v>1</v>
      </c>
    </row>
    <row r="486" spans="1:17" x14ac:dyDescent="0.25">
      <c r="A486" s="129"/>
      <c r="B486" s="129"/>
      <c r="C486" s="129"/>
      <c r="D486" s="194" t="s">
        <v>495</v>
      </c>
      <c r="E486" s="127">
        <v>1</v>
      </c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71">
        <f t="shared" si="4"/>
        <v>1</v>
      </c>
    </row>
    <row r="487" spans="1:17" x14ac:dyDescent="0.25">
      <c r="A487" s="129"/>
      <c r="B487" s="131"/>
      <c r="C487" s="131"/>
      <c r="D487" s="195" t="s">
        <v>440</v>
      </c>
      <c r="E487" s="127">
        <v>1</v>
      </c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71">
        <f t="shared" si="4"/>
        <v>1</v>
      </c>
    </row>
    <row r="488" spans="1:17" x14ac:dyDescent="0.25">
      <c r="A488" s="131"/>
      <c r="B488" s="133" t="s">
        <v>5</v>
      </c>
      <c r="C488" s="133" t="s">
        <v>29</v>
      </c>
      <c r="D488" s="196" t="s">
        <v>163</v>
      </c>
      <c r="E488" s="127">
        <v>1</v>
      </c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71">
        <f t="shared" si="4"/>
        <v>1</v>
      </c>
    </row>
    <row r="489" spans="1:17" x14ac:dyDescent="0.25">
      <c r="A489" s="125" t="s">
        <v>67</v>
      </c>
      <c r="B489" s="125" t="s">
        <v>187</v>
      </c>
      <c r="C489" s="125" t="s">
        <v>24</v>
      </c>
      <c r="D489" s="193" t="s">
        <v>115</v>
      </c>
      <c r="E489" s="127">
        <v>1</v>
      </c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71">
        <f t="shared" si="4"/>
        <v>1</v>
      </c>
    </row>
    <row r="490" spans="1:17" x14ac:dyDescent="0.25">
      <c r="A490" s="131"/>
      <c r="B490" s="131"/>
      <c r="C490" s="131"/>
      <c r="D490" s="195" t="s">
        <v>120</v>
      </c>
      <c r="E490" s="127">
        <v>5</v>
      </c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71">
        <f t="shared" si="4"/>
        <v>5</v>
      </c>
    </row>
    <row r="491" spans="1:17" x14ac:dyDescent="0.25">
      <c r="A491" s="125" t="s">
        <v>49</v>
      </c>
      <c r="B491" s="125" t="s">
        <v>187</v>
      </c>
      <c r="C491" s="125" t="s">
        <v>40</v>
      </c>
      <c r="D491" s="193" t="s">
        <v>304</v>
      </c>
      <c r="E491" s="127">
        <v>5</v>
      </c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71">
        <f t="shared" si="4"/>
        <v>5</v>
      </c>
    </row>
    <row r="492" spans="1:17" x14ac:dyDescent="0.25">
      <c r="A492" s="129"/>
      <c r="B492" s="129"/>
      <c r="C492" s="131"/>
      <c r="D492" s="195" t="s">
        <v>462</v>
      </c>
      <c r="E492" s="127">
        <v>1</v>
      </c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71">
        <f t="shared" si="4"/>
        <v>1</v>
      </c>
    </row>
    <row r="493" spans="1:17" x14ac:dyDescent="0.25">
      <c r="A493" s="129"/>
      <c r="B493" s="129"/>
      <c r="C493" s="133" t="s">
        <v>28</v>
      </c>
      <c r="D493" s="196" t="s">
        <v>151</v>
      </c>
      <c r="E493" s="127">
        <v>1</v>
      </c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71">
        <f t="shared" si="4"/>
        <v>1</v>
      </c>
    </row>
    <row r="494" spans="1:17" x14ac:dyDescent="0.25">
      <c r="A494" s="129"/>
      <c r="B494" s="129"/>
      <c r="C494" s="125" t="s">
        <v>65</v>
      </c>
      <c r="D494" s="193" t="s">
        <v>101</v>
      </c>
      <c r="E494" s="127">
        <v>7</v>
      </c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71">
        <f t="shared" si="4"/>
        <v>7</v>
      </c>
    </row>
    <row r="495" spans="1:17" x14ac:dyDescent="0.25">
      <c r="A495" s="129"/>
      <c r="B495" s="129"/>
      <c r="C495" s="129"/>
      <c r="D495" s="194" t="s">
        <v>102</v>
      </c>
      <c r="E495" s="127">
        <v>2</v>
      </c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71">
        <f t="shared" si="4"/>
        <v>2</v>
      </c>
    </row>
    <row r="496" spans="1:17" x14ac:dyDescent="0.25">
      <c r="A496" s="129"/>
      <c r="B496" s="129"/>
      <c r="C496" s="131"/>
      <c r="D496" s="195" t="s">
        <v>427</v>
      </c>
      <c r="E496" s="127">
        <v>1</v>
      </c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71">
        <f t="shared" si="4"/>
        <v>1</v>
      </c>
    </row>
    <row r="497" spans="1:17" x14ac:dyDescent="0.25">
      <c r="A497" s="129"/>
      <c r="B497" s="129"/>
      <c r="C497" s="125" t="s">
        <v>22</v>
      </c>
      <c r="D497" s="193" t="s">
        <v>106</v>
      </c>
      <c r="E497" s="127">
        <v>1</v>
      </c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71">
        <f t="shared" si="4"/>
        <v>1</v>
      </c>
    </row>
    <row r="498" spans="1:17" x14ac:dyDescent="0.25">
      <c r="A498" s="129"/>
      <c r="B498" s="129"/>
      <c r="C498" s="129"/>
      <c r="D498" s="194" t="s">
        <v>107</v>
      </c>
      <c r="E498" s="127">
        <v>2</v>
      </c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71">
        <f t="shared" si="4"/>
        <v>2</v>
      </c>
    </row>
    <row r="499" spans="1:17" x14ac:dyDescent="0.25">
      <c r="A499" s="129"/>
      <c r="B499" s="129"/>
      <c r="C499" s="131"/>
      <c r="D499" s="195" t="s">
        <v>109</v>
      </c>
      <c r="E499" s="127">
        <v>2</v>
      </c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71">
        <f t="shared" si="4"/>
        <v>2</v>
      </c>
    </row>
    <row r="500" spans="1:17" x14ac:dyDescent="0.25">
      <c r="A500" s="129"/>
      <c r="B500" s="129"/>
      <c r="C500" s="125" t="s">
        <v>21</v>
      </c>
      <c r="D500" s="193" t="s">
        <v>310</v>
      </c>
      <c r="E500" s="127">
        <v>1</v>
      </c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71">
        <f t="shared" si="4"/>
        <v>1</v>
      </c>
    </row>
    <row r="501" spans="1:17" x14ac:dyDescent="0.25">
      <c r="A501" s="129"/>
      <c r="B501" s="129"/>
      <c r="C501" s="133" t="s">
        <v>26</v>
      </c>
      <c r="D501" s="196" t="s">
        <v>288</v>
      </c>
      <c r="E501" s="127">
        <v>7</v>
      </c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71">
        <f t="shared" si="4"/>
        <v>7</v>
      </c>
    </row>
    <row r="502" spans="1:17" x14ac:dyDescent="0.25">
      <c r="A502" s="129"/>
      <c r="B502" s="129"/>
      <c r="C502" s="125" t="s">
        <v>24</v>
      </c>
      <c r="D502" s="193" t="s">
        <v>114</v>
      </c>
      <c r="E502" s="127">
        <v>3</v>
      </c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71">
        <f t="shared" si="4"/>
        <v>3</v>
      </c>
    </row>
    <row r="503" spans="1:17" x14ac:dyDescent="0.25">
      <c r="A503" s="129"/>
      <c r="B503" s="129"/>
      <c r="C503" s="129"/>
      <c r="D503" s="194" t="s">
        <v>118</v>
      </c>
      <c r="E503" s="127">
        <v>1</v>
      </c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71">
        <f t="shared" si="4"/>
        <v>1</v>
      </c>
    </row>
    <row r="504" spans="1:17" x14ac:dyDescent="0.25">
      <c r="A504" s="129"/>
      <c r="B504" s="129"/>
      <c r="C504" s="129"/>
      <c r="D504" s="194" t="s">
        <v>119</v>
      </c>
      <c r="E504" s="127">
        <v>1</v>
      </c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71">
        <f t="shared" si="4"/>
        <v>1</v>
      </c>
    </row>
    <row r="505" spans="1:17" x14ac:dyDescent="0.25">
      <c r="A505" s="129"/>
      <c r="B505" s="129"/>
      <c r="C505" s="129"/>
      <c r="D505" s="194" t="s">
        <v>120</v>
      </c>
      <c r="E505" s="127">
        <v>3</v>
      </c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71">
        <f t="shared" si="4"/>
        <v>3</v>
      </c>
    </row>
    <row r="506" spans="1:17" x14ac:dyDescent="0.25">
      <c r="A506" s="129"/>
      <c r="B506" s="129"/>
      <c r="C506" s="131"/>
      <c r="D506" s="195" t="s">
        <v>121</v>
      </c>
      <c r="E506" s="127">
        <v>1</v>
      </c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71">
        <f t="shared" si="4"/>
        <v>1</v>
      </c>
    </row>
    <row r="507" spans="1:17" x14ac:dyDescent="0.25">
      <c r="A507" s="129"/>
      <c r="B507" s="129"/>
      <c r="C507" s="125" t="s">
        <v>29</v>
      </c>
      <c r="D507" s="193" t="s">
        <v>492</v>
      </c>
      <c r="E507" s="127">
        <v>1</v>
      </c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71">
        <f t="shared" si="4"/>
        <v>1</v>
      </c>
    </row>
    <row r="508" spans="1:17" x14ac:dyDescent="0.25">
      <c r="A508" s="129"/>
      <c r="B508" s="129"/>
      <c r="C508" s="129"/>
      <c r="D508" s="194" t="s">
        <v>124</v>
      </c>
      <c r="E508" s="127">
        <v>1</v>
      </c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71">
        <f t="shared" si="4"/>
        <v>1</v>
      </c>
    </row>
    <row r="509" spans="1:17" x14ac:dyDescent="0.25">
      <c r="A509" s="129"/>
      <c r="B509" s="129"/>
      <c r="C509" s="129"/>
      <c r="D509" s="194" t="s">
        <v>125</v>
      </c>
      <c r="E509" s="127">
        <v>1</v>
      </c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71">
        <f t="shared" si="4"/>
        <v>1</v>
      </c>
    </row>
    <row r="510" spans="1:17" x14ac:dyDescent="0.25">
      <c r="A510" s="129"/>
      <c r="B510" s="129"/>
      <c r="C510" s="131"/>
      <c r="D510" s="195" t="s">
        <v>496</v>
      </c>
      <c r="E510" s="127">
        <v>1</v>
      </c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71">
        <f t="shared" si="4"/>
        <v>1</v>
      </c>
    </row>
    <row r="511" spans="1:17" x14ac:dyDescent="0.25">
      <c r="A511" s="129"/>
      <c r="B511" s="129"/>
      <c r="C511" s="125" t="s">
        <v>39</v>
      </c>
      <c r="D511" s="193" t="s">
        <v>285</v>
      </c>
      <c r="E511" s="127">
        <v>2</v>
      </c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71">
        <f t="shared" si="4"/>
        <v>2</v>
      </c>
    </row>
    <row r="512" spans="1:17" x14ac:dyDescent="0.25">
      <c r="A512" s="129"/>
      <c r="B512" s="129"/>
      <c r="C512" s="125" t="s">
        <v>47</v>
      </c>
      <c r="D512" s="193" t="s">
        <v>500</v>
      </c>
      <c r="E512" s="127">
        <v>2</v>
      </c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71">
        <f t="shared" si="4"/>
        <v>2</v>
      </c>
    </row>
    <row r="513" spans="1:17" x14ac:dyDescent="0.25">
      <c r="A513" s="129"/>
      <c r="B513" s="129"/>
      <c r="C513" s="133" t="s">
        <v>71</v>
      </c>
      <c r="D513" s="196" t="s">
        <v>429</v>
      </c>
      <c r="E513" s="127">
        <v>1</v>
      </c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71">
        <f t="shared" si="4"/>
        <v>1</v>
      </c>
    </row>
    <row r="514" spans="1:17" x14ac:dyDescent="0.25">
      <c r="A514" s="129"/>
      <c r="B514" s="129"/>
      <c r="C514" s="125" t="s">
        <v>19</v>
      </c>
      <c r="D514" s="193" t="s">
        <v>359</v>
      </c>
      <c r="E514" s="127">
        <v>1</v>
      </c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71">
        <f t="shared" si="4"/>
        <v>1</v>
      </c>
    </row>
    <row r="515" spans="1:17" x14ac:dyDescent="0.25">
      <c r="A515" s="129"/>
      <c r="B515" s="129"/>
      <c r="C515" s="129"/>
      <c r="D515" s="194" t="s">
        <v>131</v>
      </c>
      <c r="E515" s="127">
        <v>1</v>
      </c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71">
        <f t="shared" si="4"/>
        <v>1</v>
      </c>
    </row>
    <row r="516" spans="1:17" x14ac:dyDescent="0.25">
      <c r="A516" s="129"/>
      <c r="B516" s="129"/>
      <c r="C516" s="129"/>
      <c r="D516" s="194" t="s">
        <v>132</v>
      </c>
      <c r="E516" s="127">
        <v>1</v>
      </c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71">
        <f t="shared" si="4"/>
        <v>1</v>
      </c>
    </row>
    <row r="517" spans="1:17" x14ac:dyDescent="0.25">
      <c r="A517" s="129"/>
      <c r="B517" s="129"/>
      <c r="C517" s="129"/>
      <c r="D517" s="194" t="s">
        <v>134</v>
      </c>
      <c r="E517" s="127">
        <v>1</v>
      </c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71">
        <f t="shared" si="4"/>
        <v>1</v>
      </c>
    </row>
    <row r="518" spans="1:17" x14ac:dyDescent="0.25">
      <c r="A518" s="129"/>
      <c r="B518" s="129"/>
      <c r="C518" s="129"/>
      <c r="D518" s="194" t="s">
        <v>315</v>
      </c>
      <c r="E518" s="127">
        <v>1</v>
      </c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71">
        <f t="shared" si="4"/>
        <v>1</v>
      </c>
    </row>
    <row r="519" spans="1:17" x14ac:dyDescent="0.25">
      <c r="A519" s="129"/>
      <c r="B519" s="129"/>
      <c r="C519" s="129"/>
      <c r="D519" s="194" t="s">
        <v>360</v>
      </c>
      <c r="E519" s="127">
        <v>2</v>
      </c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71">
        <f t="shared" si="4"/>
        <v>2</v>
      </c>
    </row>
    <row r="520" spans="1:17" x14ac:dyDescent="0.25">
      <c r="A520" s="129"/>
      <c r="B520" s="129"/>
      <c r="C520" s="129"/>
      <c r="D520" s="194" t="s">
        <v>283</v>
      </c>
      <c r="E520" s="127">
        <v>2</v>
      </c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71">
        <f t="shared" si="4"/>
        <v>2</v>
      </c>
    </row>
    <row r="521" spans="1:17" x14ac:dyDescent="0.25">
      <c r="A521" s="129"/>
      <c r="B521" s="129"/>
      <c r="C521" s="129"/>
      <c r="D521" s="194" t="s">
        <v>316</v>
      </c>
      <c r="E521" s="127">
        <v>1</v>
      </c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71">
        <f t="shared" si="4"/>
        <v>1</v>
      </c>
    </row>
    <row r="522" spans="1:17" x14ac:dyDescent="0.25">
      <c r="A522" s="129"/>
      <c r="B522" s="129"/>
      <c r="C522" s="129"/>
      <c r="D522" s="194" t="s">
        <v>399</v>
      </c>
      <c r="E522" s="127">
        <v>2</v>
      </c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71">
        <f t="shared" si="4"/>
        <v>2</v>
      </c>
    </row>
    <row r="523" spans="1:17" x14ac:dyDescent="0.25">
      <c r="A523" s="129"/>
      <c r="B523" s="129"/>
      <c r="C523" s="131"/>
      <c r="D523" s="195" t="s">
        <v>505</v>
      </c>
      <c r="E523" s="127">
        <v>14</v>
      </c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71">
        <f t="shared" si="4"/>
        <v>14</v>
      </c>
    </row>
    <row r="524" spans="1:17" x14ac:dyDescent="0.25">
      <c r="A524" s="129"/>
      <c r="B524" s="129"/>
      <c r="C524" s="125" t="s">
        <v>34</v>
      </c>
      <c r="D524" s="193" t="s">
        <v>319</v>
      </c>
      <c r="E524" s="127">
        <v>1</v>
      </c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71">
        <f t="shared" si="4"/>
        <v>1</v>
      </c>
    </row>
    <row r="525" spans="1:17" x14ac:dyDescent="0.25">
      <c r="A525" s="129"/>
      <c r="B525" s="129"/>
      <c r="C525" s="129"/>
      <c r="D525" s="194" t="s">
        <v>416</v>
      </c>
      <c r="E525" s="127">
        <v>3</v>
      </c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71">
        <f t="shared" si="4"/>
        <v>3</v>
      </c>
    </row>
    <row r="526" spans="1:17" x14ac:dyDescent="0.25">
      <c r="A526" s="129"/>
      <c r="B526" s="129"/>
      <c r="C526" s="131"/>
      <c r="D526" s="195" t="s">
        <v>430</v>
      </c>
      <c r="E526" s="127">
        <v>2</v>
      </c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71">
        <f t="shared" si="4"/>
        <v>2</v>
      </c>
    </row>
    <row r="527" spans="1:17" x14ac:dyDescent="0.25">
      <c r="A527" s="129"/>
      <c r="B527" s="129"/>
      <c r="C527" s="125" t="s">
        <v>20</v>
      </c>
      <c r="D527" s="193" t="s">
        <v>156</v>
      </c>
      <c r="E527" s="127">
        <v>1</v>
      </c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71">
        <f t="shared" si="4"/>
        <v>1</v>
      </c>
    </row>
    <row r="528" spans="1:17" x14ac:dyDescent="0.25">
      <c r="A528" s="129"/>
      <c r="B528" s="129"/>
      <c r="C528" s="129"/>
      <c r="D528" s="194" t="s">
        <v>141</v>
      </c>
      <c r="E528" s="127">
        <v>13</v>
      </c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71">
        <f t="shared" si="4"/>
        <v>13</v>
      </c>
    </row>
    <row r="529" spans="1:17" x14ac:dyDescent="0.25">
      <c r="A529" s="129"/>
      <c r="B529" s="129"/>
      <c r="C529" s="129"/>
      <c r="D529" s="194" t="s">
        <v>142</v>
      </c>
      <c r="E529" s="127">
        <v>4</v>
      </c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71">
        <f t="shared" si="4"/>
        <v>4</v>
      </c>
    </row>
    <row r="530" spans="1:17" x14ac:dyDescent="0.25">
      <c r="A530" s="129"/>
      <c r="B530" s="129"/>
      <c r="C530" s="129"/>
      <c r="D530" s="194" t="s">
        <v>143</v>
      </c>
      <c r="E530" s="127">
        <v>1</v>
      </c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71">
        <f t="shared" si="4"/>
        <v>1</v>
      </c>
    </row>
    <row r="531" spans="1:17" x14ac:dyDescent="0.25">
      <c r="A531" s="129"/>
      <c r="B531" s="129"/>
      <c r="C531" s="129"/>
      <c r="D531" s="194" t="s">
        <v>144</v>
      </c>
      <c r="E531" s="127">
        <v>3</v>
      </c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71">
        <f t="shared" si="4"/>
        <v>3</v>
      </c>
    </row>
    <row r="532" spans="1:17" x14ac:dyDescent="0.25">
      <c r="A532" s="129"/>
      <c r="B532" s="129"/>
      <c r="C532" s="129"/>
      <c r="D532" s="194" t="s">
        <v>566</v>
      </c>
      <c r="E532" s="127">
        <v>1</v>
      </c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71">
        <f t="shared" si="4"/>
        <v>1</v>
      </c>
    </row>
    <row r="533" spans="1:17" x14ac:dyDescent="0.25">
      <c r="A533" s="129"/>
      <c r="B533" s="131"/>
      <c r="C533" s="131"/>
      <c r="D533" s="195" t="s">
        <v>541</v>
      </c>
      <c r="E533" s="127">
        <v>4</v>
      </c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71">
        <f t="shared" si="4"/>
        <v>4</v>
      </c>
    </row>
    <row r="534" spans="1:17" x14ac:dyDescent="0.25">
      <c r="A534" s="129"/>
      <c r="B534" s="126" t="s">
        <v>5</v>
      </c>
      <c r="C534" s="204" t="s">
        <v>23</v>
      </c>
      <c r="D534" s="193" t="s">
        <v>389</v>
      </c>
      <c r="E534" s="127">
        <v>5</v>
      </c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71">
        <f t="shared" si="4"/>
        <v>5</v>
      </c>
    </row>
    <row r="535" spans="1:17" x14ac:dyDescent="0.25">
      <c r="A535" s="129"/>
      <c r="B535" s="130"/>
      <c r="C535" s="183"/>
      <c r="D535" s="195" t="s">
        <v>326</v>
      </c>
      <c r="E535" s="127">
        <v>1</v>
      </c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71">
        <f t="shared" si="4"/>
        <v>1</v>
      </c>
    </row>
    <row r="536" spans="1:17" x14ac:dyDescent="0.25">
      <c r="A536" s="129"/>
      <c r="B536" s="130"/>
      <c r="C536" s="204" t="s">
        <v>45</v>
      </c>
      <c r="D536" s="193" t="s">
        <v>327</v>
      </c>
      <c r="E536" s="127">
        <v>1</v>
      </c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71">
        <f t="shared" si="4"/>
        <v>1</v>
      </c>
    </row>
    <row r="537" spans="1:17" x14ac:dyDescent="0.25">
      <c r="A537" s="129"/>
      <c r="B537" s="130"/>
      <c r="C537" s="205" t="s">
        <v>33</v>
      </c>
      <c r="D537" s="196" t="s">
        <v>575</v>
      </c>
      <c r="E537" s="127">
        <v>4</v>
      </c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71">
        <f t="shared" si="4"/>
        <v>4</v>
      </c>
    </row>
    <row r="538" spans="1:17" x14ac:dyDescent="0.25">
      <c r="A538" s="129"/>
      <c r="B538" s="130"/>
      <c r="C538" s="197" t="s">
        <v>19</v>
      </c>
      <c r="D538" s="194" t="s">
        <v>169</v>
      </c>
      <c r="E538" s="127">
        <v>7</v>
      </c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71">
        <f t="shared" si="4"/>
        <v>7</v>
      </c>
    </row>
    <row r="539" spans="1:17" x14ac:dyDescent="0.25">
      <c r="A539" s="129"/>
      <c r="B539" s="130"/>
      <c r="C539" s="197"/>
      <c r="D539" s="194" t="s">
        <v>584</v>
      </c>
      <c r="E539" s="127">
        <v>1</v>
      </c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71">
        <f t="shared" si="4"/>
        <v>1</v>
      </c>
    </row>
    <row r="540" spans="1:17" x14ac:dyDescent="0.25">
      <c r="A540" s="129"/>
      <c r="B540" s="130"/>
      <c r="C540" s="197"/>
      <c r="D540" s="194" t="s">
        <v>585</v>
      </c>
      <c r="E540" s="127">
        <v>2</v>
      </c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71">
        <f t="shared" si="4"/>
        <v>2</v>
      </c>
    </row>
    <row r="541" spans="1:17" x14ac:dyDescent="0.25">
      <c r="A541" s="131"/>
      <c r="B541" s="132"/>
      <c r="C541" s="183"/>
      <c r="D541" s="195" t="s">
        <v>586</v>
      </c>
      <c r="E541" s="127">
        <v>1</v>
      </c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71">
        <f t="shared" si="4"/>
        <v>1</v>
      </c>
    </row>
    <row r="542" spans="1:17" ht="14.25" x14ac:dyDescent="0.2">
      <c r="A542" s="184" t="s">
        <v>1</v>
      </c>
      <c r="B542" s="184"/>
      <c r="C542" s="184"/>
      <c r="D542" s="184"/>
      <c r="E542" s="172">
        <f t="shared" ref="E542:Q542" si="5">SUM(E5:E541)</f>
        <v>1903</v>
      </c>
      <c r="F542" s="172">
        <f t="shared" si="5"/>
        <v>0</v>
      </c>
      <c r="G542" s="172">
        <f t="shared" si="5"/>
        <v>0</v>
      </c>
      <c r="H542" s="172">
        <f t="shared" si="5"/>
        <v>0</v>
      </c>
      <c r="I542" s="172">
        <f t="shared" si="5"/>
        <v>0</v>
      </c>
      <c r="J542" s="172">
        <f t="shared" si="5"/>
        <v>0</v>
      </c>
      <c r="K542" s="172">
        <f t="shared" si="5"/>
        <v>0</v>
      </c>
      <c r="L542" s="172">
        <f t="shared" si="5"/>
        <v>0</v>
      </c>
      <c r="M542" s="172">
        <f t="shared" si="5"/>
        <v>0</v>
      </c>
      <c r="N542" s="172">
        <f t="shared" si="5"/>
        <v>0</v>
      </c>
      <c r="O542" s="172">
        <f t="shared" si="5"/>
        <v>0</v>
      </c>
      <c r="P542" s="172">
        <f t="shared" si="5"/>
        <v>0</v>
      </c>
      <c r="Q542" s="172">
        <f t="shared" si="5"/>
        <v>1903</v>
      </c>
    </row>
  </sheetData>
  <pageMargins left="0.7" right="0.7" top="0.75" bottom="0.75" header="0.3" footer="0.3"/>
  <pageSetup paperSize="9" orientation="portrait" verticalDpi="598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D7EB-C289-4809-9A81-92DFFA2EDB4E}">
  <sheetPr>
    <tabColor rgb="FFC00000"/>
  </sheetPr>
  <dimension ref="A1:R884"/>
  <sheetViews>
    <sheetView zoomScale="70" zoomScaleNormal="70" workbookViewId="0">
      <pane ySplit="1" topLeftCell="A2" activePane="bottomLeft" state="frozen"/>
      <selection activeCell="C5" sqref="C5:D243"/>
      <selection pane="bottomLeft" activeCell="R2" sqref="R2"/>
    </sheetView>
  </sheetViews>
  <sheetFormatPr baseColWidth="10" defaultColWidth="11.42578125" defaultRowHeight="12.75" x14ac:dyDescent="0.2"/>
  <cols>
    <col min="1" max="1" width="11.42578125" style="190"/>
    <col min="2" max="2" width="11.42578125" style="191"/>
    <col min="3" max="3" width="17.85546875" style="191" customWidth="1"/>
    <col min="4" max="4" width="15.140625" style="191" customWidth="1"/>
    <col min="5" max="5" width="18.7109375" style="191" customWidth="1"/>
    <col min="6" max="6" width="11.85546875" style="190" customWidth="1"/>
    <col min="7" max="7" width="24.7109375" style="190" customWidth="1"/>
    <col min="8" max="8" width="20.28515625" style="190" customWidth="1"/>
    <col min="9" max="9" width="11.42578125" style="191"/>
    <col min="10" max="10" width="11.42578125" style="190"/>
    <col min="11" max="11" width="11.42578125" style="191"/>
    <col min="12" max="12" width="11.42578125" style="192"/>
    <col min="13" max="16" width="11.42578125" style="190"/>
    <col min="17" max="17" width="12.140625" style="190" customWidth="1"/>
    <col min="18" max="18" width="11.42578125" style="190"/>
    <col min="19" max="16384" width="11.42578125" style="191"/>
  </cols>
  <sheetData>
    <row r="1" spans="1:18" ht="36" customHeight="1" x14ac:dyDescent="0.2">
      <c r="A1" s="185" t="s">
        <v>188</v>
      </c>
      <c r="B1" s="186" t="s">
        <v>189</v>
      </c>
      <c r="C1" s="186" t="s">
        <v>190</v>
      </c>
      <c r="D1" s="186" t="s">
        <v>191</v>
      </c>
      <c r="E1" s="186" t="s">
        <v>192</v>
      </c>
      <c r="F1" s="206" t="s">
        <v>611</v>
      </c>
      <c r="G1" s="186" t="s">
        <v>193</v>
      </c>
      <c r="H1" s="187" t="s">
        <v>2</v>
      </c>
      <c r="I1" s="187" t="s">
        <v>76</v>
      </c>
      <c r="J1" s="187" t="s">
        <v>194</v>
      </c>
      <c r="K1" s="186" t="s">
        <v>195</v>
      </c>
      <c r="L1" s="186" t="s">
        <v>196</v>
      </c>
      <c r="M1" s="188" t="s">
        <v>197</v>
      </c>
      <c r="N1" s="187" t="s">
        <v>198</v>
      </c>
      <c r="O1" s="187" t="s">
        <v>199</v>
      </c>
      <c r="P1" s="187" t="s">
        <v>200</v>
      </c>
      <c r="Q1" s="187" t="s">
        <v>201</v>
      </c>
      <c r="R1" s="189" t="s">
        <v>612</v>
      </c>
    </row>
    <row r="2" spans="1:18" x14ac:dyDescent="0.2">
      <c r="A2" s="190" t="s">
        <v>50</v>
      </c>
      <c r="B2" s="191" t="s">
        <v>207</v>
      </c>
      <c r="C2" s="191" t="s">
        <v>187</v>
      </c>
      <c r="D2" s="191" t="s">
        <v>4</v>
      </c>
      <c r="E2" s="191" t="s">
        <v>202</v>
      </c>
      <c r="F2" s="190" t="s">
        <v>219</v>
      </c>
      <c r="G2" s="190" t="s">
        <v>203</v>
      </c>
      <c r="H2" s="190" t="s">
        <v>19</v>
      </c>
      <c r="I2" s="191" t="s">
        <v>283</v>
      </c>
      <c r="J2" s="190" t="s">
        <v>283</v>
      </c>
      <c r="K2" s="191" t="s">
        <v>240</v>
      </c>
      <c r="L2" s="192" t="s">
        <v>205</v>
      </c>
      <c r="M2" s="190" t="s">
        <v>206</v>
      </c>
      <c r="N2" s="190">
        <v>41000</v>
      </c>
      <c r="O2" s="190">
        <v>12809</v>
      </c>
      <c r="P2" s="190">
        <v>2</v>
      </c>
      <c r="Q2" s="190">
        <v>2024</v>
      </c>
      <c r="R2" s="190">
        <v>2</v>
      </c>
    </row>
    <row r="3" spans="1:18" x14ac:dyDescent="0.2">
      <c r="A3" s="190" t="s">
        <v>50</v>
      </c>
      <c r="B3" s="191" t="s">
        <v>207</v>
      </c>
      <c r="C3" s="191" t="s">
        <v>5</v>
      </c>
      <c r="D3" s="191" t="s">
        <v>249</v>
      </c>
      <c r="E3" s="191" t="s">
        <v>250</v>
      </c>
      <c r="F3" s="190" t="s">
        <v>250</v>
      </c>
      <c r="G3" s="190" t="s">
        <v>253</v>
      </c>
      <c r="H3" s="190" t="s">
        <v>65</v>
      </c>
      <c r="I3" s="191" t="s">
        <v>160</v>
      </c>
      <c r="J3" s="190" t="s">
        <v>254</v>
      </c>
      <c r="K3" s="191" t="s">
        <v>221</v>
      </c>
      <c r="L3" s="192" t="s">
        <v>205</v>
      </c>
      <c r="M3" s="190" t="s">
        <v>210</v>
      </c>
      <c r="N3" s="190">
        <v>6200</v>
      </c>
      <c r="O3" s="190">
        <v>4899</v>
      </c>
      <c r="P3" s="190">
        <v>33</v>
      </c>
      <c r="Q3" s="190">
        <v>2025</v>
      </c>
      <c r="R3" s="190">
        <v>1</v>
      </c>
    </row>
    <row r="4" spans="1:18" x14ac:dyDescent="0.2">
      <c r="A4" s="190" t="s">
        <v>50</v>
      </c>
      <c r="B4" s="191" t="s">
        <v>211</v>
      </c>
      <c r="C4" s="191" t="s">
        <v>187</v>
      </c>
      <c r="D4" s="191" t="s">
        <v>4</v>
      </c>
      <c r="E4" s="191" t="s">
        <v>212</v>
      </c>
      <c r="F4" s="190" t="s">
        <v>212</v>
      </c>
      <c r="G4" s="190" t="s">
        <v>208</v>
      </c>
      <c r="H4" s="190" t="s">
        <v>35</v>
      </c>
      <c r="I4" s="191" t="s">
        <v>473</v>
      </c>
      <c r="J4" s="190" t="s">
        <v>614</v>
      </c>
      <c r="K4" s="191" t="s">
        <v>213</v>
      </c>
      <c r="L4" s="192" t="s">
        <v>205</v>
      </c>
      <c r="M4" s="190" t="s">
        <v>210</v>
      </c>
      <c r="N4" s="190">
        <v>6500</v>
      </c>
      <c r="O4" s="190">
        <v>2499</v>
      </c>
      <c r="P4" s="190">
        <v>5</v>
      </c>
      <c r="Q4" s="190">
        <v>2025</v>
      </c>
      <c r="R4" s="190">
        <v>1</v>
      </c>
    </row>
    <row r="5" spans="1:18" x14ac:dyDescent="0.2">
      <c r="A5" s="190" t="s">
        <v>50</v>
      </c>
      <c r="B5" s="191" t="s">
        <v>211</v>
      </c>
      <c r="C5" s="191" t="s">
        <v>187</v>
      </c>
      <c r="D5" s="191" t="s">
        <v>4</v>
      </c>
      <c r="E5" s="191" t="s">
        <v>212</v>
      </c>
      <c r="F5" s="190" t="s">
        <v>212</v>
      </c>
      <c r="G5" s="190" t="s">
        <v>208</v>
      </c>
      <c r="H5" s="190" t="s">
        <v>23</v>
      </c>
      <c r="I5" s="191" t="s">
        <v>94</v>
      </c>
      <c r="J5" s="190" t="s">
        <v>94</v>
      </c>
      <c r="K5" s="191" t="s">
        <v>213</v>
      </c>
      <c r="L5" s="192" t="s">
        <v>205</v>
      </c>
      <c r="M5" s="190" t="s">
        <v>210</v>
      </c>
      <c r="N5" s="190">
        <v>6500</v>
      </c>
      <c r="O5" s="190">
        <v>2780</v>
      </c>
      <c r="P5" s="190">
        <v>3</v>
      </c>
      <c r="Q5" s="190">
        <v>2025</v>
      </c>
      <c r="R5" s="190">
        <v>1</v>
      </c>
    </row>
    <row r="6" spans="1:18" x14ac:dyDescent="0.2">
      <c r="A6" s="190" t="s">
        <v>50</v>
      </c>
      <c r="B6" s="191" t="s">
        <v>211</v>
      </c>
      <c r="C6" s="191" t="s">
        <v>187</v>
      </c>
      <c r="D6" s="191" t="s">
        <v>4</v>
      </c>
      <c r="E6" s="191" t="s">
        <v>212</v>
      </c>
      <c r="F6" s="190" t="s">
        <v>212</v>
      </c>
      <c r="G6" s="190" t="s">
        <v>208</v>
      </c>
      <c r="H6" s="190" t="s">
        <v>23</v>
      </c>
      <c r="I6" s="191" t="s">
        <v>305</v>
      </c>
      <c r="J6" s="190" t="s">
        <v>93</v>
      </c>
      <c r="K6" s="191" t="s">
        <v>213</v>
      </c>
      <c r="L6" s="192" t="s">
        <v>205</v>
      </c>
      <c r="M6" s="190" t="s">
        <v>210</v>
      </c>
      <c r="N6" s="190">
        <v>5900</v>
      </c>
      <c r="O6" s="190">
        <v>2771</v>
      </c>
      <c r="P6" s="190">
        <v>3</v>
      </c>
      <c r="Q6" s="190">
        <v>2024</v>
      </c>
      <c r="R6" s="190">
        <v>3</v>
      </c>
    </row>
    <row r="7" spans="1:18" x14ac:dyDescent="0.2">
      <c r="A7" s="190" t="s">
        <v>50</v>
      </c>
      <c r="B7" s="191" t="s">
        <v>211</v>
      </c>
      <c r="C7" s="191" t="s">
        <v>187</v>
      </c>
      <c r="D7" s="191" t="s">
        <v>4</v>
      </c>
      <c r="E7" s="191" t="s">
        <v>212</v>
      </c>
      <c r="F7" s="190" t="s">
        <v>212</v>
      </c>
      <c r="G7" s="190" t="s">
        <v>208</v>
      </c>
      <c r="H7" s="190" t="s">
        <v>29</v>
      </c>
      <c r="I7" s="191" t="s">
        <v>492</v>
      </c>
      <c r="J7" s="190" t="s">
        <v>615</v>
      </c>
      <c r="K7" s="191" t="s">
        <v>213</v>
      </c>
      <c r="L7" s="192" t="s">
        <v>205</v>
      </c>
      <c r="M7" s="190" t="s">
        <v>210</v>
      </c>
      <c r="N7" s="190">
        <v>8765</v>
      </c>
      <c r="O7" s="190">
        <v>3800</v>
      </c>
      <c r="P7" s="190">
        <v>3</v>
      </c>
      <c r="Q7" s="190">
        <v>2025</v>
      </c>
      <c r="R7" s="190">
        <v>2</v>
      </c>
    </row>
    <row r="8" spans="1:18" x14ac:dyDescent="0.2">
      <c r="A8" s="190" t="s">
        <v>50</v>
      </c>
      <c r="B8" s="191" t="s">
        <v>211</v>
      </c>
      <c r="C8" s="191" t="s">
        <v>187</v>
      </c>
      <c r="D8" s="191" t="s">
        <v>4</v>
      </c>
      <c r="E8" s="191" t="s">
        <v>212</v>
      </c>
      <c r="F8" s="190" t="s">
        <v>212</v>
      </c>
      <c r="G8" s="190" t="s">
        <v>208</v>
      </c>
      <c r="H8" s="190" t="s">
        <v>29</v>
      </c>
      <c r="I8" s="191" t="s">
        <v>124</v>
      </c>
      <c r="J8" s="190" t="s">
        <v>262</v>
      </c>
      <c r="K8" s="191" t="s">
        <v>213</v>
      </c>
      <c r="L8" s="192" t="s">
        <v>205</v>
      </c>
      <c r="M8" s="190" t="s">
        <v>210</v>
      </c>
      <c r="N8" s="190">
        <v>9280</v>
      </c>
      <c r="O8" s="190">
        <v>3760</v>
      </c>
      <c r="P8" s="190">
        <v>3</v>
      </c>
      <c r="Q8" s="190">
        <v>2025</v>
      </c>
      <c r="R8" s="190">
        <v>1</v>
      </c>
    </row>
    <row r="9" spans="1:18" x14ac:dyDescent="0.2">
      <c r="A9" s="190" t="s">
        <v>50</v>
      </c>
      <c r="B9" s="191" t="s">
        <v>211</v>
      </c>
      <c r="C9" s="191" t="s">
        <v>187</v>
      </c>
      <c r="D9" s="191" t="s">
        <v>4</v>
      </c>
      <c r="E9" s="191" t="s">
        <v>212</v>
      </c>
      <c r="F9" s="190" t="s">
        <v>212</v>
      </c>
      <c r="G9" s="190" t="s">
        <v>208</v>
      </c>
      <c r="H9" s="190" t="s">
        <v>29</v>
      </c>
      <c r="I9" s="191" t="s">
        <v>125</v>
      </c>
      <c r="J9" s="190" t="s">
        <v>215</v>
      </c>
      <c r="K9" s="191" t="s">
        <v>213</v>
      </c>
      <c r="L9" s="192" t="s">
        <v>205</v>
      </c>
      <c r="M9" s="190" t="s">
        <v>210</v>
      </c>
      <c r="N9" s="190">
        <v>10660</v>
      </c>
      <c r="O9" s="190">
        <v>3760</v>
      </c>
      <c r="P9" s="190">
        <v>3</v>
      </c>
      <c r="Q9" s="190">
        <v>2025</v>
      </c>
      <c r="R9" s="190">
        <v>1</v>
      </c>
    </row>
    <row r="10" spans="1:18" x14ac:dyDescent="0.2">
      <c r="A10" s="190" t="s">
        <v>50</v>
      </c>
      <c r="B10" s="191" t="s">
        <v>211</v>
      </c>
      <c r="C10" s="191" t="s">
        <v>187</v>
      </c>
      <c r="D10" s="191" t="s">
        <v>4</v>
      </c>
      <c r="E10" s="191" t="s">
        <v>212</v>
      </c>
      <c r="F10" s="190" t="s">
        <v>212</v>
      </c>
      <c r="G10" s="190" t="s">
        <v>208</v>
      </c>
      <c r="H10" s="190" t="s">
        <v>29</v>
      </c>
      <c r="I10" s="191" t="s">
        <v>311</v>
      </c>
      <c r="J10" s="190" t="s">
        <v>332</v>
      </c>
      <c r="K10" s="191" t="s">
        <v>213</v>
      </c>
      <c r="L10" s="192" t="s">
        <v>205</v>
      </c>
      <c r="M10" s="190" t="s">
        <v>210</v>
      </c>
      <c r="N10" s="190">
        <v>6560</v>
      </c>
      <c r="O10" s="190">
        <v>2746</v>
      </c>
      <c r="P10" s="190">
        <v>6</v>
      </c>
      <c r="Q10" s="190">
        <v>2025</v>
      </c>
      <c r="R10" s="190">
        <v>3</v>
      </c>
    </row>
    <row r="11" spans="1:18" x14ac:dyDescent="0.2">
      <c r="A11" s="190" t="s">
        <v>50</v>
      </c>
      <c r="B11" s="191" t="s">
        <v>211</v>
      </c>
      <c r="C11" s="191" t="s">
        <v>187</v>
      </c>
      <c r="D11" s="191" t="s">
        <v>4</v>
      </c>
      <c r="E11" s="191" t="s">
        <v>212</v>
      </c>
      <c r="F11" s="190" t="s">
        <v>212</v>
      </c>
      <c r="G11" s="190" t="s">
        <v>208</v>
      </c>
      <c r="H11" s="190" t="s">
        <v>39</v>
      </c>
      <c r="I11" s="191" t="s">
        <v>285</v>
      </c>
      <c r="J11" s="190" t="s">
        <v>286</v>
      </c>
      <c r="K11" s="191" t="s">
        <v>213</v>
      </c>
      <c r="L11" s="192" t="s">
        <v>205</v>
      </c>
      <c r="M11" s="190" t="s">
        <v>210</v>
      </c>
      <c r="N11" s="190">
        <v>6361</v>
      </c>
      <c r="O11" s="190">
        <v>2771</v>
      </c>
      <c r="P11" s="190">
        <v>3</v>
      </c>
      <c r="Q11" s="190">
        <v>2025</v>
      </c>
      <c r="R11" s="190">
        <v>2</v>
      </c>
    </row>
    <row r="12" spans="1:18" x14ac:dyDescent="0.2">
      <c r="A12" s="190" t="s">
        <v>50</v>
      </c>
      <c r="B12" s="191" t="s">
        <v>211</v>
      </c>
      <c r="C12" s="191" t="s">
        <v>187</v>
      </c>
      <c r="D12" s="191" t="s">
        <v>4</v>
      </c>
      <c r="E12" s="191" t="s">
        <v>212</v>
      </c>
      <c r="F12" s="190" t="s">
        <v>212</v>
      </c>
      <c r="G12" s="190" t="s">
        <v>208</v>
      </c>
      <c r="H12" s="190" t="s">
        <v>39</v>
      </c>
      <c r="I12" s="191" t="s">
        <v>285</v>
      </c>
      <c r="J12" s="190" t="s">
        <v>420</v>
      </c>
      <c r="K12" s="191" t="s">
        <v>213</v>
      </c>
      <c r="L12" s="192" t="s">
        <v>205</v>
      </c>
      <c r="M12" s="190" t="s">
        <v>210</v>
      </c>
      <c r="N12" s="190">
        <v>6361</v>
      </c>
      <c r="O12" s="190">
        <v>2771</v>
      </c>
      <c r="P12" s="190">
        <v>6</v>
      </c>
      <c r="Q12" s="190">
        <v>2025</v>
      </c>
      <c r="R12" s="190">
        <v>1</v>
      </c>
    </row>
    <row r="13" spans="1:18" x14ac:dyDescent="0.2">
      <c r="A13" s="190" t="s">
        <v>50</v>
      </c>
      <c r="B13" s="191" t="s">
        <v>211</v>
      </c>
      <c r="C13" s="191" t="s">
        <v>187</v>
      </c>
      <c r="D13" s="191" t="s">
        <v>4</v>
      </c>
      <c r="E13" s="191" t="s">
        <v>219</v>
      </c>
      <c r="F13" s="190" t="s">
        <v>219</v>
      </c>
      <c r="G13" s="190" t="s">
        <v>208</v>
      </c>
      <c r="H13" s="190" t="s">
        <v>35</v>
      </c>
      <c r="I13" s="191" t="s">
        <v>91</v>
      </c>
      <c r="J13" s="190" t="s">
        <v>271</v>
      </c>
      <c r="K13" s="191" t="s">
        <v>213</v>
      </c>
      <c r="L13" s="192" t="s">
        <v>205</v>
      </c>
      <c r="M13" s="190" t="s">
        <v>210</v>
      </c>
      <c r="N13" s="190">
        <v>6240</v>
      </c>
      <c r="O13" s="190">
        <v>2771</v>
      </c>
      <c r="P13" s="190">
        <v>3</v>
      </c>
      <c r="Q13" s="190">
        <v>2025</v>
      </c>
      <c r="R13" s="190">
        <v>1</v>
      </c>
    </row>
    <row r="14" spans="1:18" x14ac:dyDescent="0.2">
      <c r="A14" s="190" t="s">
        <v>50</v>
      </c>
      <c r="B14" s="191" t="s">
        <v>211</v>
      </c>
      <c r="C14" s="191" t="s">
        <v>187</v>
      </c>
      <c r="D14" s="191" t="s">
        <v>4</v>
      </c>
      <c r="E14" s="191" t="s">
        <v>219</v>
      </c>
      <c r="F14" s="190" t="s">
        <v>219</v>
      </c>
      <c r="G14" s="190" t="s">
        <v>208</v>
      </c>
      <c r="H14" s="190" t="s">
        <v>23</v>
      </c>
      <c r="I14" s="191" t="s">
        <v>482</v>
      </c>
      <c r="J14" s="190" t="s">
        <v>623</v>
      </c>
      <c r="K14" s="191" t="s">
        <v>213</v>
      </c>
      <c r="L14" s="192" t="s">
        <v>205</v>
      </c>
      <c r="M14" s="190" t="s">
        <v>210</v>
      </c>
      <c r="N14" s="190">
        <v>7500</v>
      </c>
      <c r="O14" s="190">
        <v>3760</v>
      </c>
      <c r="P14" s="190">
        <v>3</v>
      </c>
      <c r="Q14" s="190">
        <v>2024</v>
      </c>
      <c r="R14" s="190">
        <v>1</v>
      </c>
    </row>
    <row r="15" spans="1:18" x14ac:dyDescent="0.2">
      <c r="A15" s="190" t="s">
        <v>50</v>
      </c>
      <c r="B15" s="191" t="s">
        <v>211</v>
      </c>
      <c r="C15" s="191" t="s">
        <v>187</v>
      </c>
      <c r="D15" s="191" t="s">
        <v>4</v>
      </c>
      <c r="E15" s="191" t="s">
        <v>219</v>
      </c>
      <c r="F15" s="190" t="s">
        <v>219</v>
      </c>
      <c r="G15" s="190" t="s">
        <v>208</v>
      </c>
      <c r="H15" s="190" t="s">
        <v>34</v>
      </c>
      <c r="I15" s="191" t="s">
        <v>400</v>
      </c>
      <c r="J15" s="190" t="s">
        <v>72</v>
      </c>
      <c r="K15" s="191" t="s">
        <v>213</v>
      </c>
      <c r="L15" s="192" t="s">
        <v>205</v>
      </c>
      <c r="M15" s="190" t="s">
        <v>210</v>
      </c>
      <c r="N15" s="190">
        <v>10530</v>
      </c>
      <c r="O15" s="190">
        <v>3298</v>
      </c>
      <c r="P15" s="190">
        <v>3</v>
      </c>
      <c r="Q15" s="190">
        <v>2025</v>
      </c>
      <c r="R15" s="190">
        <v>2</v>
      </c>
    </row>
    <row r="16" spans="1:18" x14ac:dyDescent="0.2">
      <c r="A16" s="190" t="s">
        <v>50</v>
      </c>
      <c r="B16" s="191" t="s">
        <v>211</v>
      </c>
      <c r="C16" s="191" t="s">
        <v>187</v>
      </c>
      <c r="D16" s="191" t="s">
        <v>4</v>
      </c>
      <c r="E16" s="191" t="s">
        <v>219</v>
      </c>
      <c r="F16" s="190" t="s">
        <v>219</v>
      </c>
      <c r="G16" s="190" t="s">
        <v>203</v>
      </c>
      <c r="H16" s="190" t="s">
        <v>35</v>
      </c>
      <c r="I16" s="191" t="s">
        <v>474</v>
      </c>
      <c r="J16" s="190" t="s">
        <v>730</v>
      </c>
      <c r="K16" s="191" t="s">
        <v>213</v>
      </c>
      <c r="L16" s="192" t="s">
        <v>205</v>
      </c>
      <c r="M16" s="190" t="s">
        <v>210</v>
      </c>
      <c r="N16" s="190">
        <v>17709</v>
      </c>
      <c r="O16" s="190">
        <v>4460</v>
      </c>
      <c r="P16" s="190">
        <v>3</v>
      </c>
      <c r="Q16" s="190">
        <v>2025</v>
      </c>
      <c r="R16" s="190">
        <v>2</v>
      </c>
    </row>
    <row r="17" spans="1:18" x14ac:dyDescent="0.2">
      <c r="A17" s="190" t="s">
        <v>50</v>
      </c>
      <c r="B17" s="191" t="s">
        <v>211</v>
      </c>
      <c r="C17" s="191" t="s">
        <v>187</v>
      </c>
      <c r="D17" s="191" t="s">
        <v>4</v>
      </c>
      <c r="E17" s="191" t="s">
        <v>219</v>
      </c>
      <c r="F17" s="190" t="s">
        <v>219</v>
      </c>
      <c r="G17" s="190" t="s">
        <v>203</v>
      </c>
      <c r="H17" s="190" t="s">
        <v>29</v>
      </c>
      <c r="I17" s="191" t="s">
        <v>495</v>
      </c>
      <c r="J17" s="190" t="s">
        <v>690</v>
      </c>
      <c r="K17" s="191" t="s">
        <v>213</v>
      </c>
      <c r="L17" s="192" t="s">
        <v>205</v>
      </c>
      <c r="M17" s="190" t="s">
        <v>210</v>
      </c>
      <c r="N17" s="190">
        <v>15800</v>
      </c>
      <c r="O17" s="190">
        <v>4214</v>
      </c>
      <c r="P17" s="190">
        <v>3</v>
      </c>
      <c r="Q17" s="190">
        <v>2025</v>
      </c>
      <c r="R17" s="190">
        <v>1</v>
      </c>
    </row>
    <row r="18" spans="1:18" x14ac:dyDescent="0.2">
      <c r="A18" s="190" t="s">
        <v>50</v>
      </c>
      <c r="B18" s="191" t="s">
        <v>211</v>
      </c>
      <c r="C18" s="191" t="s">
        <v>187</v>
      </c>
      <c r="D18" s="191" t="s">
        <v>4</v>
      </c>
      <c r="E18" s="191" t="s">
        <v>219</v>
      </c>
      <c r="F18" s="190" t="s">
        <v>219</v>
      </c>
      <c r="G18" s="190" t="s">
        <v>203</v>
      </c>
      <c r="H18" s="190" t="s">
        <v>19</v>
      </c>
      <c r="I18" s="191" t="s">
        <v>505</v>
      </c>
      <c r="J18" s="190" t="s">
        <v>505</v>
      </c>
      <c r="K18" s="191" t="s">
        <v>240</v>
      </c>
      <c r="L18" s="192" t="s">
        <v>205</v>
      </c>
      <c r="M18" s="190" t="s">
        <v>218</v>
      </c>
      <c r="N18" s="190">
        <v>48000</v>
      </c>
      <c r="O18" s="190">
        <v>12800</v>
      </c>
      <c r="P18" s="190">
        <v>2</v>
      </c>
      <c r="Q18" s="190">
        <v>2025</v>
      </c>
      <c r="R18" s="190">
        <v>3</v>
      </c>
    </row>
    <row r="19" spans="1:18" x14ac:dyDescent="0.2">
      <c r="A19" s="190" t="s">
        <v>50</v>
      </c>
      <c r="B19" s="191" t="s">
        <v>211</v>
      </c>
      <c r="C19" s="191" t="s">
        <v>187</v>
      </c>
      <c r="D19" s="191" t="s">
        <v>4</v>
      </c>
      <c r="E19" s="191" t="s">
        <v>219</v>
      </c>
      <c r="F19" s="190" t="s">
        <v>219</v>
      </c>
      <c r="G19" s="190" t="s">
        <v>203</v>
      </c>
      <c r="H19" s="190" t="s">
        <v>31</v>
      </c>
      <c r="I19" s="191" t="s">
        <v>520</v>
      </c>
      <c r="J19" s="190" t="s">
        <v>520</v>
      </c>
      <c r="K19" s="191" t="s">
        <v>213</v>
      </c>
      <c r="L19" s="192" t="s">
        <v>205</v>
      </c>
      <c r="M19" s="190" t="s">
        <v>206</v>
      </c>
      <c r="N19" s="190">
        <v>41500</v>
      </c>
      <c r="O19" s="190">
        <v>12500</v>
      </c>
      <c r="P19" s="190">
        <v>2</v>
      </c>
      <c r="Q19" s="190">
        <v>2024</v>
      </c>
      <c r="R19" s="190">
        <v>1</v>
      </c>
    </row>
    <row r="20" spans="1:18" x14ac:dyDescent="0.2">
      <c r="A20" s="190" t="s">
        <v>50</v>
      </c>
      <c r="B20" s="191" t="s">
        <v>211</v>
      </c>
      <c r="C20" s="191" t="s">
        <v>187</v>
      </c>
      <c r="D20" s="191" t="s">
        <v>4</v>
      </c>
      <c r="E20" s="191" t="s">
        <v>219</v>
      </c>
      <c r="F20" s="190" t="s">
        <v>219</v>
      </c>
      <c r="G20" s="190" t="s">
        <v>203</v>
      </c>
      <c r="H20" s="190" t="s">
        <v>34</v>
      </c>
      <c r="I20" s="191" t="s">
        <v>319</v>
      </c>
      <c r="J20" s="190" t="s">
        <v>626</v>
      </c>
      <c r="K20" s="191" t="s">
        <v>213</v>
      </c>
      <c r="L20" s="192" t="s">
        <v>205</v>
      </c>
      <c r="M20" s="190" t="s">
        <v>210</v>
      </c>
      <c r="N20" s="190">
        <v>17735</v>
      </c>
      <c r="O20" s="190">
        <v>4500</v>
      </c>
      <c r="P20" s="190">
        <v>3</v>
      </c>
      <c r="Q20" s="190">
        <v>2025</v>
      </c>
      <c r="R20" s="190">
        <v>2</v>
      </c>
    </row>
    <row r="21" spans="1:18" x14ac:dyDescent="0.2">
      <c r="A21" s="190" t="s">
        <v>50</v>
      </c>
      <c r="B21" s="191" t="s">
        <v>211</v>
      </c>
      <c r="C21" s="191" t="s">
        <v>187</v>
      </c>
      <c r="D21" s="191" t="s">
        <v>4</v>
      </c>
      <c r="E21" s="191" t="s">
        <v>219</v>
      </c>
      <c r="F21" s="190" t="s">
        <v>219</v>
      </c>
      <c r="G21" s="190" t="s">
        <v>203</v>
      </c>
      <c r="H21" s="190" t="s">
        <v>34</v>
      </c>
      <c r="I21" s="191" t="s">
        <v>319</v>
      </c>
      <c r="J21" s="190" t="s">
        <v>626</v>
      </c>
      <c r="K21" s="191" t="s">
        <v>213</v>
      </c>
      <c r="L21" s="192" t="s">
        <v>205</v>
      </c>
      <c r="M21" s="190" t="s">
        <v>210</v>
      </c>
      <c r="N21" s="190">
        <v>17735</v>
      </c>
      <c r="O21" s="190">
        <v>4088</v>
      </c>
      <c r="P21" s="190">
        <v>3</v>
      </c>
      <c r="Q21" s="190">
        <v>2025</v>
      </c>
      <c r="R21" s="190">
        <v>1</v>
      </c>
    </row>
    <row r="22" spans="1:18" x14ac:dyDescent="0.2">
      <c r="A22" s="190" t="s">
        <v>50</v>
      </c>
      <c r="B22" s="191" t="s">
        <v>211</v>
      </c>
      <c r="C22" s="191" t="s">
        <v>187</v>
      </c>
      <c r="D22" s="191" t="s">
        <v>4</v>
      </c>
      <c r="E22" s="191" t="s">
        <v>219</v>
      </c>
      <c r="F22" s="190" t="s">
        <v>219</v>
      </c>
      <c r="G22" s="190" t="s">
        <v>203</v>
      </c>
      <c r="H22" s="190" t="s">
        <v>34</v>
      </c>
      <c r="I22" s="191" t="s">
        <v>364</v>
      </c>
      <c r="J22" s="190" t="s">
        <v>72</v>
      </c>
      <c r="K22" s="191" t="s">
        <v>213</v>
      </c>
      <c r="L22" s="192" t="s">
        <v>205</v>
      </c>
      <c r="M22" s="190" t="s">
        <v>210</v>
      </c>
      <c r="N22" s="190">
        <v>14120</v>
      </c>
      <c r="O22" s="190">
        <v>4088</v>
      </c>
      <c r="P22" s="190">
        <v>3</v>
      </c>
      <c r="Q22" s="190">
        <v>2025</v>
      </c>
      <c r="R22" s="190">
        <v>1</v>
      </c>
    </row>
    <row r="23" spans="1:18" x14ac:dyDescent="0.2">
      <c r="A23" s="190" t="s">
        <v>50</v>
      </c>
      <c r="B23" s="191" t="s">
        <v>211</v>
      </c>
      <c r="C23" s="191" t="s">
        <v>187</v>
      </c>
      <c r="D23" s="191" t="s">
        <v>4</v>
      </c>
      <c r="E23" s="191" t="s">
        <v>219</v>
      </c>
      <c r="F23" s="190" t="s">
        <v>219</v>
      </c>
      <c r="G23" s="190" t="s">
        <v>203</v>
      </c>
      <c r="H23" s="190" t="s">
        <v>34</v>
      </c>
      <c r="I23" s="191" t="s">
        <v>416</v>
      </c>
      <c r="J23" s="190" t="s">
        <v>333</v>
      </c>
      <c r="K23" s="191" t="s">
        <v>213</v>
      </c>
      <c r="L23" s="192" t="s">
        <v>205</v>
      </c>
      <c r="M23" s="190" t="s">
        <v>206</v>
      </c>
      <c r="N23" s="190">
        <v>35900</v>
      </c>
      <c r="O23" s="190">
        <v>10518</v>
      </c>
      <c r="P23" s="190">
        <v>2</v>
      </c>
      <c r="Q23" s="190">
        <v>2024</v>
      </c>
      <c r="R23" s="190">
        <v>5</v>
      </c>
    </row>
    <row r="24" spans="1:18" x14ac:dyDescent="0.2">
      <c r="A24" s="190" t="s">
        <v>50</v>
      </c>
      <c r="B24" s="191" t="s">
        <v>211</v>
      </c>
      <c r="C24" s="191" t="s">
        <v>187</v>
      </c>
      <c r="D24" s="191" t="s">
        <v>4</v>
      </c>
      <c r="E24" s="191" t="s">
        <v>202</v>
      </c>
      <c r="F24" s="190" t="s">
        <v>212</v>
      </c>
      <c r="G24" s="190" t="s">
        <v>208</v>
      </c>
      <c r="H24" s="190" t="s">
        <v>35</v>
      </c>
      <c r="I24" s="191" t="s">
        <v>469</v>
      </c>
      <c r="J24" s="190" t="s">
        <v>731</v>
      </c>
      <c r="K24" s="191" t="s">
        <v>213</v>
      </c>
      <c r="L24" s="192" t="s">
        <v>205</v>
      </c>
      <c r="M24" s="190" t="s">
        <v>210</v>
      </c>
      <c r="N24" s="190">
        <v>8150</v>
      </c>
      <c r="O24" s="190">
        <v>2977</v>
      </c>
      <c r="P24" s="190">
        <v>3</v>
      </c>
      <c r="Q24" s="190">
        <v>2023</v>
      </c>
      <c r="R24" s="190">
        <v>1</v>
      </c>
    </row>
    <row r="25" spans="1:18" x14ac:dyDescent="0.2">
      <c r="A25" s="190" t="s">
        <v>50</v>
      </c>
      <c r="B25" s="191" t="s">
        <v>211</v>
      </c>
      <c r="C25" s="191" t="s">
        <v>187</v>
      </c>
      <c r="D25" s="191" t="s">
        <v>4</v>
      </c>
      <c r="E25" s="191" t="s">
        <v>202</v>
      </c>
      <c r="F25" s="190" t="s">
        <v>212</v>
      </c>
      <c r="G25" s="190" t="s">
        <v>208</v>
      </c>
      <c r="H25" s="190" t="s">
        <v>23</v>
      </c>
      <c r="I25" s="191" t="s">
        <v>306</v>
      </c>
      <c r="J25" s="190" t="s">
        <v>98</v>
      </c>
      <c r="K25" s="191" t="s">
        <v>213</v>
      </c>
      <c r="L25" s="192" t="s">
        <v>205</v>
      </c>
      <c r="M25" s="190" t="s">
        <v>210</v>
      </c>
      <c r="N25" s="190">
        <v>6500</v>
      </c>
      <c r="O25" s="190">
        <v>2771</v>
      </c>
      <c r="P25" s="190">
        <v>3</v>
      </c>
      <c r="Q25" s="190">
        <v>2025</v>
      </c>
      <c r="R25" s="190">
        <v>1</v>
      </c>
    </row>
    <row r="26" spans="1:18" x14ac:dyDescent="0.2">
      <c r="A26" s="190" t="s">
        <v>50</v>
      </c>
      <c r="B26" s="191" t="s">
        <v>211</v>
      </c>
      <c r="C26" s="191" t="s">
        <v>187</v>
      </c>
      <c r="D26" s="191" t="s">
        <v>4</v>
      </c>
      <c r="E26" s="191" t="s">
        <v>202</v>
      </c>
      <c r="F26" s="190" t="s">
        <v>212</v>
      </c>
      <c r="G26" s="190" t="s">
        <v>208</v>
      </c>
      <c r="H26" s="190" t="s">
        <v>65</v>
      </c>
      <c r="I26" s="191" t="s">
        <v>101</v>
      </c>
      <c r="J26" s="190" t="s">
        <v>411</v>
      </c>
      <c r="K26" s="191" t="s">
        <v>221</v>
      </c>
      <c r="L26" s="192" t="s">
        <v>205</v>
      </c>
      <c r="M26" s="190" t="s">
        <v>210</v>
      </c>
      <c r="N26" s="190">
        <v>6499</v>
      </c>
      <c r="O26" s="190">
        <v>2998</v>
      </c>
      <c r="P26" s="190">
        <v>3</v>
      </c>
      <c r="Q26" s="190">
        <v>2025</v>
      </c>
      <c r="R26" s="190">
        <v>1</v>
      </c>
    </row>
    <row r="27" spans="1:18" x14ac:dyDescent="0.2">
      <c r="A27" s="190" t="s">
        <v>50</v>
      </c>
      <c r="B27" s="191" t="s">
        <v>211</v>
      </c>
      <c r="C27" s="191" t="s">
        <v>187</v>
      </c>
      <c r="D27" s="191" t="s">
        <v>4</v>
      </c>
      <c r="E27" s="191" t="s">
        <v>202</v>
      </c>
      <c r="F27" s="190" t="s">
        <v>212</v>
      </c>
      <c r="G27" s="190" t="s">
        <v>208</v>
      </c>
      <c r="H27" s="190" t="s">
        <v>65</v>
      </c>
      <c r="I27" s="191" t="s">
        <v>101</v>
      </c>
      <c r="J27" s="190" t="s">
        <v>409</v>
      </c>
      <c r="K27" s="191" t="s">
        <v>221</v>
      </c>
      <c r="L27" s="192" t="s">
        <v>205</v>
      </c>
      <c r="M27" s="190" t="s">
        <v>210</v>
      </c>
      <c r="N27" s="190">
        <v>7500</v>
      </c>
      <c r="O27" s="190">
        <v>2998</v>
      </c>
      <c r="P27" s="190">
        <v>3</v>
      </c>
      <c r="Q27" s="190">
        <v>2024</v>
      </c>
      <c r="R27" s="190">
        <v>6</v>
      </c>
    </row>
    <row r="28" spans="1:18" x14ac:dyDescent="0.2">
      <c r="A28" s="190" t="s">
        <v>50</v>
      </c>
      <c r="B28" s="191" t="s">
        <v>211</v>
      </c>
      <c r="C28" s="191" t="s">
        <v>187</v>
      </c>
      <c r="D28" s="191" t="s">
        <v>4</v>
      </c>
      <c r="E28" s="191" t="s">
        <v>202</v>
      </c>
      <c r="F28" s="190" t="s">
        <v>212</v>
      </c>
      <c r="G28" s="190" t="s">
        <v>208</v>
      </c>
      <c r="H28" s="190" t="s">
        <v>65</v>
      </c>
      <c r="I28" s="191" t="s">
        <v>101</v>
      </c>
      <c r="J28" s="190" t="s">
        <v>415</v>
      </c>
      <c r="K28" s="191" t="s">
        <v>221</v>
      </c>
      <c r="L28" s="192" t="s">
        <v>205</v>
      </c>
      <c r="M28" s="190" t="s">
        <v>210</v>
      </c>
      <c r="N28" s="190">
        <v>8550</v>
      </c>
      <c r="O28" s="190">
        <v>2998</v>
      </c>
      <c r="P28" s="190">
        <v>3</v>
      </c>
      <c r="Q28" s="190">
        <v>2025</v>
      </c>
      <c r="R28" s="190">
        <v>2</v>
      </c>
    </row>
    <row r="29" spans="1:18" x14ac:dyDescent="0.2">
      <c r="A29" s="190" t="s">
        <v>50</v>
      </c>
      <c r="B29" s="191" t="s">
        <v>211</v>
      </c>
      <c r="C29" s="191" t="s">
        <v>187</v>
      </c>
      <c r="D29" s="191" t="s">
        <v>4</v>
      </c>
      <c r="E29" s="191" t="s">
        <v>202</v>
      </c>
      <c r="F29" s="190" t="s">
        <v>212</v>
      </c>
      <c r="G29" s="190" t="s">
        <v>208</v>
      </c>
      <c r="H29" s="190" t="s">
        <v>65</v>
      </c>
      <c r="I29" s="191" t="s">
        <v>101</v>
      </c>
      <c r="J29" s="190" t="s">
        <v>413</v>
      </c>
      <c r="K29" s="191" t="s">
        <v>221</v>
      </c>
      <c r="L29" s="192" t="s">
        <v>205</v>
      </c>
      <c r="M29" s="190" t="s">
        <v>210</v>
      </c>
      <c r="N29" s="190">
        <v>5700</v>
      </c>
      <c r="O29" s="190">
        <v>2998</v>
      </c>
      <c r="P29" s="190">
        <v>3</v>
      </c>
      <c r="Q29" s="190">
        <v>2025</v>
      </c>
      <c r="R29" s="190">
        <v>1</v>
      </c>
    </row>
    <row r="30" spans="1:18" x14ac:dyDescent="0.2">
      <c r="A30" s="190" t="s">
        <v>50</v>
      </c>
      <c r="B30" s="191" t="s">
        <v>211</v>
      </c>
      <c r="C30" s="191" t="s">
        <v>187</v>
      </c>
      <c r="D30" s="191" t="s">
        <v>4</v>
      </c>
      <c r="E30" s="191" t="s">
        <v>202</v>
      </c>
      <c r="F30" s="190" t="s">
        <v>212</v>
      </c>
      <c r="G30" s="190" t="s">
        <v>208</v>
      </c>
      <c r="H30" s="190" t="s">
        <v>22</v>
      </c>
      <c r="I30" s="191" t="s">
        <v>106</v>
      </c>
      <c r="J30" s="190" t="s">
        <v>223</v>
      </c>
      <c r="K30" s="191" t="s">
        <v>221</v>
      </c>
      <c r="L30" s="192" t="s">
        <v>205</v>
      </c>
      <c r="M30" s="190" t="s">
        <v>210</v>
      </c>
      <c r="N30" s="190">
        <v>7500</v>
      </c>
      <c r="O30" s="190">
        <v>4009</v>
      </c>
      <c r="P30" s="190">
        <v>3</v>
      </c>
      <c r="Q30" s="190">
        <v>2025</v>
      </c>
      <c r="R30" s="190">
        <v>2</v>
      </c>
    </row>
    <row r="31" spans="1:18" x14ac:dyDescent="0.2">
      <c r="A31" s="190" t="s">
        <v>50</v>
      </c>
      <c r="B31" s="191" t="s">
        <v>211</v>
      </c>
      <c r="C31" s="191" t="s">
        <v>187</v>
      </c>
      <c r="D31" s="191" t="s">
        <v>4</v>
      </c>
      <c r="E31" s="191" t="s">
        <v>202</v>
      </c>
      <c r="F31" s="190" t="s">
        <v>212</v>
      </c>
      <c r="G31" s="190" t="s">
        <v>208</v>
      </c>
      <c r="H31" s="190" t="s">
        <v>22</v>
      </c>
      <c r="I31" s="191" t="s">
        <v>106</v>
      </c>
      <c r="J31" s="190" t="s">
        <v>225</v>
      </c>
      <c r="K31" s="191" t="s">
        <v>221</v>
      </c>
      <c r="L31" s="192" t="s">
        <v>205</v>
      </c>
      <c r="M31" s="190" t="s">
        <v>210</v>
      </c>
      <c r="N31" s="190">
        <v>7500</v>
      </c>
      <c r="O31" s="190">
        <v>4009</v>
      </c>
      <c r="P31" s="190">
        <v>7</v>
      </c>
      <c r="Q31" s="190">
        <v>2025</v>
      </c>
      <c r="R31" s="190">
        <v>1</v>
      </c>
    </row>
    <row r="32" spans="1:18" x14ac:dyDescent="0.2">
      <c r="A32" s="190" t="s">
        <v>50</v>
      </c>
      <c r="B32" s="191" t="s">
        <v>211</v>
      </c>
      <c r="C32" s="191" t="s">
        <v>187</v>
      </c>
      <c r="D32" s="191" t="s">
        <v>4</v>
      </c>
      <c r="E32" s="191" t="s">
        <v>202</v>
      </c>
      <c r="F32" s="190" t="s">
        <v>212</v>
      </c>
      <c r="G32" s="190" t="s">
        <v>208</v>
      </c>
      <c r="H32" s="190" t="s">
        <v>22</v>
      </c>
      <c r="I32" s="191" t="s">
        <v>484</v>
      </c>
      <c r="J32" s="190" t="s">
        <v>220</v>
      </c>
      <c r="K32" s="191" t="s">
        <v>221</v>
      </c>
      <c r="L32" s="192" t="s">
        <v>205</v>
      </c>
      <c r="M32" s="190" t="s">
        <v>210</v>
      </c>
      <c r="N32" s="190">
        <v>10500</v>
      </c>
      <c r="O32" s="190">
        <v>5123</v>
      </c>
      <c r="P32" s="190">
        <v>3</v>
      </c>
      <c r="Q32" s="190">
        <v>2025</v>
      </c>
      <c r="R32" s="190">
        <v>1</v>
      </c>
    </row>
    <row r="33" spans="1:18" x14ac:dyDescent="0.2">
      <c r="A33" s="190" t="s">
        <v>50</v>
      </c>
      <c r="B33" s="191" t="s">
        <v>211</v>
      </c>
      <c r="C33" s="191" t="s">
        <v>187</v>
      </c>
      <c r="D33" s="191" t="s">
        <v>4</v>
      </c>
      <c r="E33" s="191" t="s">
        <v>202</v>
      </c>
      <c r="F33" s="190" t="s">
        <v>212</v>
      </c>
      <c r="G33" s="190" t="s">
        <v>208</v>
      </c>
      <c r="H33" s="190" t="s">
        <v>22</v>
      </c>
      <c r="I33" s="191" t="s">
        <v>109</v>
      </c>
      <c r="J33" s="190" t="s">
        <v>220</v>
      </c>
      <c r="K33" s="191" t="s">
        <v>221</v>
      </c>
      <c r="L33" s="192" t="s">
        <v>205</v>
      </c>
      <c r="M33" s="190" t="s">
        <v>210</v>
      </c>
      <c r="N33" s="190">
        <v>10500</v>
      </c>
      <c r="O33" s="190">
        <v>5123</v>
      </c>
      <c r="P33" s="190">
        <v>3</v>
      </c>
      <c r="Q33" s="190">
        <v>2025</v>
      </c>
      <c r="R33" s="190">
        <v>1</v>
      </c>
    </row>
    <row r="34" spans="1:18" x14ac:dyDescent="0.2">
      <c r="A34" s="190" t="s">
        <v>50</v>
      </c>
      <c r="B34" s="191" t="s">
        <v>211</v>
      </c>
      <c r="C34" s="191" t="s">
        <v>187</v>
      </c>
      <c r="D34" s="191" t="s">
        <v>4</v>
      </c>
      <c r="E34" s="191" t="s">
        <v>202</v>
      </c>
      <c r="F34" s="190" t="s">
        <v>212</v>
      </c>
      <c r="G34" s="190" t="s">
        <v>208</v>
      </c>
      <c r="H34" s="190" t="s">
        <v>21</v>
      </c>
      <c r="I34" s="191" t="s">
        <v>112</v>
      </c>
      <c r="J34" s="190" t="s">
        <v>229</v>
      </c>
      <c r="K34" s="191" t="s">
        <v>213</v>
      </c>
      <c r="L34" s="192" t="s">
        <v>205</v>
      </c>
      <c r="M34" s="190" t="s">
        <v>210</v>
      </c>
      <c r="N34" s="190">
        <v>6500</v>
      </c>
      <c r="O34" s="190">
        <v>2891</v>
      </c>
      <c r="P34" s="190">
        <v>3</v>
      </c>
      <c r="Q34" s="190">
        <v>2025</v>
      </c>
      <c r="R34" s="190">
        <v>1</v>
      </c>
    </row>
    <row r="35" spans="1:18" x14ac:dyDescent="0.2">
      <c r="A35" s="190" t="s">
        <v>50</v>
      </c>
      <c r="B35" s="191" t="s">
        <v>211</v>
      </c>
      <c r="C35" s="191" t="s">
        <v>187</v>
      </c>
      <c r="D35" s="191" t="s">
        <v>4</v>
      </c>
      <c r="E35" s="191" t="s">
        <v>202</v>
      </c>
      <c r="F35" s="190" t="s">
        <v>212</v>
      </c>
      <c r="G35" s="190" t="s">
        <v>208</v>
      </c>
      <c r="H35" s="190" t="s">
        <v>21</v>
      </c>
      <c r="I35" s="191" t="s">
        <v>113</v>
      </c>
      <c r="J35" s="190" t="s">
        <v>220</v>
      </c>
      <c r="K35" s="191" t="s">
        <v>227</v>
      </c>
      <c r="L35" s="192" t="s">
        <v>205</v>
      </c>
      <c r="M35" s="190" t="s">
        <v>210</v>
      </c>
      <c r="N35" s="190">
        <v>7800</v>
      </c>
      <c r="O35" s="190">
        <v>2891</v>
      </c>
      <c r="P35" s="190">
        <v>3</v>
      </c>
      <c r="Q35" s="190">
        <v>2024</v>
      </c>
      <c r="R35" s="190">
        <v>3</v>
      </c>
    </row>
    <row r="36" spans="1:18" x14ac:dyDescent="0.2">
      <c r="A36" s="190" t="s">
        <v>50</v>
      </c>
      <c r="B36" s="191" t="s">
        <v>211</v>
      </c>
      <c r="C36" s="191" t="s">
        <v>187</v>
      </c>
      <c r="D36" s="191" t="s">
        <v>4</v>
      </c>
      <c r="E36" s="191" t="s">
        <v>202</v>
      </c>
      <c r="F36" s="190" t="s">
        <v>212</v>
      </c>
      <c r="G36" s="190" t="s">
        <v>208</v>
      </c>
      <c r="H36" s="190" t="s">
        <v>24</v>
      </c>
      <c r="I36" s="191" t="s">
        <v>114</v>
      </c>
      <c r="J36" s="190" t="s">
        <v>230</v>
      </c>
      <c r="K36" s="191" t="s">
        <v>221</v>
      </c>
      <c r="L36" s="192" t="s">
        <v>205</v>
      </c>
      <c r="M36" s="190" t="s">
        <v>210</v>
      </c>
      <c r="N36" s="190">
        <v>10400</v>
      </c>
      <c r="O36" s="190">
        <v>5193</v>
      </c>
      <c r="P36" s="190">
        <v>3</v>
      </c>
      <c r="Q36" s="190">
        <v>2025</v>
      </c>
      <c r="R36" s="190">
        <v>2</v>
      </c>
    </row>
    <row r="37" spans="1:18" x14ac:dyDescent="0.2">
      <c r="A37" s="190" t="s">
        <v>50</v>
      </c>
      <c r="B37" s="191" t="s">
        <v>211</v>
      </c>
      <c r="C37" s="191" t="s">
        <v>187</v>
      </c>
      <c r="D37" s="191" t="s">
        <v>4</v>
      </c>
      <c r="E37" s="191" t="s">
        <v>202</v>
      </c>
      <c r="F37" s="190" t="s">
        <v>212</v>
      </c>
      <c r="G37" s="190" t="s">
        <v>208</v>
      </c>
      <c r="H37" s="190" t="s">
        <v>24</v>
      </c>
      <c r="I37" s="191" t="s">
        <v>119</v>
      </c>
      <c r="J37" s="190" t="s">
        <v>232</v>
      </c>
      <c r="K37" s="191" t="s">
        <v>221</v>
      </c>
      <c r="L37" s="192" t="s">
        <v>205</v>
      </c>
      <c r="M37" s="190" t="s">
        <v>210</v>
      </c>
      <c r="N37" s="190">
        <v>7000</v>
      </c>
      <c r="O37" s="190">
        <v>5193</v>
      </c>
      <c r="P37" s="190">
        <v>3</v>
      </c>
      <c r="Q37" s="190">
        <v>2025</v>
      </c>
      <c r="R37" s="190">
        <v>4</v>
      </c>
    </row>
    <row r="38" spans="1:18" x14ac:dyDescent="0.2">
      <c r="A38" s="190" t="s">
        <v>50</v>
      </c>
      <c r="B38" s="191" t="s">
        <v>211</v>
      </c>
      <c r="C38" s="191" t="s">
        <v>187</v>
      </c>
      <c r="D38" s="191" t="s">
        <v>4</v>
      </c>
      <c r="E38" s="191" t="s">
        <v>202</v>
      </c>
      <c r="F38" s="190" t="s">
        <v>212</v>
      </c>
      <c r="G38" s="190" t="s">
        <v>208</v>
      </c>
      <c r="H38" s="190" t="s">
        <v>24</v>
      </c>
      <c r="I38" s="191" t="s">
        <v>120</v>
      </c>
      <c r="J38" s="190" t="s">
        <v>233</v>
      </c>
      <c r="K38" s="191" t="s">
        <v>221</v>
      </c>
      <c r="L38" s="192" t="s">
        <v>205</v>
      </c>
      <c r="M38" s="190" t="s">
        <v>210</v>
      </c>
      <c r="N38" s="190">
        <v>8000</v>
      </c>
      <c r="O38" s="190">
        <v>5193</v>
      </c>
      <c r="P38" s="190">
        <v>3</v>
      </c>
      <c r="Q38" s="190">
        <v>2025</v>
      </c>
      <c r="R38" s="190">
        <v>6</v>
      </c>
    </row>
    <row r="39" spans="1:18" x14ac:dyDescent="0.2">
      <c r="A39" s="190" t="s">
        <v>50</v>
      </c>
      <c r="B39" s="191" t="s">
        <v>211</v>
      </c>
      <c r="C39" s="191" t="s">
        <v>187</v>
      </c>
      <c r="D39" s="191" t="s">
        <v>4</v>
      </c>
      <c r="E39" s="191" t="s">
        <v>202</v>
      </c>
      <c r="F39" s="190" t="s">
        <v>212</v>
      </c>
      <c r="G39" s="190" t="s">
        <v>208</v>
      </c>
      <c r="H39" s="190" t="s">
        <v>24</v>
      </c>
      <c r="I39" s="191" t="s">
        <v>121</v>
      </c>
      <c r="J39" s="190" t="s">
        <v>232</v>
      </c>
      <c r="K39" s="191" t="s">
        <v>221</v>
      </c>
      <c r="L39" s="192" t="s">
        <v>205</v>
      </c>
      <c r="M39" s="190" t="s">
        <v>234</v>
      </c>
      <c r="N39" s="190">
        <v>6960</v>
      </c>
      <c r="O39" s="190">
        <v>5193</v>
      </c>
      <c r="P39" s="190">
        <v>3</v>
      </c>
      <c r="Q39" s="190">
        <v>2025</v>
      </c>
      <c r="R39" s="190">
        <v>5</v>
      </c>
    </row>
    <row r="40" spans="1:18" x14ac:dyDescent="0.2">
      <c r="A40" s="190" t="s">
        <v>50</v>
      </c>
      <c r="B40" s="191" t="s">
        <v>211</v>
      </c>
      <c r="C40" s="191" t="s">
        <v>187</v>
      </c>
      <c r="D40" s="191" t="s">
        <v>4</v>
      </c>
      <c r="E40" s="191" t="s">
        <v>202</v>
      </c>
      <c r="F40" s="190" t="s">
        <v>212</v>
      </c>
      <c r="G40" s="190" t="s">
        <v>208</v>
      </c>
      <c r="H40" s="190" t="s">
        <v>29</v>
      </c>
      <c r="I40" s="191" t="s">
        <v>123</v>
      </c>
      <c r="J40" s="190" t="s">
        <v>275</v>
      </c>
      <c r="K40" s="191" t="s">
        <v>213</v>
      </c>
      <c r="L40" s="192" t="s">
        <v>205</v>
      </c>
      <c r="M40" s="190" t="s">
        <v>210</v>
      </c>
      <c r="N40" s="190">
        <v>6160</v>
      </c>
      <c r="O40" s="190">
        <v>2746</v>
      </c>
      <c r="P40" s="190">
        <v>3</v>
      </c>
      <c r="Q40" s="190">
        <v>2025</v>
      </c>
      <c r="R40" s="190">
        <v>1</v>
      </c>
    </row>
    <row r="41" spans="1:18" x14ac:dyDescent="0.2">
      <c r="A41" s="190" t="s">
        <v>50</v>
      </c>
      <c r="B41" s="191" t="s">
        <v>211</v>
      </c>
      <c r="C41" s="191" t="s">
        <v>187</v>
      </c>
      <c r="D41" s="191" t="s">
        <v>4</v>
      </c>
      <c r="E41" s="191" t="s">
        <v>202</v>
      </c>
      <c r="F41" s="190" t="s">
        <v>212</v>
      </c>
      <c r="G41" s="190" t="s">
        <v>208</v>
      </c>
      <c r="H41" s="190" t="s">
        <v>29</v>
      </c>
      <c r="I41" s="191" t="s">
        <v>492</v>
      </c>
      <c r="J41" s="190" t="s">
        <v>630</v>
      </c>
      <c r="K41" s="191" t="s">
        <v>213</v>
      </c>
      <c r="L41" s="192" t="s">
        <v>205</v>
      </c>
      <c r="M41" s="190" t="s">
        <v>210</v>
      </c>
      <c r="N41" s="190">
        <v>7800</v>
      </c>
      <c r="O41" s="190">
        <v>3800</v>
      </c>
      <c r="P41" s="190">
        <v>3</v>
      </c>
      <c r="Q41" s="190">
        <v>2025</v>
      </c>
      <c r="R41" s="190">
        <v>1</v>
      </c>
    </row>
    <row r="42" spans="1:18" x14ac:dyDescent="0.2">
      <c r="A42" s="190" t="s">
        <v>50</v>
      </c>
      <c r="B42" s="191" t="s">
        <v>211</v>
      </c>
      <c r="C42" s="191" t="s">
        <v>187</v>
      </c>
      <c r="D42" s="191" t="s">
        <v>4</v>
      </c>
      <c r="E42" s="191" t="s">
        <v>202</v>
      </c>
      <c r="F42" s="190" t="s">
        <v>212</v>
      </c>
      <c r="G42" s="190" t="s">
        <v>208</v>
      </c>
      <c r="H42" s="190" t="s">
        <v>29</v>
      </c>
      <c r="I42" s="191" t="s">
        <v>125</v>
      </c>
      <c r="J42" s="190" t="s">
        <v>367</v>
      </c>
      <c r="K42" s="191" t="s">
        <v>213</v>
      </c>
      <c r="L42" s="192" t="s">
        <v>205</v>
      </c>
      <c r="M42" s="190" t="s">
        <v>210</v>
      </c>
      <c r="N42" s="190">
        <v>9900</v>
      </c>
      <c r="O42" s="190">
        <v>3760</v>
      </c>
      <c r="P42" s="190">
        <v>3</v>
      </c>
      <c r="Q42" s="190">
        <v>2025</v>
      </c>
      <c r="R42" s="190">
        <v>1</v>
      </c>
    </row>
    <row r="43" spans="1:18" x14ac:dyDescent="0.2">
      <c r="A43" s="190" t="s">
        <v>50</v>
      </c>
      <c r="B43" s="191" t="s">
        <v>211</v>
      </c>
      <c r="C43" s="191" t="s">
        <v>187</v>
      </c>
      <c r="D43" s="191" t="s">
        <v>4</v>
      </c>
      <c r="E43" s="191" t="s">
        <v>202</v>
      </c>
      <c r="F43" s="190" t="s">
        <v>212</v>
      </c>
      <c r="G43" s="190" t="s">
        <v>203</v>
      </c>
      <c r="H43" s="190" t="s">
        <v>24</v>
      </c>
      <c r="I43" s="191" t="s">
        <v>115</v>
      </c>
      <c r="J43" s="190" t="s">
        <v>238</v>
      </c>
      <c r="K43" s="191" t="s">
        <v>221</v>
      </c>
      <c r="L43" s="192" t="s">
        <v>205</v>
      </c>
      <c r="M43" s="190" t="s">
        <v>210</v>
      </c>
      <c r="N43" s="190">
        <v>15295</v>
      </c>
      <c r="O43" s="190">
        <v>7790</v>
      </c>
      <c r="P43" s="190">
        <v>3</v>
      </c>
      <c r="Q43" s="190">
        <v>2025</v>
      </c>
      <c r="R43" s="190">
        <v>1</v>
      </c>
    </row>
    <row r="44" spans="1:18" x14ac:dyDescent="0.2">
      <c r="A44" s="190" t="s">
        <v>50</v>
      </c>
      <c r="B44" s="191" t="s">
        <v>211</v>
      </c>
      <c r="C44" s="191" t="s">
        <v>187</v>
      </c>
      <c r="D44" s="191" t="s">
        <v>4</v>
      </c>
      <c r="E44" s="191" t="s">
        <v>202</v>
      </c>
      <c r="F44" s="190" t="s">
        <v>212</v>
      </c>
      <c r="G44" s="190" t="s">
        <v>203</v>
      </c>
      <c r="H44" s="190" t="s">
        <v>29</v>
      </c>
      <c r="I44" s="191" t="s">
        <v>126</v>
      </c>
      <c r="J44" s="190" t="s">
        <v>376</v>
      </c>
      <c r="K44" s="191" t="s">
        <v>213</v>
      </c>
      <c r="L44" s="192" t="s">
        <v>205</v>
      </c>
      <c r="M44" s="190" t="s">
        <v>210</v>
      </c>
      <c r="N44" s="190">
        <v>12590</v>
      </c>
      <c r="O44" s="190">
        <v>3760</v>
      </c>
      <c r="P44" s="190">
        <v>3</v>
      </c>
      <c r="Q44" s="190">
        <v>2025</v>
      </c>
      <c r="R44" s="190">
        <v>1</v>
      </c>
    </row>
    <row r="45" spans="1:18" x14ac:dyDescent="0.2">
      <c r="A45" s="190" t="s">
        <v>50</v>
      </c>
      <c r="B45" s="191" t="s">
        <v>211</v>
      </c>
      <c r="C45" s="191" t="s">
        <v>187</v>
      </c>
      <c r="D45" s="191" t="s">
        <v>4</v>
      </c>
      <c r="E45" s="191" t="s">
        <v>202</v>
      </c>
      <c r="F45" s="190" t="s">
        <v>212</v>
      </c>
      <c r="G45" s="190" t="s">
        <v>203</v>
      </c>
      <c r="H45" s="190" t="s">
        <v>19</v>
      </c>
      <c r="I45" s="191" t="s">
        <v>131</v>
      </c>
      <c r="J45" s="190" t="s">
        <v>270</v>
      </c>
      <c r="K45" s="191" t="s">
        <v>204</v>
      </c>
      <c r="L45" s="192" t="s">
        <v>205</v>
      </c>
      <c r="M45" s="190" t="s">
        <v>210</v>
      </c>
      <c r="N45" s="190">
        <v>14300</v>
      </c>
      <c r="O45" s="190">
        <v>4801</v>
      </c>
      <c r="P45" s="190">
        <v>2</v>
      </c>
      <c r="Q45" s="190">
        <v>2025</v>
      </c>
      <c r="R45" s="190">
        <v>1</v>
      </c>
    </row>
    <row r="46" spans="1:18" x14ac:dyDescent="0.2">
      <c r="A46" s="190" t="s">
        <v>50</v>
      </c>
      <c r="B46" s="191" t="s">
        <v>211</v>
      </c>
      <c r="C46" s="191" t="s">
        <v>187</v>
      </c>
      <c r="D46" s="191" t="s">
        <v>4</v>
      </c>
      <c r="E46" s="191" t="s">
        <v>202</v>
      </c>
      <c r="F46" s="190" t="s">
        <v>636</v>
      </c>
      <c r="G46" s="190" t="s">
        <v>203</v>
      </c>
      <c r="H46" s="190" t="s">
        <v>20</v>
      </c>
      <c r="I46" s="191" t="s">
        <v>142</v>
      </c>
      <c r="J46" s="190" t="s">
        <v>142</v>
      </c>
      <c r="K46" s="191" t="s">
        <v>204</v>
      </c>
      <c r="L46" s="192" t="s">
        <v>205</v>
      </c>
      <c r="M46" s="190" t="s">
        <v>218</v>
      </c>
      <c r="N46" s="190">
        <v>46000</v>
      </c>
      <c r="O46" s="190">
        <v>12800</v>
      </c>
      <c r="P46" s="190">
        <v>2</v>
      </c>
      <c r="Q46" s="190">
        <v>2025</v>
      </c>
      <c r="R46" s="190">
        <v>1</v>
      </c>
    </row>
    <row r="47" spans="1:18" x14ac:dyDescent="0.2">
      <c r="A47" s="190" t="s">
        <v>50</v>
      </c>
      <c r="B47" s="191" t="s">
        <v>211</v>
      </c>
      <c r="C47" s="191" t="s">
        <v>187</v>
      </c>
      <c r="D47" s="191" t="s">
        <v>4</v>
      </c>
      <c r="E47" s="191" t="s">
        <v>202</v>
      </c>
      <c r="F47" s="190" t="s">
        <v>269</v>
      </c>
      <c r="G47" s="190" t="s">
        <v>203</v>
      </c>
      <c r="H47" s="190" t="s">
        <v>19</v>
      </c>
      <c r="I47" s="191" t="s">
        <v>129</v>
      </c>
      <c r="J47" s="190" t="s">
        <v>265</v>
      </c>
      <c r="K47" s="191" t="s">
        <v>204</v>
      </c>
      <c r="L47" s="192" t="s">
        <v>205</v>
      </c>
      <c r="M47" s="190" t="s">
        <v>206</v>
      </c>
      <c r="N47" s="190">
        <v>33500</v>
      </c>
      <c r="O47" s="190">
        <v>7201</v>
      </c>
      <c r="P47" s="190">
        <v>2</v>
      </c>
      <c r="Q47" s="190">
        <v>2025</v>
      </c>
      <c r="R47" s="190">
        <v>1</v>
      </c>
    </row>
    <row r="48" spans="1:18" x14ac:dyDescent="0.2">
      <c r="A48" s="190" t="s">
        <v>50</v>
      </c>
      <c r="B48" s="191" t="s">
        <v>211</v>
      </c>
      <c r="C48" s="191" t="s">
        <v>187</v>
      </c>
      <c r="D48" s="191" t="s">
        <v>4</v>
      </c>
      <c r="E48" s="191" t="s">
        <v>202</v>
      </c>
      <c r="F48" s="190" t="s">
        <v>269</v>
      </c>
      <c r="G48" s="190" t="s">
        <v>203</v>
      </c>
      <c r="H48" s="190" t="s">
        <v>20</v>
      </c>
      <c r="I48" s="191" t="s">
        <v>142</v>
      </c>
      <c r="J48" s="190" t="s">
        <v>142</v>
      </c>
      <c r="K48" s="191" t="s">
        <v>204</v>
      </c>
      <c r="L48" s="192" t="s">
        <v>205</v>
      </c>
      <c r="M48" s="190" t="s">
        <v>218</v>
      </c>
      <c r="N48" s="190">
        <v>52000</v>
      </c>
      <c r="O48" s="190">
        <v>12800</v>
      </c>
      <c r="P48" s="190">
        <v>2</v>
      </c>
      <c r="Q48" s="190">
        <v>2025</v>
      </c>
      <c r="R48" s="190">
        <v>2</v>
      </c>
    </row>
    <row r="49" spans="1:18" x14ac:dyDescent="0.2">
      <c r="A49" s="190" t="s">
        <v>50</v>
      </c>
      <c r="B49" s="191" t="s">
        <v>211</v>
      </c>
      <c r="C49" s="191" t="s">
        <v>187</v>
      </c>
      <c r="D49" s="191" t="s">
        <v>4</v>
      </c>
      <c r="E49" s="191" t="s">
        <v>202</v>
      </c>
      <c r="F49" s="190" t="s">
        <v>622</v>
      </c>
      <c r="G49" s="190" t="s">
        <v>208</v>
      </c>
      <c r="H49" s="190" t="s">
        <v>65</v>
      </c>
      <c r="I49" s="191" t="s">
        <v>101</v>
      </c>
      <c r="J49" s="190" t="s">
        <v>409</v>
      </c>
      <c r="K49" s="191" t="s">
        <v>221</v>
      </c>
      <c r="L49" s="192" t="s">
        <v>205</v>
      </c>
      <c r="M49" s="190" t="s">
        <v>210</v>
      </c>
      <c r="N49" s="190">
        <v>7500</v>
      </c>
      <c r="O49" s="190">
        <v>2998</v>
      </c>
      <c r="P49" s="190">
        <v>3</v>
      </c>
      <c r="Q49" s="190">
        <v>2025</v>
      </c>
      <c r="R49" s="190">
        <v>2</v>
      </c>
    </row>
    <row r="50" spans="1:18" x14ac:dyDescent="0.2">
      <c r="A50" s="190" t="s">
        <v>50</v>
      </c>
      <c r="B50" s="191" t="s">
        <v>211</v>
      </c>
      <c r="C50" s="191" t="s">
        <v>187</v>
      </c>
      <c r="D50" s="191" t="s">
        <v>4</v>
      </c>
      <c r="E50" s="191" t="s">
        <v>202</v>
      </c>
      <c r="F50" s="190" t="s">
        <v>622</v>
      </c>
      <c r="G50" s="190" t="s">
        <v>208</v>
      </c>
      <c r="H50" s="190" t="s">
        <v>65</v>
      </c>
      <c r="I50" s="191" t="s">
        <v>102</v>
      </c>
      <c r="J50" s="190" t="s">
        <v>421</v>
      </c>
      <c r="K50" s="191" t="s">
        <v>245</v>
      </c>
      <c r="L50" s="192" t="s">
        <v>205</v>
      </c>
      <c r="M50" s="190" t="s">
        <v>210</v>
      </c>
      <c r="N50" s="190">
        <v>11990</v>
      </c>
      <c r="O50" s="190">
        <v>3907</v>
      </c>
      <c r="P50" s="190">
        <v>3</v>
      </c>
      <c r="Q50" s="190">
        <v>2025</v>
      </c>
      <c r="R50" s="190">
        <v>1</v>
      </c>
    </row>
    <row r="51" spans="1:18" x14ac:dyDescent="0.2">
      <c r="A51" s="190" t="s">
        <v>50</v>
      </c>
      <c r="B51" s="191" t="s">
        <v>211</v>
      </c>
      <c r="C51" s="191" t="s">
        <v>187</v>
      </c>
      <c r="D51" s="191" t="s">
        <v>4</v>
      </c>
      <c r="E51" s="191" t="s">
        <v>202</v>
      </c>
      <c r="F51" s="190" t="s">
        <v>622</v>
      </c>
      <c r="G51" s="190" t="s">
        <v>208</v>
      </c>
      <c r="H51" s="190" t="s">
        <v>22</v>
      </c>
      <c r="I51" s="191" t="s">
        <v>106</v>
      </c>
      <c r="J51" s="190" t="s">
        <v>223</v>
      </c>
      <c r="K51" s="191" t="s">
        <v>221</v>
      </c>
      <c r="L51" s="192" t="s">
        <v>205</v>
      </c>
      <c r="M51" s="190" t="s">
        <v>210</v>
      </c>
      <c r="N51" s="190">
        <v>8000</v>
      </c>
      <c r="O51" s="190">
        <v>4009</v>
      </c>
      <c r="P51" s="190">
        <v>3</v>
      </c>
      <c r="Q51" s="190">
        <v>2025</v>
      </c>
      <c r="R51" s="190">
        <v>1</v>
      </c>
    </row>
    <row r="52" spans="1:18" x14ac:dyDescent="0.2">
      <c r="A52" s="190" t="s">
        <v>50</v>
      </c>
      <c r="B52" s="191" t="s">
        <v>211</v>
      </c>
      <c r="C52" s="191" t="s">
        <v>187</v>
      </c>
      <c r="D52" s="191" t="s">
        <v>4</v>
      </c>
      <c r="E52" s="191" t="s">
        <v>202</v>
      </c>
      <c r="F52" s="190" t="s">
        <v>622</v>
      </c>
      <c r="G52" s="190" t="s">
        <v>203</v>
      </c>
      <c r="H52" s="190" t="s">
        <v>23</v>
      </c>
      <c r="I52" s="191" t="s">
        <v>356</v>
      </c>
      <c r="J52" s="190" t="s">
        <v>356</v>
      </c>
      <c r="K52" s="191" t="s">
        <v>213</v>
      </c>
      <c r="L52" s="192" t="s">
        <v>205</v>
      </c>
      <c r="M52" s="190" t="s">
        <v>210</v>
      </c>
      <c r="N52" s="190">
        <v>18000</v>
      </c>
      <c r="O52" s="190">
        <v>6700</v>
      </c>
      <c r="P52" s="190">
        <v>2</v>
      </c>
      <c r="Q52" s="190">
        <v>2025</v>
      </c>
      <c r="R52" s="190">
        <v>1</v>
      </c>
    </row>
    <row r="53" spans="1:18" x14ac:dyDescent="0.2">
      <c r="A53" s="190" t="s">
        <v>50</v>
      </c>
      <c r="B53" s="191" t="s">
        <v>211</v>
      </c>
      <c r="C53" s="191" t="s">
        <v>187</v>
      </c>
      <c r="D53" s="191" t="s">
        <v>4</v>
      </c>
      <c r="E53" s="191" t="s">
        <v>202</v>
      </c>
      <c r="F53" s="190" t="s">
        <v>216</v>
      </c>
      <c r="G53" s="190" t="s">
        <v>208</v>
      </c>
      <c r="H53" s="190" t="s">
        <v>23</v>
      </c>
      <c r="I53" s="191" t="s">
        <v>478</v>
      </c>
      <c r="J53" s="190" t="s">
        <v>478</v>
      </c>
      <c r="K53" s="191" t="s">
        <v>213</v>
      </c>
      <c r="L53" s="192" t="s">
        <v>205</v>
      </c>
      <c r="M53" s="190" t="s">
        <v>210</v>
      </c>
      <c r="N53" s="190">
        <v>10000</v>
      </c>
      <c r="O53" s="190">
        <v>3760</v>
      </c>
      <c r="P53" s="190">
        <v>3</v>
      </c>
      <c r="Q53" s="190">
        <v>2024</v>
      </c>
      <c r="R53" s="190">
        <v>1</v>
      </c>
    </row>
    <row r="54" spans="1:18" x14ac:dyDescent="0.2">
      <c r="A54" s="190" t="s">
        <v>50</v>
      </c>
      <c r="B54" s="191" t="s">
        <v>211</v>
      </c>
      <c r="C54" s="191" t="s">
        <v>187</v>
      </c>
      <c r="D54" s="191" t="s">
        <v>4</v>
      </c>
      <c r="E54" s="191" t="s">
        <v>202</v>
      </c>
      <c r="F54" s="190" t="s">
        <v>216</v>
      </c>
      <c r="G54" s="190" t="s">
        <v>208</v>
      </c>
      <c r="H54" s="190" t="s">
        <v>23</v>
      </c>
      <c r="I54" s="191" t="s">
        <v>478</v>
      </c>
      <c r="J54" s="190" t="s">
        <v>478</v>
      </c>
      <c r="K54" s="191" t="s">
        <v>213</v>
      </c>
      <c r="L54" s="192" t="s">
        <v>205</v>
      </c>
      <c r="M54" s="190" t="s">
        <v>210</v>
      </c>
      <c r="N54" s="190">
        <v>10000</v>
      </c>
      <c r="O54" s="190">
        <v>3760</v>
      </c>
      <c r="P54" s="190">
        <v>3</v>
      </c>
      <c r="Q54" s="190">
        <v>2025</v>
      </c>
      <c r="R54" s="190">
        <v>1</v>
      </c>
    </row>
    <row r="55" spans="1:18" x14ac:dyDescent="0.2">
      <c r="A55" s="190" t="s">
        <v>50</v>
      </c>
      <c r="B55" s="191" t="s">
        <v>211</v>
      </c>
      <c r="C55" s="191" t="s">
        <v>187</v>
      </c>
      <c r="D55" s="191" t="s">
        <v>4</v>
      </c>
      <c r="E55" s="191" t="s">
        <v>202</v>
      </c>
      <c r="F55" s="190" t="s">
        <v>216</v>
      </c>
      <c r="G55" s="190" t="s">
        <v>208</v>
      </c>
      <c r="H55" s="190" t="s">
        <v>22</v>
      </c>
      <c r="I55" s="191" t="s">
        <v>106</v>
      </c>
      <c r="J55" s="190" t="s">
        <v>222</v>
      </c>
      <c r="K55" s="191" t="s">
        <v>221</v>
      </c>
      <c r="L55" s="192" t="s">
        <v>205</v>
      </c>
      <c r="M55" s="190" t="s">
        <v>210</v>
      </c>
      <c r="N55" s="190">
        <v>7000</v>
      </c>
      <c r="O55" s="190">
        <v>4009</v>
      </c>
      <c r="P55" s="190">
        <v>3</v>
      </c>
      <c r="Q55" s="190">
        <v>2025</v>
      </c>
      <c r="R55" s="190">
        <v>1</v>
      </c>
    </row>
    <row r="56" spans="1:18" x14ac:dyDescent="0.2">
      <c r="A56" s="190" t="s">
        <v>50</v>
      </c>
      <c r="B56" s="191" t="s">
        <v>211</v>
      </c>
      <c r="C56" s="191" t="s">
        <v>187</v>
      </c>
      <c r="D56" s="191" t="s">
        <v>4</v>
      </c>
      <c r="E56" s="191" t="s">
        <v>202</v>
      </c>
      <c r="F56" s="190" t="s">
        <v>216</v>
      </c>
      <c r="G56" s="190" t="s">
        <v>208</v>
      </c>
      <c r="H56" s="190" t="s">
        <v>22</v>
      </c>
      <c r="I56" s="191" t="s">
        <v>106</v>
      </c>
      <c r="J56" s="190" t="s">
        <v>225</v>
      </c>
      <c r="K56" s="191" t="s">
        <v>221</v>
      </c>
      <c r="L56" s="192" t="s">
        <v>205</v>
      </c>
      <c r="M56" s="190" t="s">
        <v>210</v>
      </c>
      <c r="N56" s="190">
        <v>7500</v>
      </c>
      <c r="O56" s="190">
        <v>4009</v>
      </c>
      <c r="P56" s="190">
        <v>7</v>
      </c>
      <c r="Q56" s="190">
        <v>2025</v>
      </c>
      <c r="R56" s="190">
        <v>1</v>
      </c>
    </row>
    <row r="57" spans="1:18" x14ac:dyDescent="0.2">
      <c r="A57" s="190" t="s">
        <v>50</v>
      </c>
      <c r="B57" s="191" t="s">
        <v>211</v>
      </c>
      <c r="C57" s="191" t="s">
        <v>187</v>
      </c>
      <c r="D57" s="191" t="s">
        <v>4</v>
      </c>
      <c r="E57" s="191" t="s">
        <v>202</v>
      </c>
      <c r="F57" s="190" t="s">
        <v>216</v>
      </c>
      <c r="G57" s="190" t="s">
        <v>208</v>
      </c>
      <c r="H57" s="190" t="s">
        <v>21</v>
      </c>
      <c r="I57" s="191" t="s">
        <v>112</v>
      </c>
      <c r="J57" s="190" t="s">
        <v>229</v>
      </c>
      <c r="K57" s="191" t="s">
        <v>213</v>
      </c>
      <c r="L57" s="192" t="s">
        <v>205</v>
      </c>
      <c r="M57" s="190" t="s">
        <v>210</v>
      </c>
      <c r="N57" s="190">
        <v>6500</v>
      </c>
      <c r="O57" s="190">
        <v>2891</v>
      </c>
      <c r="P57" s="190">
        <v>3</v>
      </c>
      <c r="Q57" s="190">
        <v>2025</v>
      </c>
      <c r="R57" s="190">
        <v>1</v>
      </c>
    </row>
    <row r="58" spans="1:18" x14ac:dyDescent="0.2">
      <c r="A58" s="190" t="s">
        <v>50</v>
      </c>
      <c r="B58" s="191" t="s">
        <v>211</v>
      </c>
      <c r="C58" s="191" t="s">
        <v>187</v>
      </c>
      <c r="D58" s="191" t="s">
        <v>4</v>
      </c>
      <c r="E58" s="191" t="s">
        <v>202</v>
      </c>
      <c r="F58" s="190" t="s">
        <v>216</v>
      </c>
      <c r="G58" s="190" t="s">
        <v>208</v>
      </c>
      <c r="H58" s="190" t="s">
        <v>21</v>
      </c>
      <c r="I58" s="191" t="s">
        <v>113</v>
      </c>
      <c r="J58" s="190" t="s">
        <v>220</v>
      </c>
      <c r="K58" s="191" t="s">
        <v>227</v>
      </c>
      <c r="L58" s="192" t="s">
        <v>205</v>
      </c>
      <c r="M58" s="190" t="s">
        <v>210</v>
      </c>
      <c r="N58" s="190">
        <v>7800</v>
      </c>
      <c r="O58" s="190">
        <v>2891</v>
      </c>
      <c r="P58" s="190">
        <v>3</v>
      </c>
      <c r="Q58" s="190">
        <v>2024</v>
      </c>
      <c r="R58" s="190">
        <v>2</v>
      </c>
    </row>
    <row r="59" spans="1:18" x14ac:dyDescent="0.2">
      <c r="A59" s="190" t="s">
        <v>50</v>
      </c>
      <c r="B59" s="191" t="s">
        <v>211</v>
      </c>
      <c r="C59" s="191" t="s">
        <v>187</v>
      </c>
      <c r="D59" s="191" t="s">
        <v>4</v>
      </c>
      <c r="E59" s="191" t="s">
        <v>202</v>
      </c>
      <c r="F59" s="190" t="s">
        <v>216</v>
      </c>
      <c r="G59" s="190" t="s">
        <v>208</v>
      </c>
      <c r="H59" s="190" t="s">
        <v>24</v>
      </c>
      <c r="I59" s="191" t="s">
        <v>114</v>
      </c>
      <c r="J59" s="190" t="s">
        <v>230</v>
      </c>
      <c r="K59" s="191" t="s">
        <v>221</v>
      </c>
      <c r="L59" s="192" t="s">
        <v>205</v>
      </c>
      <c r="M59" s="190" t="s">
        <v>210</v>
      </c>
      <c r="N59" s="190">
        <v>10400</v>
      </c>
      <c r="O59" s="190">
        <v>5193</v>
      </c>
      <c r="P59" s="190">
        <v>3</v>
      </c>
      <c r="Q59" s="190">
        <v>2025</v>
      </c>
      <c r="R59" s="190">
        <v>1</v>
      </c>
    </row>
    <row r="60" spans="1:18" x14ac:dyDescent="0.2">
      <c r="A60" s="190" t="s">
        <v>50</v>
      </c>
      <c r="B60" s="191" t="s">
        <v>211</v>
      </c>
      <c r="C60" s="191" t="s">
        <v>187</v>
      </c>
      <c r="D60" s="191" t="s">
        <v>4</v>
      </c>
      <c r="E60" s="191" t="s">
        <v>202</v>
      </c>
      <c r="F60" s="190" t="s">
        <v>216</v>
      </c>
      <c r="G60" s="190" t="s">
        <v>208</v>
      </c>
      <c r="H60" s="190" t="s">
        <v>24</v>
      </c>
      <c r="I60" s="191" t="s">
        <v>120</v>
      </c>
      <c r="J60" s="190" t="s">
        <v>233</v>
      </c>
      <c r="K60" s="191" t="s">
        <v>221</v>
      </c>
      <c r="L60" s="192" t="s">
        <v>205</v>
      </c>
      <c r="M60" s="190" t="s">
        <v>210</v>
      </c>
      <c r="N60" s="190">
        <v>8000</v>
      </c>
      <c r="O60" s="190">
        <v>5193</v>
      </c>
      <c r="P60" s="190">
        <v>3</v>
      </c>
      <c r="Q60" s="190">
        <v>2025</v>
      </c>
      <c r="R60" s="190">
        <v>1</v>
      </c>
    </row>
    <row r="61" spans="1:18" x14ac:dyDescent="0.2">
      <c r="A61" s="190" t="s">
        <v>50</v>
      </c>
      <c r="B61" s="191" t="s">
        <v>211</v>
      </c>
      <c r="C61" s="191" t="s">
        <v>187</v>
      </c>
      <c r="D61" s="191" t="s">
        <v>4</v>
      </c>
      <c r="E61" s="191" t="s">
        <v>202</v>
      </c>
      <c r="F61" s="190" t="s">
        <v>216</v>
      </c>
      <c r="G61" s="190" t="s">
        <v>203</v>
      </c>
      <c r="H61" s="190" t="s">
        <v>23</v>
      </c>
      <c r="I61" s="191" t="s">
        <v>356</v>
      </c>
      <c r="J61" s="190" t="s">
        <v>356</v>
      </c>
      <c r="K61" s="191" t="s">
        <v>213</v>
      </c>
      <c r="L61" s="192" t="s">
        <v>205</v>
      </c>
      <c r="M61" s="190" t="s">
        <v>210</v>
      </c>
      <c r="N61" s="190">
        <v>18000</v>
      </c>
      <c r="O61" s="190">
        <v>6700</v>
      </c>
      <c r="P61" s="190">
        <v>2</v>
      </c>
      <c r="Q61" s="190">
        <v>2025</v>
      </c>
      <c r="R61" s="190">
        <v>1</v>
      </c>
    </row>
    <row r="62" spans="1:18" x14ac:dyDescent="0.2">
      <c r="A62" s="190" t="s">
        <v>50</v>
      </c>
      <c r="B62" s="191" t="s">
        <v>211</v>
      </c>
      <c r="C62" s="191" t="s">
        <v>187</v>
      </c>
      <c r="D62" s="191" t="s">
        <v>4</v>
      </c>
      <c r="E62" s="191" t="s">
        <v>202</v>
      </c>
      <c r="F62" s="190" t="s">
        <v>216</v>
      </c>
      <c r="G62" s="190" t="s">
        <v>203</v>
      </c>
      <c r="H62" s="190" t="s">
        <v>23</v>
      </c>
      <c r="I62" s="191" t="s">
        <v>307</v>
      </c>
      <c r="J62" s="190" t="s">
        <v>307</v>
      </c>
      <c r="K62" s="191" t="s">
        <v>213</v>
      </c>
      <c r="L62" s="192" t="s">
        <v>205</v>
      </c>
      <c r="M62" s="190" t="s">
        <v>242</v>
      </c>
      <c r="N62" s="190">
        <v>25000</v>
      </c>
      <c r="O62" s="190">
        <v>6700</v>
      </c>
      <c r="P62" s="190">
        <v>2</v>
      </c>
      <c r="Q62" s="190">
        <v>2024</v>
      </c>
      <c r="R62" s="190">
        <v>1</v>
      </c>
    </row>
    <row r="63" spans="1:18" x14ac:dyDescent="0.2">
      <c r="A63" s="190" t="s">
        <v>50</v>
      </c>
      <c r="B63" s="191" t="s">
        <v>211</v>
      </c>
      <c r="C63" s="191" t="s">
        <v>187</v>
      </c>
      <c r="D63" s="191" t="s">
        <v>4</v>
      </c>
      <c r="E63" s="191" t="s">
        <v>202</v>
      </c>
      <c r="F63" s="190" t="s">
        <v>216</v>
      </c>
      <c r="G63" s="190" t="s">
        <v>203</v>
      </c>
      <c r="H63" s="190" t="s">
        <v>22</v>
      </c>
      <c r="I63" s="191" t="s">
        <v>107</v>
      </c>
      <c r="J63" s="190" t="s">
        <v>220</v>
      </c>
      <c r="K63" s="191" t="s">
        <v>221</v>
      </c>
      <c r="L63" s="192" t="s">
        <v>205</v>
      </c>
      <c r="M63" s="190" t="s">
        <v>210</v>
      </c>
      <c r="N63" s="190">
        <v>12500</v>
      </c>
      <c r="O63" s="190">
        <v>7684</v>
      </c>
      <c r="P63" s="190">
        <v>3</v>
      </c>
      <c r="Q63" s="190">
        <v>2025</v>
      </c>
      <c r="R63" s="190">
        <v>1</v>
      </c>
    </row>
    <row r="64" spans="1:18" x14ac:dyDescent="0.2">
      <c r="A64" s="190" t="s">
        <v>50</v>
      </c>
      <c r="B64" s="191" t="s">
        <v>211</v>
      </c>
      <c r="C64" s="191" t="s">
        <v>187</v>
      </c>
      <c r="D64" s="191" t="s">
        <v>4</v>
      </c>
      <c r="E64" s="191" t="s">
        <v>202</v>
      </c>
      <c r="F64" s="190" t="s">
        <v>216</v>
      </c>
      <c r="G64" s="190" t="s">
        <v>203</v>
      </c>
      <c r="H64" s="190" t="s">
        <v>24</v>
      </c>
      <c r="I64" s="191" t="s">
        <v>116</v>
      </c>
      <c r="J64" s="190" t="s">
        <v>239</v>
      </c>
      <c r="K64" s="191" t="s">
        <v>221</v>
      </c>
      <c r="L64" s="192" t="s">
        <v>205</v>
      </c>
      <c r="M64" s="190" t="s">
        <v>210</v>
      </c>
      <c r="N64" s="190">
        <v>18630</v>
      </c>
      <c r="O64" s="190">
        <v>7790</v>
      </c>
      <c r="P64" s="190">
        <v>3</v>
      </c>
      <c r="Q64" s="190">
        <v>2025</v>
      </c>
      <c r="R64" s="190">
        <v>1</v>
      </c>
    </row>
    <row r="65" spans="1:18" x14ac:dyDescent="0.2">
      <c r="A65" s="190" t="s">
        <v>50</v>
      </c>
      <c r="B65" s="191" t="s">
        <v>211</v>
      </c>
      <c r="C65" s="191" t="s">
        <v>187</v>
      </c>
      <c r="D65" s="191" t="s">
        <v>4</v>
      </c>
      <c r="E65" s="191" t="s">
        <v>202</v>
      </c>
      <c r="F65" s="190" t="s">
        <v>617</v>
      </c>
      <c r="G65" s="190" t="s">
        <v>208</v>
      </c>
      <c r="H65" s="190" t="s">
        <v>65</v>
      </c>
      <c r="I65" s="191" t="s">
        <v>101</v>
      </c>
      <c r="J65" s="190" t="s">
        <v>415</v>
      </c>
      <c r="K65" s="191" t="s">
        <v>221</v>
      </c>
      <c r="L65" s="192" t="s">
        <v>205</v>
      </c>
      <c r="M65" s="190" t="s">
        <v>210</v>
      </c>
      <c r="N65" s="190">
        <v>8550</v>
      </c>
      <c r="O65" s="190">
        <v>2998</v>
      </c>
      <c r="P65" s="190">
        <v>3</v>
      </c>
      <c r="Q65" s="190">
        <v>2025</v>
      </c>
      <c r="R65" s="190">
        <v>1</v>
      </c>
    </row>
    <row r="66" spans="1:18" x14ac:dyDescent="0.2">
      <c r="A66" s="190" t="s">
        <v>50</v>
      </c>
      <c r="B66" s="191" t="s">
        <v>211</v>
      </c>
      <c r="C66" s="191" t="s">
        <v>187</v>
      </c>
      <c r="D66" s="191" t="s">
        <v>4</v>
      </c>
      <c r="E66" s="191" t="s">
        <v>202</v>
      </c>
      <c r="F66" s="190" t="s">
        <v>617</v>
      </c>
      <c r="G66" s="190" t="s">
        <v>208</v>
      </c>
      <c r="H66" s="190" t="s">
        <v>24</v>
      </c>
      <c r="I66" s="191" t="s">
        <v>120</v>
      </c>
      <c r="J66" s="190" t="s">
        <v>233</v>
      </c>
      <c r="K66" s="191" t="s">
        <v>221</v>
      </c>
      <c r="L66" s="192" t="s">
        <v>205</v>
      </c>
      <c r="M66" s="190" t="s">
        <v>210</v>
      </c>
      <c r="N66" s="190">
        <v>8000</v>
      </c>
      <c r="O66" s="190">
        <v>5193</v>
      </c>
      <c r="P66" s="190">
        <v>3</v>
      </c>
      <c r="Q66" s="190">
        <v>2025</v>
      </c>
      <c r="R66" s="190">
        <v>1</v>
      </c>
    </row>
    <row r="67" spans="1:18" x14ac:dyDescent="0.2">
      <c r="A67" s="190" t="s">
        <v>50</v>
      </c>
      <c r="B67" s="191" t="s">
        <v>211</v>
      </c>
      <c r="C67" s="191" t="s">
        <v>187</v>
      </c>
      <c r="D67" s="191" t="s">
        <v>4</v>
      </c>
      <c r="E67" s="191" t="s">
        <v>202</v>
      </c>
      <c r="F67" s="190" t="s">
        <v>646</v>
      </c>
      <c r="G67" s="190" t="s">
        <v>208</v>
      </c>
      <c r="H67" s="190" t="s">
        <v>21</v>
      </c>
      <c r="I67" s="191" t="s">
        <v>310</v>
      </c>
      <c r="J67" s="190" t="s">
        <v>226</v>
      </c>
      <c r="K67" s="191" t="s">
        <v>227</v>
      </c>
      <c r="L67" s="192" t="s">
        <v>205</v>
      </c>
      <c r="M67" s="190" t="s">
        <v>210</v>
      </c>
      <c r="N67" s="190">
        <v>10300</v>
      </c>
      <c r="O67" s="190">
        <v>3933</v>
      </c>
      <c r="P67" s="190">
        <v>3</v>
      </c>
      <c r="Q67" s="190">
        <v>2024</v>
      </c>
      <c r="R67" s="190">
        <v>1</v>
      </c>
    </row>
    <row r="68" spans="1:18" x14ac:dyDescent="0.2">
      <c r="A68" s="190" t="s">
        <v>50</v>
      </c>
      <c r="B68" s="191" t="s">
        <v>211</v>
      </c>
      <c r="C68" s="191" t="s">
        <v>187</v>
      </c>
      <c r="D68" s="191" t="s">
        <v>4</v>
      </c>
      <c r="E68" s="191" t="s">
        <v>202</v>
      </c>
      <c r="F68" s="190" t="s">
        <v>219</v>
      </c>
      <c r="G68" s="190" t="s">
        <v>208</v>
      </c>
      <c r="H68" s="190" t="s">
        <v>21</v>
      </c>
      <c r="I68" s="191" t="s">
        <v>110</v>
      </c>
      <c r="J68" s="190" t="s">
        <v>226</v>
      </c>
      <c r="K68" s="191" t="s">
        <v>227</v>
      </c>
      <c r="L68" s="192" t="s">
        <v>205</v>
      </c>
      <c r="M68" s="190" t="s">
        <v>210</v>
      </c>
      <c r="N68" s="190">
        <v>9700</v>
      </c>
      <c r="O68" s="190">
        <v>3933</v>
      </c>
      <c r="P68" s="190">
        <v>3</v>
      </c>
      <c r="Q68" s="190">
        <v>2025</v>
      </c>
      <c r="R68" s="190">
        <v>1</v>
      </c>
    </row>
    <row r="69" spans="1:18" x14ac:dyDescent="0.2">
      <c r="A69" s="190" t="s">
        <v>50</v>
      </c>
      <c r="B69" s="191" t="s">
        <v>211</v>
      </c>
      <c r="C69" s="191" t="s">
        <v>187</v>
      </c>
      <c r="D69" s="191" t="s">
        <v>4</v>
      </c>
      <c r="E69" s="191" t="s">
        <v>202</v>
      </c>
      <c r="F69" s="190" t="s">
        <v>219</v>
      </c>
      <c r="G69" s="190" t="s">
        <v>208</v>
      </c>
      <c r="H69" s="190" t="s">
        <v>24</v>
      </c>
      <c r="I69" s="191" t="s">
        <v>121</v>
      </c>
      <c r="J69" s="190" t="s">
        <v>232</v>
      </c>
      <c r="K69" s="191" t="s">
        <v>221</v>
      </c>
      <c r="L69" s="192" t="s">
        <v>205</v>
      </c>
      <c r="M69" s="190" t="s">
        <v>234</v>
      </c>
      <c r="N69" s="190">
        <v>6960</v>
      </c>
      <c r="O69" s="190">
        <v>5193</v>
      </c>
      <c r="P69" s="190">
        <v>3</v>
      </c>
      <c r="Q69" s="190">
        <v>2025</v>
      </c>
      <c r="R69" s="190">
        <v>2</v>
      </c>
    </row>
    <row r="70" spans="1:18" x14ac:dyDescent="0.2">
      <c r="A70" s="190" t="s">
        <v>50</v>
      </c>
      <c r="B70" s="191" t="s">
        <v>211</v>
      </c>
      <c r="C70" s="191" t="s">
        <v>187</v>
      </c>
      <c r="D70" s="191" t="s">
        <v>4</v>
      </c>
      <c r="E70" s="191" t="s">
        <v>202</v>
      </c>
      <c r="F70" s="190" t="s">
        <v>219</v>
      </c>
      <c r="G70" s="190" t="s">
        <v>203</v>
      </c>
      <c r="H70" s="190" t="s">
        <v>19</v>
      </c>
      <c r="I70" s="191" t="s">
        <v>283</v>
      </c>
      <c r="J70" s="190" t="s">
        <v>283</v>
      </c>
      <c r="K70" s="191" t="s">
        <v>240</v>
      </c>
      <c r="L70" s="192" t="s">
        <v>205</v>
      </c>
      <c r="M70" s="190" t="s">
        <v>206</v>
      </c>
      <c r="N70" s="190">
        <v>41000</v>
      </c>
      <c r="O70" s="190">
        <v>12809</v>
      </c>
      <c r="P70" s="190">
        <v>2</v>
      </c>
      <c r="Q70" s="190">
        <v>2024</v>
      </c>
      <c r="R70" s="190">
        <v>1</v>
      </c>
    </row>
    <row r="71" spans="1:18" x14ac:dyDescent="0.2">
      <c r="A71" s="190" t="s">
        <v>50</v>
      </c>
      <c r="B71" s="191" t="s">
        <v>211</v>
      </c>
      <c r="C71" s="191" t="s">
        <v>187</v>
      </c>
      <c r="D71" s="191" t="s">
        <v>4</v>
      </c>
      <c r="E71" s="191" t="s">
        <v>202</v>
      </c>
      <c r="F71" s="190" t="s">
        <v>219</v>
      </c>
      <c r="G71" s="190" t="s">
        <v>203</v>
      </c>
      <c r="H71" s="190" t="s">
        <v>19</v>
      </c>
      <c r="I71" s="191" t="s">
        <v>283</v>
      </c>
      <c r="J71" s="190" t="s">
        <v>283</v>
      </c>
      <c r="K71" s="191" t="s">
        <v>240</v>
      </c>
      <c r="L71" s="192" t="s">
        <v>205</v>
      </c>
      <c r="M71" s="190" t="s">
        <v>206</v>
      </c>
      <c r="N71" s="190">
        <v>41000</v>
      </c>
      <c r="O71" s="190">
        <v>12809</v>
      </c>
      <c r="P71" s="190">
        <v>2</v>
      </c>
      <c r="Q71" s="190">
        <v>2025</v>
      </c>
      <c r="R71" s="190">
        <v>2</v>
      </c>
    </row>
    <row r="72" spans="1:18" x14ac:dyDescent="0.2">
      <c r="A72" s="190" t="s">
        <v>50</v>
      </c>
      <c r="B72" s="191" t="s">
        <v>211</v>
      </c>
      <c r="C72" s="191" t="s">
        <v>187</v>
      </c>
      <c r="D72" s="191" t="s">
        <v>4</v>
      </c>
      <c r="E72" s="191" t="s">
        <v>202</v>
      </c>
      <c r="F72" s="190" t="s">
        <v>219</v>
      </c>
      <c r="G72" s="190" t="s">
        <v>203</v>
      </c>
      <c r="H72" s="190" t="s">
        <v>20</v>
      </c>
      <c r="I72" s="191" t="s">
        <v>141</v>
      </c>
      <c r="J72" s="190" t="s">
        <v>141</v>
      </c>
      <c r="K72" s="191" t="s">
        <v>204</v>
      </c>
      <c r="L72" s="192" t="s">
        <v>205</v>
      </c>
      <c r="M72" s="190" t="s">
        <v>206</v>
      </c>
      <c r="N72" s="190">
        <v>44000</v>
      </c>
      <c r="O72" s="190">
        <v>12800</v>
      </c>
      <c r="P72" s="190">
        <v>2</v>
      </c>
      <c r="Q72" s="190">
        <v>2025</v>
      </c>
      <c r="R72" s="190">
        <v>4</v>
      </c>
    </row>
    <row r="73" spans="1:18" x14ac:dyDescent="0.2">
      <c r="A73" s="190" t="s">
        <v>50</v>
      </c>
      <c r="B73" s="191" t="s">
        <v>211</v>
      </c>
      <c r="C73" s="191" t="s">
        <v>187</v>
      </c>
      <c r="D73" s="191" t="s">
        <v>4</v>
      </c>
      <c r="E73" s="191" t="s">
        <v>202</v>
      </c>
      <c r="F73" s="190" t="s">
        <v>219</v>
      </c>
      <c r="G73" s="190" t="s">
        <v>203</v>
      </c>
      <c r="H73" s="190" t="s">
        <v>20</v>
      </c>
      <c r="I73" s="191" t="s">
        <v>141</v>
      </c>
      <c r="J73" s="190" t="s">
        <v>141</v>
      </c>
      <c r="K73" s="191" t="s">
        <v>368</v>
      </c>
      <c r="L73" s="192" t="s">
        <v>205</v>
      </c>
      <c r="M73" s="190" t="s">
        <v>206</v>
      </c>
      <c r="N73" s="190">
        <v>44000</v>
      </c>
      <c r="O73" s="190">
        <v>12800</v>
      </c>
      <c r="P73" s="190">
        <v>2</v>
      </c>
      <c r="Q73" s="190">
        <v>2025</v>
      </c>
      <c r="R73" s="190">
        <v>2</v>
      </c>
    </row>
    <row r="74" spans="1:18" x14ac:dyDescent="0.2">
      <c r="A74" s="190" t="s">
        <v>50</v>
      </c>
      <c r="B74" s="191" t="s">
        <v>211</v>
      </c>
      <c r="C74" s="191" t="s">
        <v>187</v>
      </c>
      <c r="D74" s="191" t="s">
        <v>4</v>
      </c>
      <c r="E74" s="191" t="s">
        <v>202</v>
      </c>
      <c r="F74" s="190" t="s">
        <v>219</v>
      </c>
      <c r="G74" s="190" t="s">
        <v>203</v>
      </c>
      <c r="H74" s="190" t="s">
        <v>20</v>
      </c>
      <c r="I74" s="191" t="s">
        <v>142</v>
      </c>
      <c r="J74" s="190" t="s">
        <v>142</v>
      </c>
      <c r="K74" s="191" t="s">
        <v>204</v>
      </c>
      <c r="L74" s="192" t="s">
        <v>205</v>
      </c>
      <c r="M74" s="190" t="s">
        <v>218</v>
      </c>
      <c r="N74" s="190">
        <v>52000</v>
      </c>
      <c r="O74" s="190">
        <v>12800</v>
      </c>
      <c r="P74" s="190">
        <v>2</v>
      </c>
      <c r="Q74" s="190">
        <v>2025</v>
      </c>
      <c r="R74" s="190">
        <v>2</v>
      </c>
    </row>
    <row r="75" spans="1:18" x14ac:dyDescent="0.2">
      <c r="A75" s="190" t="s">
        <v>50</v>
      </c>
      <c r="B75" s="191" t="s">
        <v>211</v>
      </c>
      <c r="C75" s="191" t="s">
        <v>187</v>
      </c>
      <c r="D75" s="191" t="s">
        <v>4</v>
      </c>
      <c r="E75" s="191" t="s">
        <v>202</v>
      </c>
      <c r="F75" s="190" t="s">
        <v>219</v>
      </c>
      <c r="G75" s="190" t="s">
        <v>203</v>
      </c>
      <c r="H75" s="190" t="s">
        <v>20</v>
      </c>
      <c r="I75" s="191" t="s">
        <v>142</v>
      </c>
      <c r="J75" s="190" t="s">
        <v>142</v>
      </c>
      <c r="K75" s="191" t="s">
        <v>204</v>
      </c>
      <c r="L75" s="192" t="s">
        <v>205</v>
      </c>
      <c r="M75" s="190" t="s">
        <v>218</v>
      </c>
      <c r="N75" s="190">
        <v>58000</v>
      </c>
      <c r="O75" s="190">
        <v>12800</v>
      </c>
      <c r="P75" s="190">
        <v>2</v>
      </c>
      <c r="Q75" s="190">
        <v>2025</v>
      </c>
      <c r="R75" s="190">
        <v>1</v>
      </c>
    </row>
    <row r="76" spans="1:18" x14ac:dyDescent="0.2">
      <c r="A76" s="190" t="s">
        <v>50</v>
      </c>
      <c r="B76" s="191" t="s">
        <v>211</v>
      </c>
      <c r="C76" s="191" t="s">
        <v>187</v>
      </c>
      <c r="D76" s="191" t="s">
        <v>6</v>
      </c>
      <c r="E76" s="191" t="s">
        <v>243</v>
      </c>
      <c r="F76" s="190" t="s">
        <v>243</v>
      </c>
      <c r="G76" s="190" t="s">
        <v>203</v>
      </c>
      <c r="H76" s="190" t="s">
        <v>23</v>
      </c>
      <c r="I76" s="191" t="s">
        <v>149</v>
      </c>
      <c r="J76" s="190" t="s">
        <v>149</v>
      </c>
      <c r="K76" s="191" t="s">
        <v>213</v>
      </c>
      <c r="L76" s="192" t="s">
        <v>205</v>
      </c>
      <c r="M76" s="190" t="s">
        <v>206</v>
      </c>
      <c r="N76" s="190">
        <v>25000</v>
      </c>
      <c r="O76" s="190">
        <v>11800</v>
      </c>
      <c r="P76" s="190">
        <v>2</v>
      </c>
      <c r="Q76" s="190">
        <v>2023</v>
      </c>
      <c r="R76" s="190">
        <v>1</v>
      </c>
    </row>
    <row r="77" spans="1:18" x14ac:dyDescent="0.2">
      <c r="A77" s="190" t="s">
        <v>50</v>
      </c>
      <c r="B77" s="191" t="s">
        <v>211</v>
      </c>
      <c r="C77" s="191" t="s">
        <v>187</v>
      </c>
      <c r="D77" s="191" t="s">
        <v>6</v>
      </c>
      <c r="E77" s="191" t="s">
        <v>243</v>
      </c>
      <c r="F77" s="190" t="s">
        <v>243</v>
      </c>
      <c r="G77" s="190" t="s">
        <v>203</v>
      </c>
      <c r="H77" s="190" t="s">
        <v>23</v>
      </c>
      <c r="I77" s="191" t="s">
        <v>149</v>
      </c>
      <c r="J77" s="190" t="s">
        <v>149</v>
      </c>
      <c r="K77" s="191" t="s">
        <v>213</v>
      </c>
      <c r="L77" s="192" t="s">
        <v>205</v>
      </c>
      <c r="M77" s="190" t="s">
        <v>206</v>
      </c>
      <c r="N77" s="190">
        <v>25000</v>
      </c>
      <c r="O77" s="190">
        <v>11800</v>
      </c>
      <c r="P77" s="190">
        <v>2</v>
      </c>
      <c r="Q77" s="190">
        <v>2025</v>
      </c>
      <c r="R77" s="190">
        <v>1</v>
      </c>
    </row>
    <row r="78" spans="1:18" x14ac:dyDescent="0.2">
      <c r="A78" s="190" t="s">
        <v>50</v>
      </c>
      <c r="B78" s="191" t="s">
        <v>211</v>
      </c>
      <c r="C78" s="191" t="s">
        <v>187</v>
      </c>
      <c r="D78" s="191" t="s">
        <v>6</v>
      </c>
      <c r="E78" s="191" t="s">
        <v>243</v>
      </c>
      <c r="F78" s="190" t="s">
        <v>243</v>
      </c>
      <c r="G78" s="190" t="s">
        <v>203</v>
      </c>
      <c r="H78" s="190" t="s">
        <v>23</v>
      </c>
      <c r="I78" s="191" t="s">
        <v>149</v>
      </c>
      <c r="J78" s="190" t="s">
        <v>149</v>
      </c>
      <c r="K78" s="191" t="s">
        <v>213</v>
      </c>
      <c r="L78" s="192" t="s">
        <v>205</v>
      </c>
      <c r="M78" s="190" t="s">
        <v>206</v>
      </c>
      <c r="N78" s="190">
        <v>25000</v>
      </c>
      <c r="O78" s="190">
        <v>12900</v>
      </c>
      <c r="P78" s="190">
        <v>2</v>
      </c>
      <c r="Q78" s="190">
        <v>2025</v>
      </c>
      <c r="R78" s="190">
        <v>1</v>
      </c>
    </row>
    <row r="79" spans="1:18" x14ac:dyDescent="0.2">
      <c r="A79" s="190" t="s">
        <v>50</v>
      </c>
      <c r="B79" s="191" t="s">
        <v>211</v>
      </c>
      <c r="C79" s="191" t="s">
        <v>187</v>
      </c>
      <c r="D79" s="191" t="s">
        <v>6</v>
      </c>
      <c r="E79" s="191" t="s">
        <v>243</v>
      </c>
      <c r="F79" s="190" t="s">
        <v>243</v>
      </c>
      <c r="G79" s="190" t="s">
        <v>203</v>
      </c>
      <c r="H79" s="190" t="s">
        <v>23</v>
      </c>
      <c r="I79" s="191" t="s">
        <v>551</v>
      </c>
      <c r="J79" s="190" t="s">
        <v>551</v>
      </c>
      <c r="K79" s="191" t="s">
        <v>213</v>
      </c>
      <c r="L79" s="192" t="s">
        <v>205</v>
      </c>
      <c r="M79" s="190" t="s">
        <v>206</v>
      </c>
      <c r="N79" s="190">
        <v>25000</v>
      </c>
      <c r="O79" s="190">
        <v>11800</v>
      </c>
      <c r="P79" s="190">
        <v>2</v>
      </c>
      <c r="Q79" s="190">
        <v>2023</v>
      </c>
      <c r="R79" s="190">
        <v>1</v>
      </c>
    </row>
    <row r="80" spans="1:18" x14ac:dyDescent="0.2">
      <c r="A80" s="190" t="s">
        <v>50</v>
      </c>
      <c r="B80" s="191" t="s">
        <v>211</v>
      </c>
      <c r="C80" s="191" t="s">
        <v>187</v>
      </c>
      <c r="D80" s="191" t="s">
        <v>6</v>
      </c>
      <c r="E80" s="191" t="s">
        <v>243</v>
      </c>
      <c r="F80" s="190" t="s">
        <v>243</v>
      </c>
      <c r="G80" s="190" t="s">
        <v>203</v>
      </c>
      <c r="H80" s="190" t="s">
        <v>23</v>
      </c>
      <c r="I80" s="191" t="s">
        <v>552</v>
      </c>
      <c r="J80" s="190" t="s">
        <v>732</v>
      </c>
      <c r="K80" s="191" t="s">
        <v>213</v>
      </c>
      <c r="L80" s="192" t="s">
        <v>205</v>
      </c>
      <c r="M80" s="190" t="s">
        <v>206</v>
      </c>
      <c r="N80" s="190">
        <v>25000</v>
      </c>
      <c r="O80" s="190">
        <v>12900</v>
      </c>
      <c r="P80" s="190">
        <v>2</v>
      </c>
      <c r="Q80" s="190">
        <v>2025</v>
      </c>
      <c r="R80" s="190">
        <v>1</v>
      </c>
    </row>
    <row r="81" spans="1:18" x14ac:dyDescent="0.2">
      <c r="A81" s="190" t="s">
        <v>50</v>
      </c>
      <c r="B81" s="191" t="s">
        <v>211</v>
      </c>
      <c r="C81" s="191" t="s">
        <v>187</v>
      </c>
      <c r="D81" s="191" t="s">
        <v>6</v>
      </c>
      <c r="E81" s="191" t="s">
        <v>243</v>
      </c>
      <c r="F81" s="190" t="s">
        <v>243</v>
      </c>
      <c r="G81" s="190" t="s">
        <v>203</v>
      </c>
      <c r="H81" s="190" t="s">
        <v>28</v>
      </c>
      <c r="I81" s="191" t="s">
        <v>151</v>
      </c>
      <c r="J81" s="190" t="s">
        <v>244</v>
      </c>
      <c r="K81" s="191" t="s">
        <v>237</v>
      </c>
      <c r="L81" s="192" t="s">
        <v>205</v>
      </c>
      <c r="M81" s="190" t="s">
        <v>206</v>
      </c>
      <c r="N81" s="190">
        <v>25000</v>
      </c>
      <c r="O81" s="190">
        <v>12800</v>
      </c>
      <c r="P81" s="190">
        <v>2</v>
      </c>
      <c r="Q81" s="190">
        <v>2025</v>
      </c>
      <c r="R81" s="190">
        <v>1</v>
      </c>
    </row>
    <row r="82" spans="1:18" x14ac:dyDescent="0.2">
      <c r="A82" s="190" t="s">
        <v>50</v>
      </c>
      <c r="B82" s="191" t="s">
        <v>211</v>
      </c>
      <c r="C82" s="191" t="s">
        <v>187</v>
      </c>
      <c r="D82" s="191" t="s">
        <v>6</v>
      </c>
      <c r="E82" s="191" t="s">
        <v>243</v>
      </c>
      <c r="F82" s="190" t="s">
        <v>243</v>
      </c>
      <c r="G82" s="190" t="s">
        <v>203</v>
      </c>
      <c r="H82" s="190" t="s">
        <v>26</v>
      </c>
      <c r="I82" s="191" t="s">
        <v>288</v>
      </c>
      <c r="J82" s="190" t="s">
        <v>243</v>
      </c>
      <c r="K82" s="191" t="s">
        <v>237</v>
      </c>
      <c r="L82" s="192" t="s">
        <v>205</v>
      </c>
      <c r="M82" s="190" t="s">
        <v>206</v>
      </c>
      <c r="N82" s="190">
        <v>27488</v>
      </c>
      <c r="O82" s="190">
        <v>14945</v>
      </c>
      <c r="P82" s="190">
        <v>2</v>
      </c>
      <c r="Q82" s="190">
        <v>2025</v>
      </c>
      <c r="R82" s="190">
        <v>7</v>
      </c>
    </row>
    <row r="83" spans="1:18" x14ac:dyDescent="0.2">
      <c r="A83" s="190" t="s">
        <v>50</v>
      </c>
      <c r="B83" s="191" t="s">
        <v>211</v>
      </c>
      <c r="C83" s="191" t="s">
        <v>187</v>
      </c>
      <c r="D83" s="191" t="s">
        <v>6</v>
      </c>
      <c r="E83" s="191" t="s">
        <v>243</v>
      </c>
      <c r="F83" s="190" t="s">
        <v>243</v>
      </c>
      <c r="G83" s="190" t="s">
        <v>203</v>
      </c>
      <c r="H83" s="190" t="s">
        <v>19</v>
      </c>
      <c r="I83" s="191" t="s">
        <v>323</v>
      </c>
      <c r="J83" s="190" t="s">
        <v>323</v>
      </c>
      <c r="K83" s="191" t="s">
        <v>240</v>
      </c>
      <c r="L83" s="192" t="s">
        <v>205</v>
      </c>
      <c r="M83" s="190" t="s">
        <v>206</v>
      </c>
      <c r="N83" s="190">
        <v>28500</v>
      </c>
      <c r="O83" s="190">
        <v>12800</v>
      </c>
      <c r="P83" s="190">
        <v>2</v>
      </c>
      <c r="Q83" s="190">
        <v>2025</v>
      </c>
      <c r="R83" s="190">
        <v>15</v>
      </c>
    </row>
    <row r="84" spans="1:18" x14ac:dyDescent="0.2">
      <c r="A84" s="190" t="s">
        <v>50</v>
      </c>
      <c r="B84" s="191" t="s">
        <v>211</v>
      </c>
      <c r="C84" s="191" t="s">
        <v>187</v>
      </c>
      <c r="D84" s="191" t="s">
        <v>6</v>
      </c>
      <c r="E84" s="191" t="s">
        <v>243</v>
      </c>
      <c r="F84" s="190" t="s">
        <v>243</v>
      </c>
      <c r="G84" s="190" t="s">
        <v>203</v>
      </c>
      <c r="H84" s="190" t="s">
        <v>19</v>
      </c>
      <c r="I84" s="191" t="s">
        <v>554</v>
      </c>
      <c r="J84" s="190" t="s">
        <v>554</v>
      </c>
      <c r="K84" s="191" t="s">
        <v>240</v>
      </c>
      <c r="L84" s="192" t="s">
        <v>205</v>
      </c>
      <c r="M84" s="190" t="s">
        <v>206</v>
      </c>
      <c r="N84" s="190">
        <v>28500</v>
      </c>
      <c r="O84" s="190">
        <v>12800</v>
      </c>
      <c r="P84" s="190">
        <v>2</v>
      </c>
      <c r="Q84" s="190">
        <v>2025</v>
      </c>
      <c r="R84" s="190">
        <v>2</v>
      </c>
    </row>
    <row r="85" spans="1:18" x14ac:dyDescent="0.2">
      <c r="A85" s="190" t="s">
        <v>50</v>
      </c>
      <c r="B85" s="191" t="s">
        <v>211</v>
      </c>
      <c r="C85" s="191" t="s">
        <v>187</v>
      </c>
      <c r="D85" s="191" t="s">
        <v>6</v>
      </c>
      <c r="E85" s="191" t="s">
        <v>243</v>
      </c>
      <c r="F85" s="190" t="s">
        <v>243</v>
      </c>
      <c r="G85" s="190" t="s">
        <v>203</v>
      </c>
      <c r="H85" s="190" t="s">
        <v>25</v>
      </c>
      <c r="I85" s="191" t="s">
        <v>152</v>
      </c>
      <c r="J85" s="190" t="s">
        <v>403</v>
      </c>
      <c r="K85" s="191" t="s">
        <v>204</v>
      </c>
      <c r="L85" s="192" t="s">
        <v>205</v>
      </c>
      <c r="M85" s="190" t="s">
        <v>206</v>
      </c>
      <c r="N85" s="190">
        <v>28500</v>
      </c>
      <c r="O85" s="190">
        <v>12700</v>
      </c>
      <c r="P85" s="190">
        <v>2</v>
      </c>
      <c r="Q85" s="190">
        <v>2025</v>
      </c>
      <c r="R85" s="190">
        <v>1</v>
      </c>
    </row>
    <row r="86" spans="1:18" x14ac:dyDescent="0.2">
      <c r="A86" s="190" t="s">
        <v>50</v>
      </c>
      <c r="B86" s="191" t="s">
        <v>211</v>
      </c>
      <c r="C86" s="191" t="s">
        <v>187</v>
      </c>
      <c r="D86" s="191" t="s">
        <v>6</v>
      </c>
      <c r="E86" s="191" t="s">
        <v>243</v>
      </c>
      <c r="F86" s="190" t="s">
        <v>243</v>
      </c>
      <c r="G86" s="190" t="s">
        <v>203</v>
      </c>
      <c r="H86" s="190" t="s">
        <v>25</v>
      </c>
      <c r="I86" s="191" t="s">
        <v>152</v>
      </c>
      <c r="J86" s="190" t="s">
        <v>650</v>
      </c>
      <c r="K86" s="191" t="s">
        <v>204</v>
      </c>
      <c r="L86" s="192" t="s">
        <v>205</v>
      </c>
      <c r="M86" s="190" t="s">
        <v>206</v>
      </c>
      <c r="N86" s="190">
        <v>28500</v>
      </c>
      <c r="O86" s="190">
        <v>12700</v>
      </c>
      <c r="P86" s="190">
        <v>2</v>
      </c>
      <c r="Q86" s="190">
        <v>2025</v>
      </c>
      <c r="R86" s="190">
        <v>10</v>
      </c>
    </row>
    <row r="87" spans="1:18" x14ac:dyDescent="0.2">
      <c r="A87" s="190" t="s">
        <v>50</v>
      </c>
      <c r="B87" s="191" t="s">
        <v>211</v>
      </c>
      <c r="C87" s="191" t="s">
        <v>187</v>
      </c>
      <c r="D87" s="191" t="s">
        <v>6</v>
      </c>
      <c r="E87" s="191" t="s">
        <v>243</v>
      </c>
      <c r="F87" s="190" t="s">
        <v>243</v>
      </c>
      <c r="G87" s="190" t="s">
        <v>203</v>
      </c>
      <c r="H87" s="190" t="s">
        <v>25</v>
      </c>
      <c r="I87" s="191" t="s">
        <v>388</v>
      </c>
      <c r="J87" s="190" t="s">
        <v>394</v>
      </c>
      <c r="K87" s="191" t="s">
        <v>204</v>
      </c>
      <c r="L87" s="192" t="s">
        <v>205</v>
      </c>
      <c r="M87" s="190" t="s">
        <v>206</v>
      </c>
      <c r="N87" s="190">
        <v>28500</v>
      </c>
      <c r="O87" s="190">
        <v>12700</v>
      </c>
      <c r="P87" s="190">
        <v>2</v>
      </c>
      <c r="Q87" s="190">
        <v>2025</v>
      </c>
      <c r="R87" s="190">
        <v>1</v>
      </c>
    </row>
    <row r="88" spans="1:18" x14ac:dyDescent="0.2">
      <c r="A88" s="190" t="s">
        <v>50</v>
      </c>
      <c r="B88" s="191" t="s">
        <v>211</v>
      </c>
      <c r="C88" s="191" t="s">
        <v>187</v>
      </c>
      <c r="D88" s="191" t="s">
        <v>6</v>
      </c>
      <c r="E88" s="191" t="s">
        <v>243</v>
      </c>
      <c r="F88" s="190" t="s">
        <v>243</v>
      </c>
      <c r="G88" s="190" t="s">
        <v>203</v>
      </c>
      <c r="H88" s="190" t="s">
        <v>25</v>
      </c>
      <c r="I88" s="191" t="s">
        <v>154</v>
      </c>
      <c r="J88" s="190" t="s">
        <v>279</v>
      </c>
      <c r="K88" s="191" t="s">
        <v>204</v>
      </c>
      <c r="L88" s="192" t="s">
        <v>205</v>
      </c>
      <c r="M88" s="190" t="s">
        <v>206</v>
      </c>
      <c r="N88" s="190">
        <v>28100</v>
      </c>
      <c r="O88" s="190">
        <v>12700</v>
      </c>
      <c r="P88" s="190">
        <v>2</v>
      </c>
      <c r="Q88" s="190">
        <v>2025</v>
      </c>
      <c r="R88" s="190">
        <v>10</v>
      </c>
    </row>
    <row r="89" spans="1:18" x14ac:dyDescent="0.2">
      <c r="A89" s="190" t="s">
        <v>50</v>
      </c>
      <c r="B89" s="191" t="s">
        <v>211</v>
      </c>
      <c r="C89" s="191" t="s">
        <v>187</v>
      </c>
      <c r="D89" s="191" t="s">
        <v>6</v>
      </c>
      <c r="E89" s="191" t="s">
        <v>243</v>
      </c>
      <c r="F89" s="190" t="s">
        <v>243</v>
      </c>
      <c r="G89" s="190" t="s">
        <v>203</v>
      </c>
      <c r="H89" s="190" t="s">
        <v>25</v>
      </c>
      <c r="I89" s="191" t="s">
        <v>154</v>
      </c>
      <c r="J89" s="190" t="s">
        <v>279</v>
      </c>
      <c r="K89" s="191" t="s">
        <v>204</v>
      </c>
      <c r="L89" s="192" t="s">
        <v>205</v>
      </c>
      <c r="M89" s="190" t="s">
        <v>206</v>
      </c>
      <c r="N89" s="190">
        <v>28500</v>
      </c>
      <c r="O89" s="190">
        <v>12700</v>
      </c>
      <c r="P89" s="190">
        <v>2</v>
      </c>
      <c r="Q89" s="190">
        <v>2025</v>
      </c>
      <c r="R89" s="190">
        <v>1</v>
      </c>
    </row>
    <row r="90" spans="1:18" x14ac:dyDescent="0.2">
      <c r="A90" s="190" t="s">
        <v>50</v>
      </c>
      <c r="B90" s="191" t="s">
        <v>211</v>
      </c>
      <c r="C90" s="191" t="s">
        <v>187</v>
      </c>
      <c r="D90" s="191" t="s">
        <v>6</v>
      </c>
      <c r="E90" s="191" t="s">
        <v>243</v>
      </c>
      <c r="F90" s="190" t="s">
        <v>243</v>
      </c>
      <c r="G90" s="190" t="s">
        <v>203</v>
      </c>
      <c r="H90" s="190" t="s">
        <v>31</v>
      </c>
      <c r="I90" s="191" t="s">
        <v>435</v>
      </c>
      <c r="J90" s="190" t="s">
        <v>333</v>
      </c>
      <c r="K90" s="191" t="s">
        <v>213</v>
      </c>
      <c r="L90" s="192" t="s">
        <v>205</v>
      </c>
      <c r="M90" s="190" t="s">
        <v>206</v>
      </c>
      <c r="N90" s="190">
        <v>30500</v>
      </c>
      <c r="O90" s="190">
        <v>13000</v>
      </c>
      <c r="P90" s="190">
        <v>2</v>
      </c>
      <c r="Q90" s="190">
        <v>2025</v>
      </c>
      <c r="R90" s="190">
        <v>6</v>
      </c>
    </row>
    <row r="91" spans="1:18" x14ac:dyDescent="0.2">
      <c r="A91" s="190" t="s">
        <v>50</v>
      </c>
      <c r="B91" s="191" t="s">
        <v>211</v>
      </c>
      <c r="C91" s="191" t="s">
        <v>187</v>
      </c>
      <c r="D91" s="191" t="s">
        <v>6</v>
      </c>
      <c r="E91" s="191" t="s">
        <v>243</v>
      </c>
      <c r="F91" s="190" t="s">
        <v>243</v>
      </c>
      <c r="G91" s="190" t="s">
        <v>203</v>
      </c>
      <c r="H91" s="190" t="s">
        <v>31</v>
      </c>
      <c r="I91" s="191" t="s">
        <v>559</v>
      </c>
      <c r="J91" s="190" t="s">
        <v>559</v>
      </c>
      <c r="K91" s="191" t="s">
        <v>213</v>
      </c>
      <c r="L91" s="192" t="s">
        <v>205</v>
      </c>
      <c r="M91" s="190" t="s">
        <v>206</v>
      </c>
      <c r="N91" s="190">
        <v>25000</v>
      </c>
      <c r="O91" s="190">
        <v>12540</v>
      </c>
      <c r="P91" s="190">
        <v>2</v>
      </c>
      <c r="Q91" s="190">
        <v>2025</v>
      </c>
      <c r="R91" s="190">
        <v>2</v>
      </c>
    </row>
    <row r="92" spans="1:18" x14ac:dyDescent="0.2">
      <c r="A92" s="190" t="s">
        <v>50</v>
      </c>
      <c r="B92" s="191" t="s">
        <v>211</v>
      </c>
      <c r="C92" s="191" t="s">
        <v>187</v>
      </c>
      <c r="D92" s="191" t="s">
        <v>6</v>
      </c>
      <c r="E92" s="191" t="s">
        <v>243</v>
      </c>
      <c r="F92" s="190" t="s">
        <v>243</v>
      </c>
      <c r="G92" s="190" t="s">
        <v>203</v>
      </c>
      <c r="H92" s="190" t="s">
        <v>20</v>
      </c>
      <c r="I92" s="191" t="s">
        <v>155</v>
      </c>
      <c r="J92" s="190" t="s">
        <v>155</v>
      </c>
      <c r="K92" s="191" t="s">
        <v>204</v>
      </c>
      <c r="L92" s="192" t="s">
        <v>205</v>
      </c>
      <c r="M92" s="190" t="s">
        <v>206</v>
      </c>
      <c r="N92" s="190">
        <v>28500</v>
      </c>
      <c r="O92" s="190">
        <v>12800</v>
      </c>
      <c r="P92" s="190">
        <v>2</v>
      </c>
      <c r="Q92" s="190">
        <v>2025</v>
      </c>
      <c r="R92" s="190">
        <v>4</v>
      </c>
    </row>
    <row r="93" spans="1:18" x14ac:dyDescent="0.2">
      <c r="A93" s="190" t="s">
        <v>50</v>
      </c>
      <c r="B93" s="191" t="s">
        <v>211</v>
      </c>
      <c r="C93" s="191" t="s">
        <v>187</v>
      </c>
      <c r="D93" s="191" t="s">
        <v>6</v>
      </c>
      <c r="E93" s="191" t="s">
        <v>243</v>
      </c>
      <c r="F93" s="190" t="s">
        <v>243</v>
      </c>
      <c r="G93" s="190" t="s">
        <v>203</v>
      </c>
      <c r="H93" s="190" t="s">
        <v>20</v>
      </c>
      <c r="I93" s="191" t="s">
        <v>155</v>
      </c>
      <c r="J93" s="190" t="s">
        <v>155</v>
      </c>
      <c r="K93" s="191" t="s">
        <v>368</v>
      </c>
      <c r="L93" s="192" t="s">
        <v>205</v>
      </c>
      <c r="M93" s="190" t="s">
        <v>206</v>
      </c>
      <c r="N93" s="190">
        <v>28500</v>
      </c>
      <c r="O93" s="190">
        <v>12800</v>
      </c>
      <c r="P93" s="190">
        <v>2</v>
      </c>
      <c r="Q93" s="190">
        <v>2025</v>
      </c>
      <c r="R93" s="190">
        <v>4</v>
      </c>
    </row>
    <row r="94" spans="1:18" x14ac:dyDescent="0.2">
      <c r="A94" s="190" t="s">
        <v>50</v>
      </c>
      <c r="B94" s="191" t="s">
        <v>248</v>
      </c>
      <c r="C94" s="191" t="s">
        <v>5</v>
      </c>
      <c r="D94" s="191" t="s">
        <v>249</v>
      </c>
      <c r="E94" s="191" t="s">
        <v>250</v>
      </c>
      <c r="F94" s="190" t="s">
        <v>250</v>
      </c>
      <c r="G94" s="190" t="s">
        <v>251</v>
      </c>
      <c r="H94" s="190" t="s">
        <v>23</v>
      </c>
      <c r="I94" s="191" t="s">
        <v>389</v>
      </c>
      <c r="J94" s="190" t="s">
        <v>391</v>
      </c>
      <c r="K94" s="191" t="s">
        <v>213</v>
      </c>
      <c r="L94" s="192" t="s">
        <v>205</v>
      </c>
      <c r="M94" s="190" t="s">
        <v>210</v>
      </c>
      <c r="N94" s="190">
        <v>4035</v>
      </c>
      <c r="O94" s="190">
        <v>2780</v>
      </c>
      <c r="P94" s="190">
        <v>19</v>
      </c>
      <c r="Q94" s="190">
        <v>2024</v>
      </c>
      <c r="R94" s="190">
        <v>2</v>
      </c>
    </row>
    <row r="95" spans="1:18" x14ac:dyDescent="0.2">
      <c r="A95" s="190" t="s">
        <v>50</v>
      </c>
      <c r="B95" s="191" t="s">
        <v>248</v>
      </c>
      <c r="C95" s="191" t="s">
        <v>5</v>
      </c>
      <c r="D95" s="191" t="s">
        <v>249</v>
      </c>
      <c r="E95" s="191" t="s">
        <v>250</v>
      </c>
      <c r="F95" s="190" t="s">
        <v>250</v>
      </c>
      <c r="G95" s="190" t="s">
        <v>251</v>
      </c>
      <c r="H95" s="190" t="s">
        <v>21</v>
      </c>
      <c r="I95" s="191" t="s">
        <v>570</v>
      </c>
      <c r="J95" s="190" t="s">
        <v>665</v>
      </c>
      <c r="K95" s="191" t="s">
        <v>666</v>
      </c>
      <c r="L95" s="192" t="s">
        <v>205</v>
      </c>
      <c r="M95" s="190" t="s">
        <v>210</v>
      </c>
      <c r="N95" s="190">
        <v>4000</v>
      </c>
      <c r="O95" s="190">
        <v>2497</v>
      </c>
      <c r="P95" s="190">
        <v>19</v>
      </c>
      <c r="Q95" s="190">
        <v>2024</v>
      </c>
      <c r="R95" s="190">
        <v>1</v>
      </c>
    </row>
    <row r="96" spans="1:18" x14ac:dyDescent="0.2">
      <c r="A96" s="190" t="s">
        <v>50</v>
      </c>
      <c r="B96" s="191" t="s">
        <v>248</v>
      </c>
      <c r="C96" s="191" t="s">
        <v>5</v>
      </c>
      <c r="D96" s="191" t="s">
        <v>249</v>
      </c>
      <c r="E96" s="191" t="s">
        <v>250</v>
      </c>
      <c r="F96" s="190" t="s">
        <v>250</v>
      </c>
      <c r="G96" s="190" t="s">
        <v>251</v>
      </c>
      <c r="H96" s="190" t="s">
        <v>29</v>
      </c>
      <c r="I96" s="191" t="s">
        <v>163</v>
      </c>
      <c r="J96" s="190" t="s">
        <v>261</v>
      </c>
      <c r="K96" s="191" t="s">
        <v>213</v>
      </c>
      <c r="L96" s="192" t="s">
        <v>205</v>
      </c>
      <c r="M96" s="190" t="s">
        <v>210</v>
      </c>
      <c r="N96" s="190">
        <v>4000</v>
      </c>
      <c r="O96" s="190">
        <v>2746</v>
      </c>
      <c r="P96" s="190">
        <v>18</v>
      </c>
      <c r="Q96" s="190">
        <v>2025</v>
      </c>
      <c r="R96" s="190">
        <v>1</v>
      </c>
    </row>
    <row r="97" spans="1:18" x14ac:dyDescent="0.2">
      <c r="A97" s="190" t="s">
        <v>50</v>
      </c>
      <c r="B97" s="191" t="s">
        <v>248</v>
      </c>
      <c r="C97" s="191" t="s">
        <v>5</v>
      </c>
      <c r="D97" s="191" t="s">
        <v>249</v>
      </c>
      <c r="E97" s="191" t="s">
        <v>250</v>
      </c>
      <c r="F97" s="190" t="s">
        <v>250</v>
      </c>
      <c r="G97" s="190" t="s">
        <v>251</v>
      </c>
      <c r="H97" s="190" t="s">
        <v>39</v>
      </c>
      <c r="I97" s="191" t="s">
        <v>312</v>
      </c>
      <c r="J97" s="190" t="s">
        <v>419</v>
      </c>
      <c r="K97" s="191" t="s">
        <v>213</v>
      </c>
      <c r="L97" s="192" t="s">
        <v>205</v>
      </c>
      <c r="M97" s="190" t="s">
        <v>210</v>
      </c>
      <c r="N97" s="190">
        <v>3510</v>
      </c>
      <c r="O97" s="190">
        <v>2771</v>
      </c>
      <c r="P97" s="190">
        <v>18</v>
      </c>
      <c r="Q97" s="190">
        <v>2025</v>
      </c>
      <c r="R97" s="190">
        <v>1</v>
      </c>
    </row>
    <row r="98" spans="1:18" x14ac:dyDescent="0.2">
      <c r="A98" s="190" t="s">
        <v>50</v>
      </c>
      <c r="B98" s="191" t="s">
        <v>248</v>
      </c>
      <c r="C98" s="191" t="s">
        <v>5</v>
      </c>
      <c r="D98" s="191" t="s">
        <v>249</v>
      </c>
      <c r="E98" s="191" t="s">
        <v>250</v>
      </c>
      <c r="F98" s="190" t="s">
        <v>250</v>
      </c>
      <c r="G98" s="190" t="s">
        <v>251</v>
      </c>
      <c r="H98" s="190" t="s">
        <v>33</v>
      </c>
      <c r="I98" s="191" t="s">
        <v>575</v>
      </c>
      <c r="J98" s="190" t="s">
        <v>168</v>
      </c>
      <c r="K98" s="191" t="s">
        <v>213</v>
      </c>
      <c r="L98" s="192" t="s">
        <v>205</v>
      </c>
      <c r="M98" s="190" t="s">
        <v>210</v>
      </c>
      <c r="N98" s="190">
        <v>3900</v>
      </c>
      <c r="O98" s="190">
        <v>3000</v>
      </c>
      <c r="P98" s="190">
        <v>20</v>
      </c>
      <c r="Q98" s="190">
        <v>2025</v>
      </c>
      <c r="R98" s="190">
        <v>1</v>
      </c>
    </row>
    <row r="99" spans="1:18" x14ac:dyDescent="0.2">
      <c r="A99" s="190" t="s">
        <v>50</v>
      </c>
      <c r="B99" s="191" t="s">
        <v>248</v>
      </c>
      <c r="C99" s="191" t="s">
        <v>5</v>
      </c>
      <c r="D99" s="191" t="s">
        <v>249</v>
      </c>
      <c r="E99" s="191" t="s">
        <v>250</v>
      </c>
      <c r="F99" s="190" t="s">
        <v>250</v>
      </c>
      <c r="G99" s="190" t="s">
        <v>251</v>
      </c>
      <c r="H99" s="190" t="s">
        <v>19</v>
      </c>
      <c r="I99" s="191" t="s">
        <v>586</v>
      </c>
      <c r="J99" s="190" t="s">
        <v>651</v>
      </c>
      <c r="K99" s="191" t="s">
        <v>252</v>
      </c>
      <c r="L99" s="192" t="s">
        <v>205</v>
      </c>
      <c r="M99" s="190" t="s">
        <v>210</v>
      </c>
      <c r="N99" s="190">
        <v>3880</v>
      </c>
      <c r="O99" s="190">
        <v>1950</v>
      </c>
      <c r="P99" s="190">
        <v>19</v>
      </c>
      <c r="Q99" s="190">
        <v>2024</v>
      </c>
      <c r="R99" s="190">
        <v>1</v>
      </c>
    </row>
    <row r="100" spans="1:18" x14ac:dyDescent="0.2">
      <c r="A100" s="190" t="s">
        <v>50</v>
      </c>
      <c r="B100" s="191" t="s">
        <v>248</v>
      </c>
      <c r="C100" s="191" t="s">
        <v>5</v>
      </c>
      <c r="D100" s="191" t="s">
        <v>249</v>
      </c>
      <c r="E100" s="191" t="s">
        <v>250</v>
      </c>
      <c r="F100" s="190" t="s">
        <v>250</v>
      </c>
      <c r="G100" s="190" t="s">
        <v>253</v>
      </c>
      <c r="H100" s="190" t="s">
        <v>65</v>
      </c>
      <c r="I100" s="191" t="s">
        <v>160</v>
      </c>
      <c r="J100" s="190" t="s">
        <v>254</v>
      </c>
      <c r="K100" s="191" t="s">
        <v>221</v>
      </c>
      <c r="L100" s="192" t="s">
        <v>205</v>
      </c>
      <c r="M100" s="190" t="s">
        <v>210</v>
      </c>
      <c r="N100" s="190">
        <v>6200</v>
      </c>
      <c r="O100" s="190">
        <v>4899</v>
      </c>
      <c r="P100" s="190">
        <v>33</v>
      </c>
      <c r="Q100" s="190">
        <v>2025</v>
      </c>
      <c r="R100" s="190">
        <v>8</v>
      </c>
    </row>
    <row r="101" spans="1:18" x14ac:dyDescent="0.2">
      <c r="A101" s="190" t="s">
        <v>50</v>
      </c>
      <c r="B101" s="191" t="s">
        <v>248</v>
      </c>
      <c r="C101" s="191" t="s">
        <v>5</v>
      </c>
      <c r="D101" s="191" t="s">
        <v>249</v>
      </c>
      <c r="E101" s="191" t="s">
        <v>250</v>
      </c>
      <c r="F101" s="190" t="s">
        <v>250</v>
      </c>
      <c r="G101" s="190" t="s">
        <v>253</v>
      </c>
      <c r="H101" s="190" t="s">
        <v>21</v>
      </c>
      <c r="I101" s="191" t="s">
        <v>162</v>
      </c>
      <c r="J101" s="190" t="s">
        <v>255</v>
      </c>
      <c r="K101" s="191" t="s">
        <v>227</v>
      </c>
      <c r="L101" s="192" t="s">
        <v>205</v>
      </c>
      <c r="M101" s="190" t="s">
        <v>210</v>
      </c>
      <c r="N101" s="190">
        <v>6320</v>
      </c>
      <c r="O101" s="190">
        <v>3933</v>
      </c>
      <c r="P101" s="190">
        <v>28</v>
      </c>
      <c r="Q101" s="190">
        <v>2025</v>
      </c>
      <c r="R101" s="190">
        <v>3</v>
      </c>
    </row>
    <row r="102" spans="1:18" x14ac:dyDescent="0.2">
      <c r="A102" s="190" t="s">
        <v>50</v>
      </c>
      <c r="B102" s="191" t="s">
        <v>248</v>
      </c>
      <c r="C102" s="191" t="s">
        <v>5</v>
      </c>
      <c r="D102" s="191" t="s">
        <v>249</v>
      </c>
      <c r="E102" s="191" t="s">
        <v>250</v>
      </c>
      <c r="F102" s="190" t="s">
        <v>250</v>
      </c>
      <c r="G102" s="190" t="s">
        <v>253</v>
      </c>
      <c r="H102" s="190" t="s">
        <v>45</v>
      </c>
      <c r="I102" s="191" t="s">
        <v>327</v>
      </c>
      <c r="J102" s="190" t="s">
        <v>348</v>
      </c>
      <c r="K102" s="191" t="s">
        <v>204</v>
      </c>
      <c r="L102" s="192" t="s">
        <v>205</v>
      </c>
      <c r="M102" s="190" t="s">
        <v>210</v>
      </c>
      <c r="N102" s="190">
        <v>5050</v>
      </c>
      <c r="O102" s="190">
        <v>2998</v>
      </c>
      <c r="P102" s="190">
        <v>19</v>
      </c>
      <c r="Q102" s="190">
        <v>2023</v>
      </c>
      <c r="R102" s="190">
        <v>2</v>
      </c>
    </row>
    <row r="103" spans="1:18" x14ac:dyDescent="0.2">
      <c r="A103" s="190" t="s">
        <v>50</v>
      </c>
      <c r="B103" s="191" t="s">
        <v>248</v>
      </c>
      <c r="C103" s="191" t="s">
        <v>5</v>
      </c>
      <c r="D103" s="191" t="s">
        <v>249</v>
      </c>
      <c r="E103" s="191" t="s">
        <v>250</v>
      </c>
      <c r="F103" s="190" t="s">
        <v>250</v>
      </c>
      <c r="G103" s="190" t="s">
        <v>253</v>
      </c>
      <c r="H103" s="190" t="s">
        <v>19</v>
      </c>
      <c r="I103" s="191" t="s">
        <v>585</v>
      </c>
      <c r="J103" s="190" t="s">
        <v>652</v>
      </c>
      <c r="K103" s="191" t="s">
        <v>252</v>
      </c>
      <c r="L103" s="192" t="s">
        <v>205</v>
      </c>
      <c r="M103" s="190" t="s">
        <v>210</v>
      </c>
      <c r="N103" s="190">
        <v>5050</v>
      </c>
      <c r="O103" s="190">
        <v>1950</v>
      </c>
      <c r="P103" s="190">
        <v>21</v>
      </c>
      <c r="Q103" s="190">
        <v>2025</v>
      </c>
      <c r="R103" s="190">
        <v>1</v>
      </c>
    </row>
    <row r="104" spans="1:18" x14ac:dyDescent="0.2">
      <c r="A104" s="190" t="s">
        <v>50</v>
      </c>
      <c r="B104" s="191" t="s">
        <v>248</v>
      </c>
      <c r="C104" s="191" t="s">
        <v>5</v>
      </c>
      <c r="D104" s="191" t="s">
        <v>249</v>
      </c>
      <c r="E104" s="191" t="s">
        <v>250</v>
      </c>
      <c r="F104" s="190" t="s">
        <v>250</v>
      </c>
      <c r="G104" s="190" t="s">
        <v>253</v>
      </c>
      <c r="H104" s="190" t="s">
        <v>19</v>
      </c>
      <c r="I104" s="191" t="s">
        <v>585</v>
      </c>
      <c r="J104" s="190" t="s">
        <v>652</v>
      </c>
      <c r="K104" s="191" t="s">
        <v>240</v>
      </c>
      <c r="L104" s="192" t="s">
        <v>205</v>
      </c>
      <c r="M104" s="190" t="s">
        <v>210</v>
      </c>
      <c r="N104" s="190">
        <v>5050</v>
      </c>
      <c r="O104" s="190">
        <v>1950</v>
      </c>
      <c r="P104" s="190">
        <v>21</v>
      </c>
      <c r="Q104" s="190">
        <v>2024</v>
      </c>
      <c r="R104" s="190">
        <v>1</v>
      </c>
    </row>
    <row r="105" spans="1:18" x14ac:dyDescent="0.2">
      <c r="A105" s="190" t="s">
        <v>50</v>
      </c>
      <c r="B105" s="191" t="s">
        <v>248</v>
      </c>
      <c r="C105" s="191" t="s">
        <v>5</v>
      </c>
      <c r="D105" s="191" t="s">
        <v>249</v>
      </c>
      <c r="E105" s="191" t="s">
        <v>256</v>
      </c>
      <c r="F105" s="190" t="s">
        <v>256</v>
      </c>
      <c r="G105" s="190" t="s">
        <v>253</v>
      </c>
      <c r="H105" s="190" t="s">
        <v>19</v>
      </c>
      <c r="I105" s="191" t="s">
        <v>366</v>
      </c>
      <c r="J105" s="190" t="s">
        <v>654</v>
      </c>
      <c r="K105" s="191" t="s">
        <v>204</v>
      </c>
      <c r="L105" s="192" t="s">
        <v>205</v>
      </c>
      <c r="M105" s="190" t="s">
        <v>210</v>
      </c>
      <c r="N105" s="190">
        <v>19600</v>
      </c>
      <c r="O105" s="190">
        <v>12816</v>
      </c>
      <c r="P105" s="190">
        <v>48</v>
      </c>
      <c r="Q105" s="190">
        <v>2024</v>
      </c>
      <c r="R105" s="190">
        <v>1</v>
      </c>
    </row>
    <row r="106" spans="1:18" x14ac:dyDescent="0.2">
      <c r="A106" s="190" t="s">
        <v>50</v>
      </c>
      <c r="B106" s="191" t="s">
        <v>248</v>
      </c>
      <c r="C106" s="191" t="s">
        <v>5</v>
      </c>
      <c r="D106" s="191" t="s">
        <v>249</v>
      </c>
      <c r="E106" s="191" t="s">
        <v>256</v>
      </c>
      <c r="F106" s="190" t="s">
        <v>256</v>
      </c>
      <c r="G106" s="190" t="s">
        <v>253</v>
      </c>
      <c r="H106" s="190" t="s">
        <v>25</v>
      </c>
      <c r="I106" s="191" t="s">
        <v>406</v>
      </c>
      <c r="J106" s="190" t="s">
        <v>406</v>
      </c>
      <c r="K106" s="191" t="s">
        <v>204</v>
      </c>
      <c r="L106" s="192" t="s">
        <v>205</v>
      </c>
      <c r="M106" s="190" t="s">
        <v>242</v>
      </c>
      <c r="N106" s="190">
        <v>25000</v>
      </c>
      <c r="O106" s="190">
        <v>12700</v>
      </c>
      <c r="P106" s="190">
        <v>45</v>
      </c>
      <c r="Q106" s="190">
        <v>2025</v>
      </c>
      <c r="R106" s="190">
        <v>1</v>
      </c>
    </row>
    <row r="107" spans="1:18" x14ac:dyDescent="0.2">
      <c r="A107" s="190" t="s">
        <v>50</v>
      </c>
      <c r="B107" s="191" t="s">
        <v>248</v>
      </c>
      <c r="C107" s="191" t="s">
        <v>5</v>
      </c>
      <c r="D107" s="191" t="s">
        <v>249</v>
      </c>
      <c r="E107" s="191" t="s">
        <v>257</v>
      </c>
      <c r="F107" s="190" t="s">
        <v>256</v>
      </c>
      <c r="G107" s="190" t="s">
        <v>258</v>
      </c>
      <c r="H107" s="190" t="s">
        <v>22</v>
      </c>
      <c r="I107" s="191" t="s">
        <v>161</v>
      </c>
      <c r="J107" s="190" t="s">
        <v>656</v>
      </c>
      <c r="K107" s="191" t="s">
        <v>266</v>
      </c>
      <c r="L107" s="192" t="s">
        <v>205</v>
      </c>
      <c r="M107" s="190" t="s">
        <v>210</v>
      </c>
      <c r="N107" s="190">
        <v>10100</v>
      </c>
      <c r="O107" s="190">
        <v>5123</v>
      </c>
      <c r="P107" s="190">
        <v>0</v>
      </c>
      <c r="Q107" s="190">
        <v>2025</v>
      </c>
      <c r="R107" s="190">
        <v>1</v>
      </c>
    </row>
    <row r="108" spans="1:18" x14ac:dyDescent="0.2">
      <c r="A108" s="190" t="s">
        <v>50</v>
      </c>
      <c r="B108" s="191" t="s">
        <v>248</v>
      </c>
      <c r="C108" s="191" t="s">
        <v>5</v>
      </c>
      <c r="D108" s="191" t="s">
        <v>249</v>
      </c>
      <c r="E108" s="191" t="s">
        <v>257</v>
      </c>
      <c r="F108" s="190" t="s">
        <v>256</v>
      </c>
      <c r="G108" s="190" t="s">
        <v>258</v>
      </c>
      <c r="H108" s="190" t="s">
        <v>25</v>
      </c>
      <c r="I108" s="191" t="s">
        <v>588</v>
      </c>
      <c r="J108" s="190" t="s">
        <v>588</v>
      </c>
      <c r="K108" s="191" t="s">
        <v>204</v>
      </c>
      <c r="L108" s="192" t="s">
        <v>205</v>
      </c>
      <c r="M108" s="190" t="s">
        <v>210</v>
      </c>
      <c r="N108" s="190">
        <v>19500</v>
      </c>
      <c r="O108" s="190">
        <v>9300</v>
      </c>
      <c r="P108" s="190">
        <v>0</v>
      </c>
      <c r="Q108" s="190">
        <v>2024</v>
      </c>
      <c r="R108" s="190">
        <v>1</v>
      </c>
    </row>
    <row r="109" spans="1:18" x14ac:dyDescent="0.2">
      <c r="A109" s="190" t="s">
        <v>50</v>
      </c>
      <c r="B109" s="191" t="s">
        <v>248</v>
      </c>
      <c r="C109" s="191" t="s">
        <v>5</v>
      </c>
      <c r="D109" s="191" t="s">
        <v>249</v>
      </c>
      <c r="E109" s="191" t="s">
        <v>257</v>
      </c>
      <c r="F109" s="190" t="s">
        <v>335</v>
      </c>
      <c r="G109" s="190" t="s">
        <v>258</v>
      </c>
      <c r="H109" s="190" t="s">
        <v>65</v>
      </c>
      <c r="I109" s="191" t="s">
        <v>569</v>
      </c>
      <c r="J109" s="190" t="s">
        <v>383</v>
      </c>
      <c r="K109" s="191" t="s">
        <v>221</v>
      </c>
      <c r="L109" s="192" t="s">
        <v>205</v>
      </c>
      <c r="M109" s="190" t="s">
        <v>210</v>
      </c>
      <c r="N109" s="190">
        <v>7500</v>
      </c>
      <c r="O109" s="190">
        <v>2998</v>
      </c>
      <c r="P109" s="190">
        <v>0</v>
      </c>
      <c r="Q109" s="190">
        <v>2025</v>
      </c>
      <c r="R109" s="190">
        <v>1</v>
      </c>
    </row>
    <row r="110" spans="1:18" x14ac:dyDescent="0.2">
      <c r="A110" s="190" t="s">
        <v>50</v>
      </c>
      <c r="B110" s="191" t="s">
        <v>248</v>
      </c>
      <c r="C110" s="191" t="s">
        <v>5</v>
      </c>
      <c r="D110" s="191" t="s">
        <v>249</v>
      </c>
      <c r="E110" s="191" t="s">
        <v>257</v>
      </c>
      <c r="F110" s="190" t="s">
        <v>335</v>
      </c>
      <c r="G110" s="190" t="s">
        <v>258</v>
      </c>
      <c r="H110" s="190" t="s">
        <v>21</v>
      </c>
      <c r="I110" s="191" t="s">
        <v>571</v>
      </c>
      <c r="J110" s="190" t="s">
        <v>657</v>
      </c>
      <c r="K110" s="191" t="s">
        <v>227</v>
      </c>
      <c r="L110" s="192" t="s">
        <v>205</v>
      </c>
      <c r="M110" s="190" t="s">
        <v>210</v>
      </c>
      <c r="N110" s="190">
        <v>7800</v>
      </c>
      <c r="O110" s="190">
        <v>3933</v>
      </c>
      <c r="P110" s="190">
        <v>1</v>
      </c>
      <c r="Q110" s="190">
        <v>2025</v>
      </c>
      <c r="R110" s="190">
        <v>1</v>
      </c>
    </row>
    <row r="111" spans="1:18" x14ac:dyDescent="0.2">
      <c r="A111" s="190" t="s">
        <v>50</v>
      </c>
      <c r="B111" s="191" t="s">
        <v>248</v>
      </c>
      <c r="C111" s="191" t="s">
        <v>5</v>
      </c>
      <c r="D111" s="191" t="s">
        <v>249</v>
      </c>
      <c r="E111" s="191" t="s">
        <v>257</v>
      </c>
      <c r="F111" s="190" t="s">
        <v>335</v>
      </c>
      <c r="G111" s="190" t="s">
        <v>258</v>
      </c>
      <c r="H111" s="190" t="s">
        <v>21</v>
      </c>
      <c r="I111" s="191" t="s">
        <v>572</v>
      </c>
      <c r="J111" s="190" t="s">
        <v>727</v>
      </c>
      <c r="K111" s="191" t="s">
        <v>227</v>
      </c>
      <c r="L111" s="192" t="s">
        <v>205</v>
      </c>
      <c r="M111" s="190" t="s">
        <v>210</v>
      </c>
      <c r="N111" s="190">
        <v>10300</v>
      </c>
      <c r="O111" s="190">
        <v>3933</v>
      </c>
      <c r="P111" s="190">
        <v>1</v>
      </c>
      <c r="Q111" s="190">
        <v>2025</v>
      </c>
      <c r="R111" s="190">
        <v>1</v>
      </c>
    </row>
    <row r="112" spans="1:18" x14ac:dyDescent="0.2">
      <c r="A112" s="190" t="s">
        <v>57</v>
      </c>
      <c r="B112" s="191" t="s">
        <v>211</v>
      </c>
      <c r="C112" s="191" t="s">
        <v>187</v>
      </c>
      <c r="D112" s="191" t="s">
        <v>4</v>
      </c>
      <c r="E112" s="191" t="s">
        <v>202</v>
      </c>
      <c r="F112" s="190" t="s">
        <v>212</v>
      </c>
      <c r="G112" s="190" t="s">
        <v>208</v>
      </c>
      <c r="H112" s="190" t="s">
        <v>65</v>
      </c>
      <c r="I112" s="191" t="s">
        <v>101</v>
      </c>
      <c r="J112" s="190" t="s">
        <v>409</v>
      </c>
      <c r="K112" s="191" t="s">
        <v>221</v>
      </c>
      <c r="L112" s="192" t="s">
        <v>205</v>
      </c>
      <c r="M112" s="190" t="s">
        <v>210</v>
      </c>
      <c r="N112" s="190">
        <v>7500</v>
      </c>
      <c r="O112" s="190">
        <v>2998</v>
      </c>
      <c r="P112" s="190">
        <v>3</v>
      </c>
      <c r="Q112" s="190">
        <v>2024</v>
      </c>
      <c r="R112" s="190">
        <v>1</v>
      </c>
    </row>
    <row r="113" spans="1:18" x14ac:dyDescent="0.2">
      <c r="A113" s="190" t="s">
        <v>57</v>
      </c>
      <c r="B113" s="191" t="s">
        <v>211</v>
      </c>
      <c r="C113" s="191" t="s">
        <v>187</v>
      </c>
      <c r="D113" s="191" t="s">
        <v>4</v>
      </c>
      <c r="E113" s="191" t="s">
        <v>202</v>
      </c>
      <c r="F113" s="190" t="s">
        <v>212</v>
      </c>
      <c r="G113" s="190" t="s">
        <v>208</v>
      </c>
      <c r="H113" s="190" t="s">
        <v>65</v>
      </c>
      <c r="I113" s="191" t="s">
        <v>101</v>
      </c>
      <c r="J113" s="190" t="s">
        <v>415</v>
      </c>
      <c r="K113" s="191" t="s">
        <v>221</v>
      </c>
      <c r="L113" s="192" t="s">
        <v>205</v>
      </c>
      <c r="M113" s="190" t="s">
        <v>210</v>
      </c>
      <c r="N113" s="190">
        <v>8550</v>
      </c>
      <c r="O113" s="190">
        <v>2998</v>
      </c>
      <c r="P113" s="190">
        <v>3</v>
      </c>
      <c r="Q113" s="190">
        <v>2025</v>
      </c>
      <c r="R113" s="190">
        <v>2</v>
      </c>
    </row>
    <row r="114" spans="1:18" x14ac:dyDescent="0.2">
      <c r="A114" s="190" t="s">
        <v>57</v>
      </c>
      <c r="B114" s="191" t="s">
        <v>211</v>
      </c>
      <c r="C114" s="191" t="s">
        <v>187</v>
      </c>
      <c r="D114" s="191" t="s">
        <v>4</v>
      </c>
      <c r="E114" s="191" t="s">
        <v>202</v>
      </c>
      <c r="F114" s="190" t="s">
        <v>212</v>
      </c>
      <c r="G114" s="190" t="s">
        <v>208</v>
      </c>
      <c r="H114" s="190" t="s">
        <v>22</v>
      </c>
      <c r="I114" s="191" t="s">
        <v>106</v>
      </c>
      <c r="J114" s="190" t="s">
        <v>223</v>
      </c>
      <c r="K114" s="191" t="s">
        <v>221</v>
      </c>
      <c r="L114" s="192" t="s">
        <v>205</v>
      </c>
      <c r="M114" s="190" t="s">
        <v>210</v>
      </c>
      <c r="N114" s="190">
        <v>7500</v>
      </c>
      <c r="O114" s="190">
        <v>4009</v>
      </c>
      <c r="P114" s="190">
        <v>3</v>
      </c>
      <c r="Q114" s="190">
        <v>2025</v>
      </c>
      <c r="R114" s="190">
        <v>3</v>
      </c>
    </row>
    <row r="115" spans="1:18" x14ac:dyDescent="0.2">
      <c r="A115" s="190" t="s">
        <v>57</v>
      </c>
      <c r="B115" s="191" t="s">
        <v>211</v>
      </c>
      <c r="C115" s="191" t="s">
        <v>187</v>
      </c>
      <c r="D115" s="191" t="s">
        <v>4</v>
      </c>
      <c r="E115" s="191" t="s">
        <v>202</v>
      </c>
      <c r="F115" s="190" t="s">
        <v>212</v>
      </c>
      <c r="G115" s="190" t="s">
        <v>208</v>
      </c>
      <c r="H115" s="190" t="s">
        <v>22</v>
      </c>
      <c r="I115" s="191" t="s">
        <v>109</v>
      </c>
      <c r="J115" s="190" t="s">
        <v>220</v>
      </c>
      <c r="K115" s="191" t="s">
        <v>221</v>
      </c>
      <c r="L115" s="192" t="s">
        <v>205</v>
      </c>
      <c r="M115" s="190" t="s">
        <v>210</v>
      </c>
      <c r="N115" s="190">
        <v>10500</v>
      </c>
      <c r="O115" s="190">
        <v>5123</v>
      </c>
      <c r="P115" s="190">
        <v>3</v>
      </c>
      <c r="Q115" s="190">
        <v>2025</v>
      </c>
      <c r="R115" s="190">
        <v>1</v>
      </c>
    </row>
    <row r="116" spans="1:18" x14ac:dyDescent="0.2">
      <c r="A116" s="190" t="s">
        <v>57</v>
      </c>
      <c r="B116" s="191" t="s">
        <v>211</v>
      </c>
      <c r="C116" s="191" t="s">
        <v>187</v>
      </c>
      <c r="D116" s="191" t="s">
        <v>4</v>
      </c>
      <c r="E116" s="191" t="s">
        <v>202</v>
      </c>
      <c r="F116" s="190" t="s">
        <v>212</v>
      </c>
      <c r="G116" s="190" t="s">
        <v>208</v>
      </c>
      <c r="H116" s="190" t="s">
        <v>24</v>
      </c>
      <c r="I116" s="191" t="s">
        <v>120</v>
      </c>
      <c r="J116" s="190" t="s">
        <v>233</v>
      </c>
      <c r="K116" s="191" t="s">
        <v>221</v>
      </c>
      <c r="L116" s="192" t="s">
        <v>205</v>
      </c>
      <c r="M116" s="190" t="s">
        <v>210</v>
      </c>
      <c r="N116" s="190">
        <v>8000</v>
      </c>
      <c r="O116" s="190">
        <v>5193</v>
      </c>
      <c r="P116" s="190">
        <v>3</v>
      </c>
      <c r="Q116" s="190">
        <v>2025</v>
      </c>
      <c r="R116" s="190">
        <v>1</v>
      </c>
    </row>
    <row r="117" spans="1:18" x14ac:dyDescent="0.2">
      <c r="A117" s="190" t="s">
        <v>57</v>
      </c>
      <c r="B117" s="191" t="s">
        <v>211</v>
      </c>
      <c r="C117" s="191" t="s">
        <v>187</v>
      </c>
      <c r="D117" s="191" t="s">
        <v>4</v>
      </c>
      <c r="E117" s="191" t="s">
        <v>202</v>
      </c>
      <c r="F117" s="190" t="s">
        <v>269</v>
      </c>
      <c r="G117" s="190" t="s">
        <v>208</v>
      </c>
      <c r="H117" s="190" t="s">
        <v>24</v>
      </c>
      <c r="I117" s="191" t="s">
        <v>114</v>
      </c>
      <c r="J117" s="190" t="s">
        <v>230</v>
      </c>
      <c r="K117" s="191" t="s">
        <v>221</v>
      </c>
      <c r="L117" s="192" t="s">
        <v>205</v>
      </c>
      <c r="M117" s="190" t="s">
        <v>210</v>
      </c>
      <c r="N117" s="190">
        <v>10400</v>
      </c>
      <c r="O117" s="190">
        <v>5193</v>
      </c>
      <c r="P117" s="190">
        <v>3</v>
      </c>
      <c r="Q117" s="190">
        <v>2024</v>
      </c>
      <c r="R117" s="190">
        <v>1</v>
      </c>
    </row>
    <row r="118" spans="1:18" x14ac:dyDescent="0.2">
      <c r="A118" s="190" t="s">
        <v>57</v>
      </c>
      <c r="B118" s="191" t="s">
        <v>211</v>
      </c>
      <c r="C118" s="191" t="s">
        <v>187</v>
      </c>
      <c r="D118" s="191" t="s">
        <v>4</v>
      </c>
      <c r="E118" s="191" t="s">
        <v>202</v>
      </c>
      <c r="F118" s="190" t="s">
        <v>269</v>
      </c>
      <c r="G118" s="190" t="s">
        <v>203</v>
      </c>
      <c r="H118" s="190" t="s">
        <v>22</v>
      </c>
      <c r="I118" s="191" t="s">
        <v>107</v>
      </c>
      <c r="J118" s="190" t="s">
        <v>220</v>
      </c>
      <c r="K118" s="191" t="s">
        <v>221</v>
      </c>
      <c r="L118" s="192" t="s">
        <v>205</v>
      </c>
      <c r="M118" s="190" t="s">
        <v>210</v>
      </c>
      <c r="N118" s="190">
        <v>12500</v>
      </c>
      <c r="O118" s="190">
        <v>7684</v>
      </c>
      <c r="P118" s="190">
        <v>3</v>
      </c>
      <c r="Q118" s="190">
        <v>2025</v>
      </c>
      <c r="R118" s="190">
        <v>1</v>
      </c>
    </row>
    <row r="119" spans="1:18" x14ac:dyDescent="0.2">
      <c r="A119" s="190" t="s">
        <v>57</v>
      </c>
      <c r="B119" s="191" t="s">
        <v>211</v>
      </c>
      <c r="C119" s="191" t="s">
        <v>187</v>
      </c>
      <c r="D119" s="191" t="s">
        <v>4</v>
      </c>
      <c r="E119" s="191" t="s">
        <v>202</v>
      </c>
      <c r="F119" s="190" t="s">
        <v>216</v>
      </c>
      <c r="G119" s="190" t="s">
        <v>208</v>
      </c>
      <c r="H119" s="190" t="s">
        <v>24</v>
      </c>
      <c r="I119" s="191" t="s">
        <v>118</v>
      </c>
      <c r="J119" s="190" t="s">
        <v>231</v>
      </c>
      <c r="K119" s="191" t="s">
        <v>221</v>
      </c>
      <c r="L119" s="192" t="s">
        <v>205</v>
      </c>
      <c r="M119" s="190" t="s">
        <v>210</v>
      </c>
      <c r="N119" s="190">
        <v>5045</v>
      </c>
      <c r="O119" s="190">
        <v>2999</v>
      </c>
      <c r="P119" s="190">
        <v>3</v>
      </c>
      <c r="Q119" s="190">
        <v>2025</v>
      </c>
      <c r="R119" s="190">
        <v>1</v>
      </c>
    </row>
    <row r="120" spans="1:18" x14ac:dyDescent="0.2">
      <c r="A120" s="190" t="s">
        <v>57</v>
      </c>
      <c r="B120" s="191" t="s">
        <v>211</v>
      </c>
      <c r="C120" s="191" t="s">
        <v>187</v>
      </c>
      <c r="D120" s="191" t="s">
        <v>4</v>
      </c>
      <c r="E120" s="191" t="s">
        <v>202</v>
      </c>
      <c r="F120" s="190" t="s">
        <v>216</v>
      </c>
      <c r="G120" s="190" t="s">
        <v>208</v>
      </c>
      <c r="H120" s="190" t="s">
        <v>24</v>
      </c>
      <c r="I120" s="191" t="s">
        <v>119</v>
      </c>
      <c r="J120" s="190" t="s">
        <v>232</v>
      </c>
      <c r="K120" s="191" t="s">
        <v>221</v>
      </c>
      <c r="L120" s="192" t="s">
        <v>205</v>
      </c>
      <c r="M120" s="190" t="s">
        <v>210</v>
      </c>
      <c r="N120" s="190">
        <v>7000</v>
      </c>
      <c r="O120" s="190">
        <v>5193</v>
      </c>
      <c r="P120" s="190">
        <v>3</v>
      </c>
      <c r="Q120" s="190">
        <v>2025</v>
      </c>
      <c r="R120" s="190">
        <v>1</v>
      </c>
    </row>
    <row r="121" spans="1:18" x14ac:dyDescent="0.2">
      <c r="A121" s="190" t="s">
        <v>57</v>
      </c>
      <c r="B121" s="191" t="s">
        <v>211</v>
      </c>
      <c r="C121" s="191" t="s">
        <v>187</v>
      </c>
      <c r="D121" s="191" t="s">
        <v>4</v>
      </c>
      <c r="E121" s="191" t="s">
        <v>202</v>
      </c>
      <c r="F121" s="190" t="s">
        <v>216</v>
      </c>
      <c r="G121" s="190" t="s">
        <v>203</v>
      </c>
      <c r="H121" s="190" t="s">
        <v>24</v>
      </c>
      <c r="I121" s="191" t="s">
        <v>116</v>
      </c>
      <c r="J121" s="190" t="s">
        <v>239</v>
      </c>
      <c r="K121" s="191" t="s">
        <v>221</v>
      </c>
      <c r="L121" s="192" t="s">
        <v>205</v>
      </c>
      <c r="M121" s="190" t="s">
        <v>210</v>
      </c>
      <c r="N121" s="190">
        <v>18630</v>
      </c>
      <c r="O121" s="190">
        <v>7790</v>
      </c>
      <c r="P121" s="190">
        <v>3</v>
      </c>
      <c r="Q121" s="190">
        <v>2025</v>
      </c>
      <c r="R121" s="190">
        <v>1</v>
      </c>
    </row>
    <row r="122" spans="1:18" x14ac:dyDescent="0.2">
      <c r="A122" s="190" t="s">
        <v>57</v>
      </c>
      <c r="B122" s="191" t="s">
        <v>211</v>
      </c>
      <c r="C122" s="191" t="s">
        <v>187</v>
      </c>
      <c r="D122" s="191" t="s">
        <v>4</v>
      </c>
      <c r="E122" s="191" t="s">
        <v>202</v>
      </c>
      <c r="F122" s="190" t="s">
        <v>219</v>
      </c>
      <c r="G122" s="190" t="s">
        <v>203</v>
      </c>
      <c r="H122" s="190" t="s">
        <v>22</v>
      </c>
      <c r="I122" s="191" t="s">
        <v>105</v>
      </c>
      <c r="J122" s="190" t="s">
        <v>235</v>
      </c>
      <c r="K122" s="191" t="s">
        <v>221</v>
      </c>
      <c r="L122" s="192" t="s">
        <v>205</v>
      </c>
      <c r="M122" s="190" t="s">
        <v>206</v>
      </c>
      <c r="N122" s="190">
        <v>28000</v>
      </c>
      <c r="O122" s="190">
        <v>8866</v>
      </c>
      <c r="P122" s="190">
        <v>3</v>
      </c>
      <c r="Q122" s="190">
        <v>2025</v>
      </c>
      <c r="R122" s="190">
        <v>1</v>
      </c>
    </row>
    <row r="123" spans="1:18" x14ac:dyDescent="0.2">
      <c r="A123" s="190" t="s">
        <v>57</v>
      </c>
      <c r="B123" s="191" t="s">
        <v>248</v>
      </c>
      <c r="C123" s="191" t="s">
        <v>5</v>
      </c>
      <c r="D123" s="191" t="s">
        <v>249</v>
      </c>
      <c r="E123" s="191" t="s">
        <v>250</v>
      </c>
      <c r="F123" s="190" t="s">
        <v>250</v>
      </c>
      <c r="G123" s="190" t="s">
        <v>251</v>
      </c>
      <c r="H123" s="190" t="s">
        <v>21</v>
      </c>
      <c r="I123" s="191" t="s">
        <v>570</v>
      </c>
      <c r="J123" s="190" t="s">
        <v>665</v>
      </c>
      <c r="K123" s="191" t="s">
        <v>666</v>
      </c>
      <c r="L123" s="192" t="s">
        <v>205</v>
      </c>
      <c r="M123" s="190" t="s">
        <v>210</v>
      </c>
      <c r="N123" s="190">
        <v>4000</v>
      </c>
      <c r="O123" s="190">
        <v>2497</v>
      </c>
      <c r="P123" s="190">
        <v>19</v>
      </c>
      <c r="Q123" s="190">
        <v>2024</v>
      </c>
      <c r="R123" s="190">
        <v>2</v>
      </c>
    </row>
    <row r="124" spans="1:18" x14ac:dyDescent="0.2">
      <c r="A124" s="190" t="s">
        <v>55</v>
      </c>
      <c r="B124" s="191" t="s">
        <v>207</v>
      </c>
      <c r="C124" s="191" t="s">
        <v>187</v>
      </c>
      <c r="D124" s="191" t="s">
        <v>4</v>
      </c>
      <c r="E124" s="191" t="s">
        <v>202</v>
      </c>
      <c r="F124" s="190" t="s">
        <v>269</v>
      </c>
      <c r="G124" s="190" t="s">
        <v>203</v>
      </c>
      <c r="H124" s="190" t="s">
        <v>19</v>
      </c>
      <c r="I124" s="191" t="s">
        <v>129</v>
      </c>
      <c r="J124" s="190" t="s">
        <v>265</v>
      </c>
      <c r="K124" s="191" t="s">
        <v>204</v>
      </c>
      <c r="L124" s="192" t="s">
        <v>205</v>
      </c>
      <c r="M124" s="190" t="s">
        <v>206</v>
      </c>
      <c r="N124" s="190">
        <v>33500</v>
      </c>
      <c r="O124" s="190">
        <v>7201</v>
      </c>
      <c r="P124" s="190">
        <v>2</v>
      </c>
      <c r="Q124" s="190">
        <v>2025</v>
      </c>
      <c r="R124" s="190">
        <v>1</v>
      </c>
    </row>
    <row r="125" spans="1:18" x14ac:dyDescent="0.2">
      <c r="A125" s="190" t="s">
        <v>55</v>
      </c>
      <c r="B125" s="191" t="s">
        <v>207</v>
      </c>
      <c r="C125" s="191" t="s">
        <v>187</v>
      </c>
      <c r="D125" s="191" t="s">
        <v>4</v>
      </c>
      <c r="E125" s="191" t="s">
        <v>202</v>
      </c>
      <c r="F125" s="190" t="s">
        <v>613</v>
      </c>
      <c r="G125" s="190" t="s">
        <v>203</v>
      </c>
      <c r="H125" s="190" t="s">
        <v>24</v>
      </c>
      <c r="I125" s="191" t="s">
        <v>116</v>
      </c>
      <c r="J125" s="190" t="s">
        <v>239</v>
      </c>
      <c r="K125" s="191" t="s">
        <v>221</v>
      </c>
      <c r="L125" s="192" t="s">
        <v>205</v>
      </c>
      <c r="M125" s="190" t="s">
        <v>210</v>
      </c>
      <c r="N125" s="190">
        <v>18630</v>
      </c>
      <c r="O125" s="190">
        <v>7790</v>
      </c>
      <c r="P125" s="190">
        <v>3</v>
      </c>
      <c r="Q125" s="190">
        <v>2024</v>
      </c>
      <c r="R125" s="190">
        <v>1</v>
      </c>
    </row>
    <row r="126" spans="1:18" x14ac:dyDescent="0.2">
      <c r="A126" s="190" t="s">
        <v>55</v>
      </c>
      <c r="B126" s="191" t="s">
        <v>207</v>
      </c>
      <c r="C126" s="191" t="s">
        <v>187</v>
      </c>
      <c r="D126" s="191" t="s">
        <v>4</v>
      </c>
      <c r="E126" s="191" t="s">
        <v>202</v>
      </c>
      <c r="F126" s="190" t="s">
        <v>613</v>
      </c>
      <c r="G126" s="190" t="s">
        <v>203</v>
      </c>
      <c r="H126" s="190" t="s">
        <v>24</v>
      </c>
      <c r="I126" s="191" t="s">
        <v>116</v>
      </c>
      <c r="J126" s="190" t="s">
        <v>239</v>
      </c>
      <c r="K126" s="191" t="s">
        <v>221</v>
      </c>
      <c r="L126" s="192" t="s">
        <v>205</v>
      </c>
      <c r="M126" s="190" t="s">
        <v>210</v>
      </c>
      <c r="N126" s="190">
        <v>18630</v>
      </c>
      <c r="O126" s="190">
        <v>7790</v>
      </c>
      <c r="P126" s="190">
        <v>3</v>
      </c>
      <c r="Q126" s="190">
        <v>2025</v>
      </c>
      <c r="R126" s="190">
        <v>1</v>
      </c>
    </row>
    <row r="127" spans="1:18" x14ac:dyDescent="0.2">
      <c r="A127" s="190" t="s">
        <v>55</v>
      </c>
      <c r="B127" s="191" t="s">
        <v>207</v>
      </c>
      <c r="C127" s="191" t="s">
        <v>187</v>
      </c>
      <c r="D127" s="191" t="s">
        <v>4</v>
      </c>
      <c r="E127" s="191" t="s">
        <v>202</v>
      </c>
      <c r="F127" s="190" t="s">
        <v>219</v>
      </c>
      <c r="G127" s="190" t="s">
        <v>203</v>
      </c>
      <c r="H127" s="190" t="s">
        <v>449</v>
      </c>
      <c r="I127" s="191" t="s">
        <v>490</v>
      </c>
      <c r="J127" s="190" t="s">
        <v>344</v>
      </c>
      <c r="K127" s="191" t="s">
        <v>621</v>
      </c>
      <c r="L127" s="192" t="s">
        <v>205</v>
      </c>
      <c r="M127" s="190" t="s">
        <v>206</v>
      </c>
      <c r="N127" s="190">
        <v>41000</v>
      </c>
      <c r="O127" s="190">
        <v>12882</v>
      </c>
      <c r="P127" s="190">
        <v>2</v>
      </c>
      <c r="Q127" s="190">
        <v>2024</v>
      </c>
      <c r="R127" s="190">
        <v>2</v>
      </c>
    </row>
    <row r="128" spans="1:18" x14ac:dyDescent="0.2">
      <c r="A128" s="190" t="s">
        <v>55</v>
      </c>
      <c r="B128" s="191" t="s">
        <v>207</v>
      </c>
      <c r="C128" s="191" t="s">
        <v>187</v>
      </c>
      <c r="D128" s="191" t="s">
        <v>4</v>
      </c>
      <c r="E128" s="191" t="s">
        <v>202</v>
      </c>
      <c r="F128" s="190" t="s">
        <v>219</v>
      </c>
      <c r="G128" s="190" t="s">
        <v>203</v>
      </c>
      <c r="H128" s="190" t="s">
        <v>19</v>
      </c>
      <c r="I128" s="191" t="s">
        <v>283</v>
      </c>
      <c r="J128" s="190" t="s">
        <v>283</v>
      </c>
      <c r="K128" s="191" t="s">
        <v>240</v>
      </c>
      <c r="L128" s="192" t="s">
        <v>205</v>
      </c>
      <c r="M128" s="190" t="s">
        <v>206</v>
      </c>
      <c r="N128" s="190">
        <v>41000</v>
      </c>
      <c r="O128" s="190">
        <v>12809</v>
      </c>
      <c r="P128" s="190">
        <v>2</v>
      </c>
      <c r="Q128" s="190">
        <v>2024</v>
      </c>
      <c r="R128" s="190">
        <v>1</v>
      </c>
    </row>
    <row r="129" spans="1:18" x14ac:dyDescent="0.2">
      <c r="A129" s="190" t="s">
        <v>55</v>
      </c>
      <c r="B129" s="191" t="s">
        <v>211</v>
      </c>
      <c r="C129" s="191" t="s">
        <v>187</v>
      </c>
      <c r="D129" s="191" t="s">
        <v>4</v>
      </c>
      <c r="E129" s="191" t="s">
        <v>212</v>
      </c>
      <c r="F129" s="190" t="s">
        <v>212</v>
      </c>
      <c r="G129" s="190" t="s">
        <v>208</v>
      </c>
      <c r="H129" s="190" t="s">
        <v>35</v>
      </c>
      <c r="I129" s="191" t="s">
        <v>472</v>
      </c>
      <c r="J129" s="190" t="s">
        <v>98</v>
      </c>
      <c r="K129" s="191" t="s">
        <v>213</v>
      </c>
      <c r="L129" s="192" t="s">
        <v>205</v>
      </c>
      <c r="M129" s="190" t="s">
        <v>210</v>
      </c>
      <c r="N129" s="190">
        <v>6950</v>
      </c>
      <c r="O129" s="190">
        <v>2771</v>
      </c>
      <c r="P129" s="190">
        <v>3</v>
      </c>
      <c r="Q129" s="190">
        <v>2024</v>
      </c>
      <c r="R129" s="190">
        <v>1</v>
      </c>
    </row>
    <row r="130" spans="1:18" x14ac:dyDescent="0.2">
      <c r="A130" s="190" t="s">
        <v>55</v>
      </c>
      <c r="B130" s="191" t="s">
        <v>211</v>
      </c>
      <c r="C130" s="191" t="s">
        <v>187</v>
      </c>
      <c r="D130" s="191" t="s">
        <v>4</v>
      </c>
      <c r="E130" s="191" t="s">
        <v>212</v>
      </c>
      <c r="F130" s="190" t="s">
        <v>212</v>
      </c>
      <c r="G130" s="190" t="s">
        <v>208</v>
      </c>
      <c r="H130" s="190" t="s">
        <v>35</v>
      </c>
      <c r="I130" s="191" t="s">
        <v>473</v>
      </c>
      <c r="J130" s="190" t="s">
        <v>614</v>
      </c>
      <c r="K130" s="191" t="s">
        <v>213</v>
      </c>
      <c r="L130" s="192" t="s">
        <v>205</v>
      </c>
      <c r="M130" s="190" t="s">
        <v>210</v>
      </c>
      <c r="N130" s="190">
        <v>6500</v>
      </c>
      <c r="O130" s="190">
        <v>2499</v>
      </c>
      <c r="P130" s="190">
        <v>5</v>
      </c>
      <c r="Q130" s="190">
        <v>2025</v>
      </c>
      <c r="R130" s="190">
        <v>1</v>
      </c>
    </row>
    <row r="131" spans="1:18" x14ac:dyDescent="0.2">
      <c r="A131" s="190" t="s">
        <v>55</v>
      </c>
      <c r="B131" s="191" t="s">
        <v>211</v>
      </c>
      <c r="C131" s="191" t="s">
        <v>187</v>
      </c>
      <c r="D131" s="191" t="s">
        <v>4</v>
      </c>
      <c r="E131" s="191" t="s">
        <v>212</v>
      </c>
      <c r="F131" s="190" t="s">
        <v>212</v>
      </c>
      <c r="G131" s="190" t="s">
        <v>208</v>
      </c>
      <c r="H131" s="190" t="s">
        <v>23</v>
      </c>
      <c r="I131" s="191" t="s">
        <v>305</v>
      </c>
      <c r="J131" s="190" t="s">
        <v>93</v>
      </c>
      <c r="K131" s="191" t="s">
        <v>213</v>
      </c>
      <c r="L131" s="192" t="s">
        <v>205</v>
      </c>
      <c r="M131" s="190" t="s">
        <v>210</v>
      </c>
      <c r="N131" s="190">
        <v>5900</v>
      </c>
      <c r="O131" s="190">
        <v>2771</v>
      </c>
      <c r="P131" s="190">
        <v>3</v>
      </c>
      <c r="Q131" s="190">
        <v>2024</v>
      </c>
      <c r="R131" s="190">
        <v>1</v>
      </c>
    </row>
    <row r="132" spans="1:18" x14ac:dyDescent="0.2">
      <c r="A132" s="190" t="s">
        <v>55</v>
      </c>
      <c r="B132" s="191" t="s">
        <v>211</v>
      </c>
      <c r="C132" s="191" t="s">
        <v>187</v>
      </c>
      <c r="D132" s="191" t="s">
        <v>4</v>
      </c>
      <c r="E132" s="191" t="s">
        <v>212</v>
      </c>
      <c r="F132" s="190" t="s">
        <v>212</v>
      </c>
      <c r="G132" s="190" t="s">
        <v>208</v>
      </c>
      <c r="H132" s="190" t="s">
        <v>29</v>
      </c>
      <c r="I132" s="191" t="s">
        <v>123</v>
      </c>
      <c r="J132" s="190" t="s">
        <v>214</v>
      </c>
      <c r="K132" s="191" t="s">
        <v>213</v>
      </c>
      <c r="L132" s="192" t="s">
        <v>205</v>
      </c>
      <c r="M132" s="190" t="s">
        <v>210</v>
      </c>
      <c r="N132" s="190">
        <v>6600</v>
      </c>
      <c r="O132" s="190">
        <v>2746</v>
      </c>
      <c r="P132" s="190">
        <v>3</v>
      </c>
      <c r="Q132" s="190">
        <v>2025</v>
      </c>
      <c r="R132" s="190">
        <v>1</v>
      </c>
    </row>
    <row r="133" spans="1:18" x14ac:dyDescent="0.2">
      <c r="A133" s="190" t="s">
        <v>55</v>
      </c>
      <c r="B133" s="191" t="s">
        <v>211</v>
      </c>
      <c r="C133" s="191" t="s">
        <v>187</v>
      </c>
      <c r="D133" s="191" t="s">
        <v>4</v>
      </c>
      <c r="E133" s="191" t="s">
        <v>212</v>
      </c>
      <c r="F133" s="190" t="s">
        <v>212</v>
      </c>
      <c r="G133" s="190" t="s">
        <v>208</v>
      </c>
      <c r="H133" s="190" t="s">
        <v>39</v>
      </c>
      <c r="I133" s="191" t="s">
        <v>285</v>
      </c>
      <c r="J133" s="190" t="s">
        <v>286</v>
      </c>
      <c r="K133" s="191" t="s">
        <v>213</v>
      </c>
      <c r="L133" s="192" t="s">
        <v>205</v>
      </c>
      <c r="M133" s="190" t="s">
        <v>210</v>
      </c>
      <c r="N133" s="190">
        <v>6361</v>
      </c>
      <c r="O133" s="190">
        <v>2771</v>
      </c>
      <c r="P133" s="190">
        <v>3</v>
      </c>
      <c r="Q133" s="190">
        <v>2025</v>
      </c>
      <c r="R133" s="190">
        <v>2</v>
      </c>
    </row>
    <row r="134" spans="1:18" x14ac:dyDescent="0.2">
      <c r="A134" s="190" t="s">
        <v>55</v>
      </c>
      <c r="B134" s="191" t="s">
        <v>211</v>
      </c>
      <c r="C134" s="191" t="s">
        <v>187</v>
      </c>
      <c r="D134" s="191" t="s">
        <v>4</v>
      </c>
      <c r="E134" s="191" t="s">
        <v>212</v>
      </c>
      <c r="F134" s="190" t="s">
        <v>212</v>
      </c>
      <c r="G134" s="190" t="s">
        <v>208</v>
      </c>
      <c r="H134" s="190" t="s">
        <v>47</v>
      </c>
      <c r="I134" s="191" t="s">
        <v>358</v>
      </c>
      <c r="J134" s="190" t="s">
        <v>293</v>
      </c>
      <c r="K134" s="191" t="s">
        <v>213</v>
      </c>
      <c r="L134" s="192" t="s">
        <v>205</v>
      </c>
      <c r="M134" s="190" t="s">
        <v>210</v>
      </c>
      <c r="N134" s="190">
        <v>7620</v>
      </c>
      <c r="O134" s="190">
        <v>2771</v>
      </c>
      <c r="P134" s="190">
        <v>3</v>
      </c>
      <c r="Q134" s="190">
        <v>2024</v>
      </c>
      <c r="R134" s="190">
        <v>1</v>
      </c>
    </row>
    <row r="135" spans="1:18" x14ac:dyDescent="0.2">
      <c r="A135" s="190" t="s">
        <v>55</v>
      </c>
      <c r="B135" s="191" t="s">
        <v>211</v>
      </c>
      <c r="C135" s="191" t="s">
        <v>187</v>
      </c>
      <c r="D135" s="191" t="s">
        <v>4</v>
      </c>
      <c r="E135" s="191" t="s">
        <v>216</v>
      </c>
      <c r="F135" s="190" t="s">
        <v>216</v>
      </c>
      <c r="G135" s="190" t="s">
        <v>208</v>
      </c>
      <c r="H135" s="190" t="s">
        <v>29</v>
      </c>
      <c r="I135" s="191" t="s">
        <v>123</v>
      </c>
      <c r="J135" s="190" t="s">
        <v>619</v>
      </c>
      <c r="K135" s="191" t="s">
        <v>213</v>
      </c>
      <c r="L135" s="192" t="s">
        <v>205</v>
      </c>
      <c r="M135" s="190" t="s">
        <v>210</v>
      </c>
      <c r="N135" s="190">
        <v>6600</v>
      </c>
      <c r="O135" s="190">
        <v>2746</v>
      </c>
      <c r="P135" s="190">
        <v>3</v>
      </c>
      <c r="Q135" s="190">
        <v>2025</v>
      </c>
      <c r="R135" s="190">
        <v>1</v>
      </c>
    </row>
    <row r="136" spans="1:18" x14ac:dyDescent="0.2">
      <c r="A136" s="190" t="s">
        <v>55</v>
      </c>
      <c r="B136" s="191" t="s">
        <v>211</v>
      </c>
      <c r="C136" s="191" t="s">
        <v>187</v>
      </c>
      <c r="D136" s="191" t="s">
        <v>4</v>
      </c>
      <c r="E136" s="191" t="s">
        <v>219</v>
      </c>
      <c r="F136" s="190" t="s">
        <v>219</v>
      </c>
      <c r="G136" s="190" t="s">
        <v>208</v>
      </c>
      <c r="H136" s="190" t="s">
        <v>34</v>
      </c>
      <c r="I136" s="191" t="s">
        <v>522</v>
      </c>
      <c r="J136" s="190" t="s">
        <v>626</v>
      </c>
      <c r="K136" s="191" t="s">
        <v>213</v>
      </c>
      <c r="L136" s="192" t="s">
        <v>205</v>
      </c>
      <c r="M136" s="190" t="s">
        <v>210</v>
      </c>
      <c r="N136" s="190">
        <v>7510</v>
      </c>
      <c r="O136" s="190">
        <v>2672</v>
      </c>
      <c r="P136" s="190">
        <v>3</v>
      </c>
      <c r="Q136" s="190">
        <v>2025</v>
      </c>
      <c r="R136" s="190">
        <v>1</v>
      </c>
    </row>
    <row r="137" spans="1:18" x14ac:dyDescent="0.2">
      <c r="A137" s="190" t="s">
        <v>55</v>
      </c>
      <c r="B137" s="191" t="s">
        <v>211</v>
      </c>
      <c r="C137" s="191" t="s">
        <v>187</v>
      </c>
      <c r="D137" s="191" t="s">
        <v>4</v>
      </c>
      <c r="E137" s="191" t="s">
        <v>202</v>
      </c>
      <c r="F137" s="190" t="s">
        <v>212</v>
      </c>
      <c r="G137" s="190" t="s">
        <v>208</v>
      </c>
      <c r="H137" s="190" t="s">
        <v>65</v>
      </c>
      <c r="I137" s="191" t="s">
        <v>101</v>
      </c>
      <c r="J137" s="190" t="s">
        <v>409</v>
      </c>
      <c r="K137" s="191" t="s">
        <v>221</v>
      </c>
      <c r="L137" s="192" t="s">
        <v>205</v>
      </c>
      <c r="M137" s="190" t="s">
        <v>210</v>
      </c>
      <c r="N137" s="190">
        <v>7500</v>
      </c>
      <c r="O137" s="190">
        <v>2998</v>
      </c>
      <c r="P137" s="190">
        <v>3</v>
      </c>
      <c r="Q137" s="190">
        <v>2025</v>
      </c>
      <c r="R137" s="190">
        <v>1</v>
      </c>
    </row>
    <row r="138" spans="1:18" x14ac:dyDescent="0.2">
      <c r="A138" s="190" t="s">
        <v>55</v>
      </c>
      <c r="B138" s="191" t="s">
        <v>211</v>
      </c>
      <c r="C138" s="191" t="s">
        <v>187</v>
      </c>
      <c r="D138" s="191" t="s">
        <v>4</v>
      </c>
      <c r="E138" s="191" t="s">
        <v>202</v>
      </c>
      <c r="F138" s="190" t="s">
        <v>212</v>
      </c>
      <c r="G138" s="190" t="s">
        <v>208</v>
      </c>
      <c r="H138" s="190" t="s">
        <v>65</v>
      </c>
      <c r="I138" s="191" t="s">
        <v>101</v>
      </c>
      <c r="J138" s="190" t="s">
        <v>415</v>
      </c>
      <c r="K138" s="191" t="s">
        <v>221</v>
      </c>
      <c r="L138" s="192" t="s">
        <v>205</v>
      </c>
      <c r="M138" s="190" t="s">
        <v>210</v>
      </c>
      <c r="N138" s="190">
        <v>8550</v>
      </c>
      <c r="O138" s="190">
        <v>2998</v>
      </c>
      <c r="P138" s="190">
        <v>3</v>
      </c>
      <c r="Q138" s="190">
        <v>2025</v>
      </c>
      <c r="R138" s="190">
        <v>1</v>
      </c>
    </row>
    <row r="139" spans="1:18" x14ac:dyDescent="0.2">
      <c r="A139" s="190" t="s">
        <v>55</v>
      </c>
      <c r="B139" s="191" t="s">
        <v>211</v>
      </c>
      <c r="C139" s="191" t="s">
        <v>187</v>
      </c>
      <c r="D139" s="191" t="s">
        <v>4</v>
      </c>
      <c r="E139" s="191" t="s">
        <v>202</v>
      </c>
      <c r="F139" s="190" t="s">
        <v>212</v>
      </c>
      <c r="G139" s="190" t="s">
        <v>208</v>
      </c>
      <c r="H139" s="190" t="s">
        <v>21</v>
      </c>
      <c r="I139" s="191" t="s">
        <v>112</v>
      </c>
      <c r="J139" s="190" t="s">
        <v>229</v>
      </c>
      <c r="K139" s="191" t="s">
        <v>213</v>
      </c>
      <c r="L139" s="192" t="s">
        <v>205</v>
      </c>
      <c r="M139" s="190" t="s">
        <v>210</v>
      </c>
      <c r="N139" s="190">
        <v>6500</v>
      </c>
      <c r="O139" s="190">
        <v>2891</v>
      </c>
      <c r="P139" s="190">
        <v>3</v>
      </c>
      <c r="Q139" s="190">
        <v>2025</v>
      </c>
      <c r="R139" s="190">
        <v>1</v>
      </c>
    </row>
    <row r="140" spans="1:18" x14ac:dyDescent="0.2">
      <c r="A140" s="190" t="s">
        <v>55</v>
      </c>
      <c r="B140" s="191" t="s">
        <v>211</v>
      </c>
      <c r="C140" s="191" t="s">
        <v>187</v>
      </c>
      <c r="D140" s="191" t="s">
        <v>4</v>
      </c>
      <c r="E140" s="191" t="s">
        <v>202</v>
      </c>
      <c r="F140" s="190" t="s">
        <v>212</v>
      </c>
      <c r="G140" s="190" t="s">
        <v>208</v>
      </c>
      <c r="H140" s="190" t="s">
        <v>21</v>
      </c>
      <c r="I140" s="191" t="s">
        <v>113</v>
      </c>
      <c r="J140" s="190" t="s">
        <v>220</v>
      </c>
      <c r="K140" s="191" t="s">
        <v>227</v>
      </c>
      <c r="L140" s="192" t="s">
        <v>205</v>
      </c>
      <c r="M140" s="190" t="s">
        <v>210</v>
      </c>
      <c r="N140" s="190">
        <v>7800</v>
      </c>
      <c r="O140" s="190">
        <v>2891</v>
      </c>
      <c r="P140" s="190">
        <v>3</v>
      </c>
      <c r="Q140" s="190">
        <v>2025</v>
      </c>
      <c r="R140" s="190">
        <v>1</v>
      </c>
    </row>
    <row r="141" spans="1:18" x14ac:dyDescent="0.2">
      <c r="A141" s="190" t="s">
        <v>55</v>
      </c>
      <c r="B141" s="191" t="s">
        <v>211</v>
      </c>
      <c r="C141" s="191" t="s">
        <v>187</v>
      </c>
      <c r="D141" s="191" t="s">
        <v>4</v>
      </c>
      <c r="E141" s="191" t="s">
        <v>202</v>
      </c>
      <c r="F141" s="190" t="s">
        <v>212</v>
      </c>
      <c r="G141" s="190" t="s">
        <v>208</v>
      </c>
      <c r="H141" s="190" t="s">
        <v>24</v>
      </c>
      <c r="I141" s="191" t="s">
        <v>118</v>
      </c>
      <c r="J141" s="190" t="s">
        <v>231</v>
      </c>
      <c r="K141" s="191" t="s">
        <v>221</v>
      </c>
      <c r="L141" s="192" t="s">
        <v>205</v>
      </c>
      <c r="M141" s="190" t="s">
        <v>210</v>
      </c>
      <c r="N141" s="190">
        <v>5045</v>
      </c>
      <c r="O141" s="190">
        <v>2999</v>
      </c>
      <c r="P141" s="190">
        <v>3</v>
      </c>
      <c r="Q141" s="190">
        <v>2025</v>
      </c>
      <c r="R141" s="190">
        <v>1</v>
      </c>
    </row>
    <row r="142" spans="1:18" x14ac:dyDescent="0.2">
      <c r="A142" s="190" t="s">
        <v>55</v>
      </c>
      <c r="B142" s="191" t="s">
        <v>211</v>
      </c>
      <c r="C142" s="191" t="s">
        <v>187</v>
      </c>
      <c r="D142" s="191" t="s">
        <v>4</v>
      </c>
      <c r="E142" s="191" t="s">
        <v>202</v>
      </c>
      <c r="F142" s="190" t="s">
        <v>212</v>
      </c>
      <c r="G142" s="190" t="s">
        <v>208</v>
      </c>
      <c r="H142" s="190" t="s">
        <v>24</v>
      </c>
      <c r="I142" s="191" t="s">
        <v>119</v>
      </c>
      <c r="J142" s="190" t="s">
        <v>232</v>
      </c>
      <c r="K142" s="191" t="s">
        <v>221</v>
      </c>
      <c r="L142" s="192" t="s">
        <v>205</v>
      </c>
      <c r="M142" s="190" t="s">
        <v>210</v>
      </c>
      <c r="N142" s="190">
        <v>7000</v>
      </c>
      <c r="O142" s="190">
        <v>5193</v>
      </c>
      <c r="P142" s="190">
        <v>3</v>
      </c>
      <c r="Q142" s="190">
        <v>2024</v>
      </c>
      <c r="R142" s="190">
        <v>1</v>
      </c>
    </row>
    <row r="143" spans="1:18" x14ac:dyDescent="0.2">
      <c r="A143" s="190" t="s">
        <v>55</v>
      </c>
      <c r="B143" s="191" t="s">
        <v>211</v>
      </c>
      <c r="C143" s="191" t="s">
        <v>187</v>
      </c>
      <c r="D143" s="191" t="s">
        <v>4</v>
      </c>
      <c r="E143" s="191" t="s">
        <v>202</v>
      </c>
      <c r="F143" s="190" t="s">
        <v>212</v>
      </c>
      <c r="G143" s="190" t="s">
        <v>208</v>
      </c>
      <c r="H143" s="190" t="s">
        <v>24</v>
      </c>
      <c r="I143" s="191" t="s">
        <v>120</v>
      </c>
      <c r="J143" s="190" t="s">
        <v>233</v>
      </c>
      <c r="K143" s="191" t="s">
        <v>221</v>
      </c>
      <c r="L143" s="192" t="s">
        <v>205</v>
      </c>
      <c r="M143" s="190" t="s">
        <v>210</v>
      </c>
      <c r="N143" s="190">
        <v>8000</v>
      </c>
      <c r="O143" s="190">
        <v>5193</v>
      </c>
      <c r="P143" s="190">
        <v>3</v>
      </c>
      <c r="Q143" s="190">
        <v>2025</v>
      </c>
      <c r="R143" s="190">
        <v>1</v>
      </c>
    </row>
    <row r="144" spans="1:18" x14ac:dyDescent="0.2">
      <c r="A144" s="190" t="s">
        <v>55</v>
      </c>
      <c r="B144" s="191" t="s">
        <v>211</v>
      </c>
      <c r="C144" s="191" t="s">
        <v>187</v>
      </c>
      <c r="D144" s="191" t="s">
        <v>4</v>
      </c>
      <c r="E144" s="191" t="s">
        <v>202</v>
      </c>
      <c r="F144" s="190" t="s">
        <v>212</v>
      </c>
      <c r="G144" s="190" t="s">
        <v>208</v>
      </c>
      <c r="H144" s="190" t="s">
        <v>24</v>
      </c>
      <c r="I144" s="191" t="s">
        <v>121</v>
      </c>
      <c r="J144" s="190" t="s">
        <v>232</v>
      </c>
      <c r="K144" s="191" t="s">
        <v>221</v>
      </c>
      <c r="L144" s="192" t="s">
        <v>205</v>
      </c>
      <c r="M144" s="190" t="s">
        <v>234</v>
      </c>
      <c r="N144" s="190">
        <v>6960</v>
      </c>
      <c r="O144" s="190">
        <v>5193</v>
      </c>
      <c r="P144" s="190">
        <v>3</v>
      </c>
      <c r="Q144" s="190">
        <v>2025</v>
      </c>
      <c r="R144" s="190">
        <v>1</v>
      </c>
    </row>
    <row r="145" spans="1:18" x14ac:dyDescent="0.2">
      <c r="A145" s="190" t="s">
        <v>55</v>
      </c>
      <c r="B145" s="191" t="s">
        <v>211</v>
      </c>
      <c r="C145" s="191" t="s">
        <v>187</v>
      </c>
      <c r="D145" s="191" t="s">
        <v>4</v>
      </c>
      <c r="E145" s="191" t="s">
        <v>202</v>
      </c>
      <c r="F145" s="190" t="s">
        <v>212</v>
      </c>
      <c r="G145" s="190" t="s">
        <v>203</v>
      </c>
      <c r="H145" s="190" t="s">
        <v>22</v>
      </c>
      <c r="I145" s="191" t="s">
        <v>108</v>
      </c>
      <c r="J145" s="190" t="s">
        <v>260</v>
      </c>
      <c r="K145" s="191" t="s">
        <v>221</v>
      </c>
      <c r="L145" s="192" t="s">
        <v>205</v>
      </c>
      <c r="M145" s="190" t="s">
        <v>210</v>
      </c>
      <c r="N145" s="190">
        <v>17800</v>
      </c>
      <c r="O145" s="190">
        <v>7684</v>
      </c>
      <c r="P145" s="190">
        <v>3</v>
      </c>
      <c r="Q145" s="190">
        <v>2024</v>
      </c>
      <c r="R145" s="190">
        <v>1</v>
      </c>
    </row>
    <row r="146" spans="1:18" x14ac:dyDescent="0.2">
      <c r="A146" s="190" t="s">
        <v>55</v>
      </c>
      <c r="B146" s="191" t="s">
        <v>211</v>
      </c>
      <c r="C146" s="191" t="s">
        <v>187</v>
      </c>
      <c r="D146" s="191" t="s">
        <v>4</v>
      </c>
      <c r="E146" s="191" t="s">
        <v>202</v>
      </c>
      <c r="F146" s="190" t="s">
        <v>622</v>
      </c>
      <c r="G146" s="190" t="s">
        <v>208</v>
      </c>
      <c r="H146" s="190" t="s">
        <v>65</v>
      </c>
      <c r="I146" s="191" t="s">
        <v>101</v>
      </c>
      <c r="J146" s="190" t="s">
        <v>409</v>
      </c>
      <c r="K146" s="191" t="s">
        <v>221</v>
      </c>
      <c r="L146" s="192" t="s">
        <v>205</v>
      </c>
      <c r="M146" s="190" t="s">
        <v>210</v>
      </c>
      <c r="N146" s="190">
        <v>7500</v>
      </c>
      <c r="O146" s="190">
        <v>2998</v>
      </c>
      <c r="P146" s="190">
        <v>3</v>
      </c>
      <c r="Q146" s="190">
        <v>2024</v>
      </c>
      <c r="R146" s="190">
        <v>1</v>
      </c>
    </row>
    <row r="147" spans="1:18" x14ac:dyDescent="0.2">
      <c r="A147" s="190" t="s">
        <v>55</v>
      </c>
      <c r="B147" s="191" t="s">
        <v>211</v>
      </c>
      <c r="C147" s="191" t="s">
        <v>187</v>
      </c>
      <c r="D147" s="191" t="s">
        <v>4</v>
      </c>
      <c r="E147" s="191" t="s">
        <v>202</v>
      </c>
      <c r="F147" s="190" t="s">
        <v>216</v>
      </c>
      <c r="G147" s="190" t="s">
        <v>208</v>
      </c>
      <c r="H147" s="190" t="s">
        <v>65</v>
      </c>
      <c r="I147" s="191" t="s">
        <v>101</v>
      </c>
      <c r="J147" s="190" t="s">
        <v>413</v>
      </c>
      <c r="K147" s="191" t="s">
        <v>221</v>
      </c>
      <c r="L147" s="192" t="s">
        <v>205</v>
      </c>
      <c r="M147" s="190" t="s">
        <v>210</v>
      </c>
      <c r="N147" s="190">
        <v>5700</v>
      </c>
      <c r="O147" s="190">
        <v>2998</v>
      </c>
      <c r="P147" s="190">
        <v>3</v>
      </c>
      <c r="Q147" s="190">
        <v>2025</v>
      </c>
      <c r="R147" s="190">
        <v>1</v>
      </c>
    </row>
    <row r="148" spans="1:18" x14ac:dyDescent="0.2">
      <c r="A148" s="190" t="s">
        <v>55</v>
      </c>
      <c r="B148" s="191" t="s">
        <v>211</v>
      </c>
      <c r="C148" s="191" t="s">
        <v>187</v>
      </c>
      <c r="D148" s="191" t="s">
        <v>4</v>
      </c>
      <c r="E148" s="191" t="s">
        <v>202</v>
      </c>
      <c r="F148" s="190" t="s">
        <v>216</v>
      </c>
      <c r="G148" s="190" t="s">
        <v>208</v>
      </c>
      <c r="H148" s="190" t="s">
        <v>22</v>
      </c>
      <c r="I148" s="191" t="s">
        <v>106</v>
      </c>
      <c r="J148" s="190" t="s">
        <v>274</v>
      </c>
      <c r="K148" s="191" t="s">
        <v>221</v>
      </c>
      <c r="L148" s="192" t="s">
        <v>205</v>
      </c>
      <c r="M148" s="190" t="s">
        <v>210</v>
      </c>
      <c r="N148" s="190">
        <v>7500</v>
      </c>
      <c r="O148" s="190">
        <v>4009</v>
      </c>
      <c r="P148" s="190">
        <v>3</v>
      </c>
      <c r="Q148" s="190">
        <v>2025</v>
      </c>
      <c r="R148" s="190">
        <v>1</v>
      </c>
    </row>
    <row r="149" spans="1:18" x14ac:dyDescent="0.2">
      <c r="A149" s="190" t="s">
        <v>55</v>
      </c>
      <c r="B149" s="191" t="s">
        <v>211</v>
      </c>
      <c r="C149" s="191" t="s">
        <v>187</v>
      </c>
      <c r="D149" s="191" t="s">
        <v>4</v>
      </c>
      <c r="E149" s="191" t="s">
        <v>202</v>
      </c>
      <c r="F149" s="190" t="s">
        <v>216</v>
      </c>
      <c r="G149" s="190" t="s">
        <v>208</v>
      </c>
      <c r="H149" s="190" t="s">
        <v>24</v>
      </c>
      <c r="I149" s="191" t="s">
        <v>118</v>
      </c>
      <c r="J149" s="190" t="s">
        <v>231</v>
      </c>
      <c r="K149" s="191" t="s">
        <v>221</v>
      </c>
      <c r="L149" s="192" t="s">
        <v>205</v>
      </c>
      <c r="M149" s="190" t="s">
        <v>210</v>
      </c>
      <c r="N149" s="190">
        <v>5045</v>
      </c>
      <c r="O149" s="190">
        <v>2999</v>
      </c>
      <c r="P149" s="190">
        <v>3</v>
      </c>
      <c r="Q149" s="190">
        <v>2024</v>
      </c>
      <c r="R149" s="190">
        <v>1</v>
      </c>
    </row>
    <row r="150" spans="1:18" x14ac:dyDescent="0.2">
      <c r="A150" s="190" t="s">
        <v>55</v>
      </c>
      <c r="B150" s="191" t="s">
        <v>211</v>
      </c>
      <c r="C150" s="191" t="s">
        <v>187</v>
      </c>
      <c r="D150" s="191" t="s">
        <v>4</v>
      </c>
      <c r="E150" s="191" t="s">
        <v>202</v>
      </c>
      <c r="F150" s="190" t="s">
        <v>216</v>
      </c>
      <c r="G150" s="190" t="s">
        <v>203</v>
      </c>
      <c r="H150" s="190" t="s">
        <v>27</v>
      </c>
      <c r="I150" s="191" t="s">
        <v>365</v>
      </c>
      <c r="J150" s="190" t="s">
        <v>202</v>
      </c>
      <c r="K150" s="191" t="s">
        <v>204</v>
      </c>
      <c r="L150" s="192" t="s">
        <v>205</v>
      </c>
      <c r="M150" s="190" t="s">
        <v>206</v>
      </c>
      <c r="N150" s="190">
        <v>26300</v>
      </c>
      <c r="O150" s="190">
        <v>6871</v>
      </c>
      <c r="P150" s="190">
        <v>2</v>
      </c>
      <c r="Q150" s="190">
        <v>2025</v>
      </c>
      <c r="R150" s="190">
        <v>1</v>
      </c>
    </row>
    <row r="151" spans="1:18" x14ac:dyDescent="0.2">
      <c r="A151" s="190" t="s">
        <v>55</v>
      </c>
      <c r="B151" s="191" t="s">
        <v>248</v>
      </c>
      <c r="C151" s="191" t="s">
        <v>5</v>
      </c>
      <c r="D151" s="191" t="s">
        <v>249</v>
      </c>
      <c r="E151" s="191" t="s">
        <v>250</v>
      </c>
      <c r="F151" s="190" t="s">
        <v>250</v>
      </c>
      <c r="G151" s="190" t="s">
        <v>251</v>
      </c>
      <c r="H151" s="190" t="s">
        <v>454</v>
      </c>
      <c r="I151" s="191" t="s">
        <v>596</v>
      </c>
      <c r="J151" s="190" t="s">
        <v>733</v>
      </c>
      <c r="K151" s="191" t="s">
        <v>213</v>
      </c>
      <c r="L151" s="192" t="s">
        <v>338</v>
      </c>
      <c r="M151" s="190" t="s">
        <v>210</v>
      </c>
      <c r="N151" s="190">
        <v>1850</v>
      </c>
      <c r="O151" s="190">
        <v>1500</v>
      </c>
      <c r="P151" s="190">
        <v>11</v>
      </c>
      <c r="Q151" s="190">
        <v>2024</v>
      </c>
      <c r="R151" s="190">
        <v>1</v>
      </c>
    </row>
    <row r="152" spans="1:18" x14ac:dyDescent="0.2">
      <c r="A152" s="190" t="s">
        <v>60</v>
      </c>
      <c r="B152" s="191" t="s">
        <v>211</v>
      </c>
      <c r="C152" s="191" t="s">
        <v>187</v>
      </c>
      <c r="D152" s="191" t="s">
        <v>4</v>
      </c>
      <c r="E152" s="191" t="s">
        <v>202</v>
      </c>
      <c r="F152" s="190" t="s">
        <v>212</v>
      </c>
      <c r="G152" s="190" t="s">
        <v>208</v>
      </c>
      <c r="H152" s="190" t="s">
        <v>24</v>
      </c>
      <c r="I152" s="191" t="s">
        <v>120</v>
      </c>
      <c r="J152" s="190" t="s">
        <v>233</v>
      </c>
      <c r="K152" s="191" t="s">
        <v>221</v>
      </c>
      <c r="L152" s="192" t="s">
        <v>205</v>
      </c>
      <c r="M152" s="190" t="s">
        <v>210</v>
      </c>
      <c r="N152" s="190">
        <v>8000</v>
      </c>
      <c r="O152" s="190">
        <v>5193</v>
      </c>
      <c r="P152" s="190">
        <v>3</v>
      </c>
      <c r="Q152" s="190">
        <v>2025</v>
      </c>
      <c r="R152" s="190">
        <v>2</v>
      </c>
    </row>
    <row r="153" spans="1:18" x14ac:dyDescent="0.2">
      <c r="A153" s="190" t="s">
        <v>51</v>
      </c>
      <c r="B153" s="191" t="s">
        <v>207</v>
      </c>
      <c r="C153" s="191" t="s">
        <v>187</v>
      </c>
      <c r="D153" s="191" t="s">
        <v>4</v>
      </c>
      <c r="E153" s="191" t="s">
        <v>202</v>
      </c>
      <c r="F153" s="190" t="s">
        <v>216</v>
      </c>
      <c r="G153" s="190" t="s">
        <v>208</v>
      </c>
      <c r="H153" s="190" t="s">
        <v>22</v>
      </c>
      <c r="I153" s="191" t="s">
        <v>106</v>
      </c>
      <c r="J153" s="190" t="s">
        <v>223</v>
      </c>
      <c r="K153" s="191" t="s">
        <v>221</v>
      </c>
      <c r="L153" s="192" t="s">
        <v>205</v>
      </c>
      <c r="M153" s="190" t="s">
        <v>210</v>
      </c>
      <c r="N153" s="190">
        <v>8000</v>
      </c>
      <c r="O153" s="190">
        <v>4009</v>
      </c>
      <c r="P153" s="190">
        <v>3</v>
      </c>
      <c r="Q153" s="190">
        <v>2025</v>
      </c>
      <c r="R153" s="190">
        <v>1</v>
      </c>
    </row>
    <row r="154" spans="1:18" x14ac:dyDescent="0.2">
      <c r="A154" s="190" t="s">
        <v>51</v>
      </c>
      <c r="B154" s="191" t="s">
        <v>207</v>
      </c>
      <c r="C154" s="191" t="s">
        <v>187</v>
      </c>
      <c r="D154" s="191" t="s">
        <v>4</v>
      </c>
      <c r="E154" s="191" t="s">
        <v>202</v>
      </c>
      <c r="F154" s="190" t="s">
        <v>219</v>
      </c>
      <c r="G154" s="190" t="s">
        <v>203</v>
      </c>
      <c r="H154" s="190" t="s">
        <v>24</v>
      </c>
      <c r="I154" s="191" t="s">
        <v>115</v>
      </c>
      <c r="J154" s="190" t="s">
        <v>238</v>
      </c>
      <c r="K154" s="191" t="s">
        <v>221</v>
      </c>
      <c r="L154" s="192" t="s">
        <v>205</v>
      </c>
      <c r="M154" s="190" t="s">
        <v>210</v>
      </c>
      <c r="N154" s="190">
        <v>15295</v>
      </c>
      <c r="O154" s="190">
        <v>7790</v>
      </c>
      <c r="P154" s="190">
        <v>3</v>
      </c>
      <c r="Q154" s="190">
        <v>2025</v>
      </c>
      <c r="R154" s="190">
        <v>1</v>
      </c>
    </row>
    <row r="155" spans="1:18" x14ac:dyDescent="0.2">
      <c r="A155" s="190" t="s">
        <v>51</v>
      </c>
      <c r="B155" s="191" t="s">
        <v>211</v>
      </c>
      <c r="C155" s="191" t="s">
        <v>187</v>
      </c>
      <c r="D155" s="191" t="s">
        <v>4</v>
      </c>
      <c r="E155" s="191" t="s">
        <v>212</v>
      </c>
      <c r="F155" s="190" t="s">
        <v>212</v>
      </c>
      <c r="G155" s="190" t="s">
        <v>208</v>
      </c>
      <c r="H155" s="190" t="s">
        <v>29</v>
      </c>
      <c r="I155" s="191" t="s">
        <v>123</v>
      </c>
      <c r="J155" s="190" t="s">
        <v>214</v>
      </c>
      <c r="K155" s="191" t="s">
        <v>213</v>
      </c>
      <c r="L155" s="192" t="s">
        <v>205</v>
      </c>
      <c r="M155" s="190" t="s">
        <v>210</v>
      </c>
      <c r="N155" s="190">
        <v>6600</v>
      </c>
      <c r="O155" s="190">
        <v>2746</v>
      </c>
      <c r="P155" s="190">
        <v>3</v>
      </c>
      <c r="Q155" s="190">
        <v>2025</v>
      </c>
      <c r="R155" s="190">
        <v>2</v>
      </c>
    </row>
    <row r="156" spans="1:18" x14ac:dyDescent="0.2">
      <c r="A156" s="190" t="s">
        <v>51</v>
      </c>
      <c r="B156" s="191" t="s">
        <v>211</v>
      </c>
      <c r="C156" s="191" t="s">
        <v>187</v>
      </c>
      <c r="D156" s="191" t="s">
        <v>4</v>
      </c>
      <c r="E156" s="191" t="s">
        <v>216</v>
      </c>
      <c r="F156" s="190" t="s">
        <v>216</v>
      </c>
      <c r="G156" s="190" t="s">
        <v>208</v>
      </c>
      <c r="H156" s="190" t="s">
        <v>35</v>
      </c>
      <c r="I156" s="191" t="s">
        <v>471</v>
      </c>
      <c r="J156" s="190" t="s">
        <v>98</v>
      </c>
      <c r="K156" s="191" t="s">
        <v>213</v>
      </c>
      <c r="L156" s="192" t="s">
        <v>205</v>
      </c>
      <c r="M156" s="190" t="s">
        <v>210</v>
      </c>
      <c r="N156" s="190">
        <v>6950</v>
      </c>
      <c r="O156" s="190">
        <v>2771</v>
      </c>
      <c r="P156" s="190">
        <v>3</v>
      </c>
      <c r="Q156" s="190">
        <v>2025</v>
      </c>
      <c r="R156" s="190">
        <v>1</v>
      </c>
    </row>
    <row r="157" spans="1:18" x14ac:dyDescent="0.2">
      <c r="A157" s="190" t="s">
        <v>51</v>
      </c>
      <c r="B157" s="191" t="s">
        <v>211</v>
      </c>
      <c r="C157" s="191" t="s">
        <v>187</v>
      </c>
      <c r="D157" s="191" t="s">
        <v>4</v>
      </c>
      <c r="E157" s="191" t="s">
        <v>219</v>
      </c>
      <c r="F157" s="190" t="s">
        <v>219</v>
      </c>
      <c r="G157" s="190" t="s">
        <v>208</v>
      </c>
      <c r="H157" s="190" t="s">
        <v>23</v>
      </c>
      <c r="I157" s="191" t="s">
        <v>482</v>
      </c>
      <c r="J157" s="190" t="s">
        <v>623</v>
      </c>
      <c r="K157" s="191" t="s">
        <v>213</v>
      </c>
      <c r="L157" s="192" t="s">
        <v>205</v>
      </c>
      <c r="M157" s="190" t="s">
        <v>210</v>
      </c>
      <c r="N157" s="190">
        <v>7500</v>
      </c>
      <c r="O157" s="190">
        <v>3760</v>
      </c>
      <c r="P157" s="190">
        <v>3</v>
      </c>
      <c r="Q157" s="190">
        <v>2024</v>
      </c>
      <c r="R157" s="190">
        <v>1</v>
      </c>
    </row>
    <row r="158" spans="1:18" x14ac:dyDescent="0.2">
      <c r="A158" s="190" t="s">
        <v>51</v>
      </c>
      <c r="B158" s="191" t="s">
        <v>211</v>
      </c>
      <c r="C158" s="191" t="s">
        <v>187</v>
      </c>
      <c r="D158" s="191" t="s">
        <v>4</v>
      </c>
      <c r="E158" s="191" t="s">
        <v>219</v>
      </c>
      <c r="F158" s="190" t="s">
        <v>219</v>
      </c>
      <c r="G158" s="190" t="s">
        <v>203</v>
      </c>
      <c r="H158" s="190" t="s">
        <v>34</v>
      </c>
      <c r="I158" s="191" t="s">
        <v>430</v>
      </c>
      <c r="J158" s="190" t="s">
        <v>290</v>
      </c>
      <c r="K158" s="191" t="s">
        <v>213</v>
      </c>
      <c r="L158" s="192" t="s">
        <v>205</v>
      </c>
      <c r="M158" s="190" t="s">
        <v>218</v>
      </c>
      <c r="N158" s="190">
        <v>51000</v>
      </c>
      <c r="O158" s="190">
        <v>12419</v>
      </c>
      <c r="P158" s="190">
        <v>2</v>
      </c>
      <c r="Q158" s="190">
        <v>2024</v>
      </c>
      <c r="R158" s="190">
        <v>2</v>
      </c>
    </row>
    <row r="159" spans="1:18" x14ac:dyDescent="0.2">
      <c r="A159" s="190" t="s">
        <v>51</v>
      </c>
      <c r="B159" s="191" t="s">
        <v>211</v>
      </c>
      <c r="C159" s="191" t="s">
        <v>187</v>
      </c>
      <c r="D159" s="191" t="s">
        <v>4</v>
      </c>
      <c r="E159" s="191" t="s">
        <v>219</v>
      </c>
      <c r="F159" s="190" t="s">
        <v>219</v>
      </c>
      <c r="G159" s="190" t="s">
        <v>203</v>
      </c>
      <c r="H159" s="190" t="s">
        <v>34</v>
      </c>
      <c r="I159" s="191" t="s">
        <v>530</v>
      </c>
      <c r="J159" s="190" t="s">
        <v>662</v>
      </c>
      <c r="K159" s="191" t="s">
        <v>213</v>
      </c>
      <c r="L159" s="192" t="s">
        <v>205</v>
      </c>
      <c r="M159" s="190" t="s">
        <v>218</v>
      </c>
      <c r="N159" s="190">
        <v>51000</v>
      </c>
      <c r="O159" s="190">
        <v>10518</v>
      </c>
      <c r="P159" s="190">
        <v>2</v>
      </c>
      <c r="Q159" s="190">
        <v>2024</v>
      </c>
      <c r="R159" s="190">
        <v>1</v>
      </c>
    </row>
    <row r="160" spans="1:18" x14ac:dyDescent="0.2">
      <c r="A160" s="190" t="s">
        <v>51</v>
      </c>
      <c r="B160" s="191" t="s">
        <v>211</v>
      </c>
      <c r="C160" s="191" t="s">
        <v>187</v>
      </c>
      <c r="D160" s="191" t="s">
        <v>4</v>
      </c>
      <c r="E160" s="191" t="s">
        <v>202</v>
      </c>
      <c r="F160" s="190" t="s">
        <v>212</v>
      </c>
      <c r="G160" s="190" t="s">
        <v>208</v>
      </c>
      <c r="H160" s="190" t="s">
        <v>65</v>
      </c>
      <c r="I160" s="191" t="s">
        <v>101</v>
      </c>
      <c r="J160" s="190" t="s">
        <v>409</v>
      </c>
      <c r="K160" s="191" t="s">
        <v>221</v>
      </c>
      <c r="L160" s="192" t="s">
        <v>205</v>
      </c>
      <c r="M160" s="190" t="s">
        <v>210</v>
      </c>
      <c r="N160" s="190">
        <v>7500</v>
      </c>
      <c r="O160" s="190">
        <v>2998</v>
      </c>
      <c r="P160" s="190">
        <v>3</v>
      </c>
      <c r="Q160" s="190">
        <v>2024</v>
      </c>
      <c r="R160" s="190">
        <v>2</v>
      </c>
    </row>
    <row r="161" spans="1:18" x14ac:dyDescent="0.2">
      <c r="A161" s="190" t="s">
        <v>51</v>
      </c>
      <c r="B161" s="191" t="s">
        <v>211</v>
      </c>
      <c r="C161" s="191" t="s">
        <v>187</v>
      </c>
      <c r="D161" s="191" t="s">
        <v>4</v>
      </c>
      <c r="E161" s="191" t="s">
        <v>202</v>
      </c>
      <c r="F161" s="190" t="s">
        <v>212</v>
      </c>
      <c r="G161" s="190" t="s">
        <v>208</v>
      </c>
      <c r="H161" s="190" t="s">
        <v>65</v>
      </c>
      <c r="I161" s="191" t="s">
        <v>101</v>
      </c>
      <c r="J161" s="190" t="s">
        <v>415</v>
      </c>
      <c r="K161" s="191" t="s">
        <v>221</v>
      </c>
      <c r="L161" s="192" t="s">
        <v>205</v>
      </c>
      <c r="M161" s="190" t="s">
        <v>210</v>
      </c>
      <c r="N161" s="190">
        <v>8550</v>
      </c>
      <c r="O161" s="190">
        <v>2998</v>
      </c>
      <c r="P161" s="190">
        <v>3</v>
      </c>
      <c r="Q161" s="190">
        <v>2025</v>
      </c>
      <c r="R161" s="190">
        <v>1</v>
      </c>
    </row>
    <row r="162" spans="1:18" x14ac:dyDescent="0.2">
      <c r="A162" s="190" t="s">
        <v>51</v>
      </c>
      <c r="B162" s="191" t="s">
        <v>211</v>
      </c>
      <c r="C162" s="191" t="s">
        <v>187</v>
      </c>
      <c r="D162" s="191" t="s">
        <v>4</v>
      </c>
      <c r="E162" s="191" t="s">
        <v>202</v>
      </c>
      <c r="F162" s="190" t="s">
        <v>212</v>
      </c>
      <c r="G162" s="190" t="s">
        <v>208</v>
      </c>
      <c r="H162" s="190" t="s">
        <v>22</v>
      </c>
      <c r="I162" s="191" t="s">
        <v>106</v>
      </c>
      <c r="J162" s="190" t="s">
        <v>223</v>
      </c>
      <c r="K162" s="191" t="s">
        <v>221</v>
      </c>
      <c r="L162" s="192" t="s">
        <v>205</v>
      </c>
      <c r="M162" s="190" t="s">
        <v>210</v>
      </c>
      <c r="N162" s="190">
        <v>7500</v>
      </c>
      <c r="O162" s="190">
        <v>4009</v>
      </c>
      <c r="P162" s="190">
        <v>3</v>
      </c>
      <c r="Q162" s="190">
        <v>2025</v>
      </c>
      <c r="R162" s="190">
        <v>4</v>
      </c>
    </row>
    <row r="163" spans="1:18" x14ac:dyDescent="0.2">
      <c r="A163" s="190" t="s">
        <v>51</v>
      </c>
      <c r="B163" s="191" t="s">
        <v>211</v>
      </c>
      <c r="C163" s="191" t="s">
        <v>187</v>
      </c>
      <c r="D163" s="191" t="s">
        <v>4</v>
      </c>
      <c r="E163" s="191" t="s">
        <v>202</v>
      </c>
      <c r="F163" s="190" t="s">
        <v>212</v>
      </c>
      <c r="G163" s="190" t="s">
        <v>208</v>
      </c>
      <c r="H163" s="190" t="s">
        <v>22</v>
      </c>
      <c r="I163" s="191" t="s">
        <v>106</v>
      </c>
      <c r="J163" s="190" t="s">
        <v>223</v>
      </c>
      <c r="K163" s="191" t="s">
        <v>221</v>
      </c>
      <c r="L163" s="192" t="s">
        <v>205</v>
      </c>
      <c r="M163" s="190" t="s">
        <v>210</v>
      </c>
      <c r="N163" s="190">
        <v>8000</v>
      </c>
      <c r="O163" s="190">
        <v>4009</v>
      </c>
      <c r="P163" s="190">
        <v>3</v>
      </c>
      <c r="Q163" s="190">
        <v>2025</v>
      </c>
      <c r="R163" s="190">
        <v>3</v>
      </c>
    </row>
    <row r="164" spans="1:18" x14ac:dyDescent="0.2">
      <c r="A164" s="190" t="s">
        <v>51</v>
      </c>
      <c r="B164" s="191" t="s">
        <v>211</v>
      </c>
      <c r="C164" s="191" t="s">
        <v>187</v>
      </c>
      <c r="D164" s="191" t="s">
        <v>4</v>
      </c>
      <c r="E164" s="191" t="s">
        <v>202</v>
      </c>
      <c r="F164" s="190" t="s">
        <v>212</v>
      </c>
      <c r="G164" s="190" t="s">
        <v>208</v>
      </c>
      <c r="H164" s="190" t="s">
        <v>24</v>
      </c>
      <c r="I164" s="191" t="s">
        <v>114</v>
      </c>
      <c r="J164" s="190" t="s">
        <v>230</v>
      </c>
      <c r="K164" s="191" t="s">
        <v>221</v>
      </c>
      <c r="L164" s="192" t="s">
        <v>205</v>
      </c>
      <c r="M164" s="190" t="s">
        <v>210</v>
      </c>
      <c r="N164" s="190">
        <v>10400</v>
      </c>
      <c r="O164" s="190">
        <v>5193</v>
      </c>
      <c r="P164" s="190">
        <v>3</v>
      </c>
      <c r="Q164" s="190">
        <v>2025</v>
      </c>
      <c r="R164" s="190">
        <v>2</v>
      </c>
    </row>
    <row r="165" spans="1:18" x14ac:dyDescent="0.2">
      <c r="A165" s="190" t="s">
        <v>51</v>
      </c>
      <c r="B165" s="191" t="s">
        <v>211</v>
      </c>
      <c r="C165" s="191" t="s">
        <v>187</v>
      </c>
      <c r="D165" s="191" t="s">
        <v>4</v>
      </c>
      <c r="E165" s="191" t="s">
        <v>202</v>
      </c>
      <c r="F165" s="190" t="s">
        <v>212</v>
      </c>
      <c r="G165" s="190" t="s">
        <v>208</v>
      </c>
      <c r="H165" s="190" t="s">
        <v>24</v>
      </c>
      <c r="I165" s="191" t="s">
        <v>119</v>
      </c>
      <c r="J165" s="190" t="s">
        <v>232</v>
      </c>
      <c r="K165" s="191" t="s">
        <v>221</v>
      </c>
      <c r="L165" s="192" t="s">
        <v>205</v>
      </c>
      <c r="M165" s="190" t="s">
        <v>210</v>
      </c>
      <c r="N165" s="190">
        <v>7000</v>
      </c>
      <c r="O165" s="190">
        <v>5193</v>
      </c>
      <c r="P165" s="190">
        <v>3</v>
      </c>
      <c r="Q165" s="190">
        <v>2025</v>
      </c>
      <c r="R165" s="190">
        <v>1</v>
      </c>
    </row>
    <row r="166" spans="1:18" x14ac:dyDescent="0.2">
      <c r="A166" s="190" t="s">
        <v>51</v>
      </c>
      <c r="B166" s="191" t="s">
        <v>211</v>
      </c>
      <c r="C166" s="191" t="s">
        <v>187</v>
      </c>
      <c r="D166" s="191" t="s">
        <v>4</v>
      </c>
      <c r="E166" s="191" t="s">
        <v>202</v>
      </c>
      <c r="F166" s="190" t="s">
        <v>212</v>
      </c>
      <c r="G166" s="190" t="s">
        <v>208</v>
      </c>
      <c r="H166" s="190" t="s">
        <v>24</v>
      </c>
      <c r="I166" s="191" t="s">
        <v>120</v>
      </c>
      <c r="J166" s="190" t="s">
        <v>233</v>
      </c>
      <c r="K166" s="191" t="s">
        <v>221</v>
      </c>
      <c r="L166" s="192" t="s">
        <v>205</v>
      </c>
      <c r="M166" s="190" t="s">
        <v>210</v>
      </c>
      <c r="N166" s="190">
        <v>8000</v>
      </c>
      <c r="O166" s="190">
        <v>5193</v>
      </c>
      <c r="P166" s="190">
        <v>3</v>
      </c>
      <c r="Q166" s="190">
        <v>2025</v>
      </c>
      <c r="R166" s="190">
        <v>2</v>
      </c>
    </row>
    <row r="167" spans="1:18" x14ac:dyDescent="0.2">
      <c r="A167" s="190" t="s">
        <v>51</v>
      </c>
      <c r="B167" s="191" t="s">
        <v>211</v>
      </c>
      <c r="C167" s="191" t="s">
        <v>187</v>
      </c>
      <c r="D167" s="191" t="s">
        <v>4</v>
      </c>
      <c r="E167" s="191" t="s">
        <v>202</v>
      </c>
      <c r="F167" s="190" t="s">
        <v>212</v>
      </c>
      <c r="G167" s="190" t="s">
        <v>208</v>
      </c>
      <c r="H167" s="190" t="s">
        <v>24</v>
      </c>
      <c r="I167" s="191" t="s">
        <v>357</v>
      </c>
      <c r="J167" s="190" t="s">
        <v>374</v>
      </c>
      <c r="K167" s="191" t="s">
        <v>221</v>
      </c>
      <c r="L167" s="192" t="s">
        <v>205</v>
      </c>
      <c r="M167" s="190" t="s">
        <v>210</v>
      </c>
      <c r="N167" s="190">
        <v>7000</v>
      </c>
      <c r="O167" s="190">
        <v>5193</v>
      </c>
      <c r="P167" s="190">
        <v>7</v>
      </c>
      <c r="Q167" s="190">
        <v>2025</v>
      </c>
      <c r="R167" s="190">
        <v>1</v>
      </c>
    </row>
    <row r="168" spans="1:18" x14ac:dyDescent="0.2">
      <c r="A168" s="190" t="s">
        <v>51</v>
      </c>
      <c r="B168" s="191" t="s">
        <v>211</v>
      </c>
      <c r="C168" s="191" t="s">
        <v>187</v>
      </c>
      <c r="D168" s="191" t="s">
        <v>4</v>
      </c>
      <c r="E168" s="191" t="s">
        <v>202</v>
      </c>
      <c r="F168" s="190" t="s">
        <v>212</v>
      </c>
      <c r="G168" s="190" t="s">
        <v>208</v>
      </c>
      <c r="H168" s="190" t="s">
        <v>24</v>
      </c>
      <c r="I168" s="191" t="s">
        <v>121</v>
      </c>
      <c r="J168" s="190" t="s">
        <v>232</v>
      </c>
      <c r="K168" s="191" t="s">
        <v>221</v>
      </c>
      <c r="L168" s="192" t="s">
        <v>205</v>
      </c>
      <c r="M168" s="190" t="s">
        <v>234</v>
      </c>
      <c r="N168" s="190">
        <v>6960</v>
      </c>
      <c r="O168" s="190">
        <v>5193</v>
      </c>
      <c r="P168" s="190">
        <v>3</v>
      </c>
      <c r="Q168" s="190">
        <v>2025</v>
      </c>
      <c r="R168" s="190">
        <v>1</v>
      </c>
    </row>
    <row r="169" spans="1:18" x14ac:dyDescent="0.2">
      <c r="A169" s="190" t="s">
        <v>51</v>
      </c>
      <c r="B169" s="191" t="s">
        <v>211</v>
      </c>
      <c r="C169" s="191" t="s">
        <v>187</v>
      </c>
      <c r="D169" s="191" t="s">
        <v>4</v>
      </c>
      <c r="E169" s="191" t="s">
        <v>202</v>
      </c>
      <c r="F169" s="190" t="s">
        <v>212</v>
      </c>
      <c r="G169" s="190" t="s">
        <v>208</v>
      </c>
      <c r="H169" s="190" t="s">
        <v>24</v>
      </c>
      <c r="I169" s="191" t="s">
        <v>122</v>
      </c>
      <c r="J169" s="190" t="s">
        <v>336</v>
      </c>
      <c r="K169" s="191" t="s">
        <v>221</v>
      </c>
      <c r="L169" s="192" t="s">
        <v>205</v>
      </c>
      <c r="M169" s="190" t="s">
        <v>210</v>
      </c>
      <c r="N169" s="190">
        <v>9500</v>
      </c>
      <c r="O169" s="190">
        <v>5193</v>
      </c>
      <c r="P169" s="190">
        <v>3</v>
      </c>
      <c r="Q169" s="190">
        <v>2025</v>
      </c>
      <c r="R169" s="190">
        <v>1</v>
      </c>
    </row>
    <row r="170" spans="1:18" x14ac:dyDescent="0.2">
      <c r="A170" s="190" t="s">
        <v>51</v>
      </c>
      <c r="B170" s="191" t="s">
        <v>211</v>
      </c>
      <c r="C170" s="191" t="s">
        <v>187</v>
      </c>
      <c r="D170" s="191" t="s">
        <v>4</v>
      </c>
      <c r="E170" s="191" t="s">
        <v>202</v>
      </c>
      <c r="F170" s="190" t="s">
        <v>212</v>
      </c>
      <c r="G170" s="190" t="s">
        <v>203</v>
      </c>
      <c r="H170" s="190" t="s">
        <v>22</v>
      </c>
      <c r="I170" s="191" t="s">
        <v>107</v>
      </c>
      <c r="J170" s="190" t="s">
        <v>220</v>
      </c>
      <c r="K170" s="191" t="s">
        <v>221</v>
      </c>
      <c r="L170" s="192" t="s">
        <v>205</v>
      </c>
      <c r="M170" s="190" t="s">
        <v>210</v>
      </c>
      <c r="N170" s="190">
        <v>12500</v>
      </c>
      <c r="O170" s="190">
        <v>7684</v>
      </c>
      <c r="P170" s="190">
        <v>3</v>
      </c>
      <c r="Q170" s="190">
        <v>2025</v>
      </c>
      <c r="R170" s="190">
        <v>2</v>
      </c>
    </row>
    <row r="171" spans="1:18" x14ac:dyDescent="0.2">
      <c r="A171" s="190" t="s">
        <v>51</v>
      </c>
      <c r="B171" s="191" t="s">
        <v>211</v>
      </c>
      <c r="C171" s="191" t="s">
        <v>187</v>
      </c>
      <c r="D171" s="191" t="s">
        <v>4</v>
      </c>
      <c r="E171" s="191" t="s">
        <v>202</v>
      </c>
      <c r="F171" s="190" t="s">
        <v>212</v>
      </c>
      <c r="G171" s="190" t="s">
        <v>203</v>
      </c>
      <c r="H171" s="190" t="s">
        <v>22</v>
      </c>
      <c r="I171" s="191" t="s">
        <v>105</v>
      </c>
      <c r="J171" s="190" t="s">
        <v>235</v>
      </c>
      <c r="K171" s="191" t="s">
        <v>221</v>
      </c>
      <c r="L171" s="192" t="s">
        <v>205</v>
      </c>
      <c r="M171" s="190" t="s">
        <v>206</v>
      </c>
      <c r="N171" s="190">
        <v>28000</v>
      </c>
      <c r="O171" s="190">
        <v>8866</v>
      </c>
      <c r="P171" s="190">
        <v>3</v>
      </c>
      <c r="Q171" s="190">
        <v>2025</v>
      </c>
      <c r="R171" s="190">
        <v>1</v>
      </c>
    </row>
    <row r="172" spans="1:18" x14ac:dyDescent="0.2">
      <c r="A172" s="190" t="s">
        <v>51</v>
      </c>
      <c r="B172" s="191" t="s">
        <v>211</v>
      </c>
      <c r="C172" s="191" t="s">
        <v>187</v>
      </c>
      <c r="D172" s="191" t="s">
        <v>4</v>
      </c>
      <c r="E172" s="191" t="s">
        <v>202</v>
      </c>
      <c r="F172" s="190" t="s">
        <v>212</v>
      </c>
      <c r="G172" s="190" t="s">
        <v>203</v>
      </c>
      <c r="H172" s="190" t="s">
        <v>22</v>
      </c>
      <c r="I172" s="191" t="s">
        <v>108</v>
      </c>
      <c r="J172" s="190" t="s">
        <v>371</v>
      </c>
      <c r="K172" s="191" t="s">
        <v>221</v>
      </c>
      <c r="L172" s="192" t="s">
        <v>205</v>
      </c>
      <c r="M172" s="190" t="s">
        <v>210</v>
      </c>
      <c r="N172" s="190">
        <v>17800</v>
      </c>
      <c r="O172" s="190">
        <v>7684</v>
      </c>
      <c r="P172" s="190">
        <v>3</v>
      </c>
      <c r="Q172" s="190">
        <v>2025</v>
      </c>
      <c r="R172" s="190">
        <v>1</v>
      </c>
    </row>
    <row r="173" spans="1:18" x14ac:dyDescent="0.2">
      <c r="A173" s="190" t="s">
        <v>51</v>
      </c>
      <c r="B173" s="191" t="s">
        <v>211</v>
      </c>
      <c r="C173" s="191" t="s">
        <v>187</v>
      </c>
      <c r="D173" s="191" t="s">
        <v>4</v>
      </c>
      <c r="E173" s="191" t="s">
        <v>202</v>
      </c>
      <c r="F173" s="190" t="s">
        <v>212</v>
      </c>
      <c r="G173" s="190" t="s">
        <v>203</v>
      </c>
      <c r="H173" s="190" t="s">
        <v>22</v>
      </c>
      <c r="I173" s="191" t="s">
        <v>108</v>
      </c>
      <c r="J173" s="190" t="s">
        <v>260</v>
      </c>
      <c r="K173" s="191" t="s">
        <v>221</v>
      </c>
      <c r="L173" s="192" t="s">
        <v>205</v>
      </c>
      <c r="M173" s="190" t="s">
        <v>210</v>
      </c>
      <c r="N173" s="190">
        <v>17800</v>
      </c>
      <c r="O173" s="190">
        <v>7684</v>
      </c>
      <c r="P173" s="190">
        <v>3</v>
      </c>
      <c r="Q173" s="190">
        <v>2025</v>
      </c>
      <c r="R173" s="190">
        <v>1</v>
      </c>
    </row>
    <row r="174" spans="1:18" x14ac:dyDescent="0.2">
      <c r="A174" s="190" t="s">
        <v>51</v>
      </c>
      <c r="B174" s="191" t="s">
        <v>211</v>
      </c>
      <c r="C174" s="191" t="s">
        <v>187</v>
      </c>
      <c r="D174" s="191" t="s">
        <v>4</v>
      </c>
      <c r="E174" s="191" t="s">
        <v>202</v>
      </c>
      <c r="F174" s="190" t="s">
        <v>269</v>
      </c>
      <c r="G174" s="190" t="s">
        <v>203</v>
      </c>
      <c r="H174" s="190" t="s">
        <v>19</v>
      </c>
      <c r="I174" s="191" t="s">
        <v>129</v>
      </c>
      <c r="J174" s="190" t="s">
        <v>265</v>
      </c>
      <c r="K174" s="191" t="s">
        <v>204</v>
      </c>
      <c r="L174" s="192" t="s">
        <v>205</v>
      </c>
      <c r="M174" s="190" t="s">
        <v>206</v>
      </c>
      <c r="N174" s="190">
        <v>33500</v>
      </c>
      <c r="O174" s="190">
        <v>7201</v>
      </c>
      <c r="P174" s="190">
        <v>2</v>
      </c>
      <c r="Q174" s="190">
        <v>2025</v>
      </c>
      <c r="R174" s="190">
        <v>1</v>
      </c>
    </row>
    <row r="175" spans="1:18" x14ac:dyDescent="0.2">
      <c r="A175" s="190" t="s">
        <v>51</v>
      </c>
      <c r="B175" s="191" t="s">
        <v>211</v>
      </c>
      <c r="C175" s="191" t="s">
        <v>187</v>
      </c>
      <c r="D175" s="191" t="s">
        <v>4</v>
      </c>
      <c r="E175" s="191" t="s">
        <v>202</v>
      </c>
      <c r="F175" s="190" t="s">
        <v>622</v>
      </c>
      <c r="G175" s="190" t="s">
        <v>208</v>
      </c>
      <c r="H175" s="190" t="s">
        <v>24</v>
      </c>
      <c r="I175" s="191" t="s">
        <v>122</v>
      </c>
      <c r="J175" s="190" t="s">
        <v>336</v>
      </c>
      <c r="K175" s="191" t="s">
        <v>221</v>
      </c>
      <c r="L175" s="192" t="s">
        <v>205</v>
      </c>
      <c r="M175" s="190" t="s">
        <v>210</v>
      </c>
      <c r="N175" s="190">
        <v>9500</v>
      </c>
      <c r="O175" s="190">
        <v>5193</v>
      </c>
      <c r="P175" s="190">
        <v>3</v>
      </c>
      <c r="Q175" s="190">
        <v>2025</v>
      </c>
      <c r="R175" s="190">
        <v>1</v>
      </c>
    </row>
    <row r="176" spans="1:18" x14ac:dyDescent="0.2">
      <c r="A176" s="190" t="s">
        <v>51</v>
      </c>
      <c r="B176" s="191" t="s">
        <v>211</v>
      </c>
      <c r="C176" s="191" t="s">
        <v>187</v>
      </c>
      <c r="D176" s="191" t="s">
        <v>4</v>
      </c>
      <c r="E176" s="191" t="s">
        <v>202</v>
      </c>
      <c r="F176" s="190" t="s">
        <v>216</v>
      </c>
      <c r="G176" s="190" t="s">
        <v>208</v>
      </c>
      <c r="H176" s="190" t="s">
        <v>65</v>
      </c>
      <c r="I176" s="191" t="s">
        <v>101</v>
      </c>
      <c r="J176" s="190" t="s">
        <v>409</v>
      </c>
      <c r="K176" s="191" t="s">
        <v>221</v>
      </c>
      <c r="L176" s="192" t="s">
        <v>205</v>
      </c>
      <c r="M176" s="190" t="s">
        <v>210</v>
      </c>
      <c r="N176" s="190">
        <v>7500</v>
      </c>
      <c r="O176" s="190">
        <v>2998</v>
      </c>
      <c r="P176" s="190">
        <v>3</v>
      </c>
      <c r="Q176" s="190">
        <v>2024</v>
      </c>
      <c r="R176" s="190">
        <v>1</v>
      </c>
    </row>
    <row r="177" spans="1:18" x14ac:dyDescent="0.2">
      <c r="A177" s="190" t="s">
        <v>51</v>
      </c>
      <c r="B177" s="191" t="s">
        <v>211</v>
      </c>
      <c r="C177" s="191" t="s">
        <v>187</v>
      </c>
      <c r="D177" s="191" t="s">
        <v>4</v>
      </c>
      <c r="E177" s="191" t="s">
        <v>202</v>
      </c>
      <c r="F177" s="190" t="s">
        <v>216</v>
      </c>
      <c r="G177" s="190" t="s">
        <v>208</v>
      </c>
      <c r="H177" s="190" t="s">
        <v>65</v>
      </c>
      <c r="I177" s="191" t="s">
        <v>101</v>
      </c>
      <c r="J177" s="190" t="s">
        <v>341</v>
      </c>
      <c r="K177" s="191" t="s">
        <v>221</v>
      </c>
      <c r="L177" s="192" t="s">
        <v>205</v>
      </c>
      <c r="M177" s="190" t="s">
        <v>210</v>
      </c>
      <c r="N177" s="190">
        <v>6499</v>
      </c>
      <c r="O177" s="190">
        <v>2998</v>
      </c>
      <c r="P177" s="190">
        <v>7</v>
      </c>
      <c r="Q177" s="190">
        <v>2025</v>
      </c>
      <c r="R177" s="190">
        <v>1</v>
      </c>
    </row>
    <row r="178" spans="1:18" x14ac:dyDescent="0.2">
      <c r="A178" s="190" t="s">
        <v>51</v>
      </c>
      <c r="B178" s="191" t="s">
        <v>211</v>
      </c>
      <c r="C178" s="191" t="s">
        <v>187</v>
      </c>
      <c r="D178" s="191" t="s">
        <v>4</v>
      </c>
      <c r="E178" s="191" t="s">
        <v>202</v>
      </c>
      <c r="F178" s="190" t="s">
        <v>216</v>
      </c>
      <c r="G178" s="190" t="s">
        <v>208</v>
      </c>
      <c r="H178" s="190" t="s">
        <v>24</v>
      </c>
      <c r="I178" s="191" t="s">
        <v>118</v>
      </c>
      <c r="J178" s="190" t="s">
        <v>231</v>
      </c>
      <c r="K178" s="191" t="s">
        <v>221</v>
      </c>
      <c r="L178" s="192" t="s">
        <v>205</v>
      </c>
      <c r="M178" s="190" t="s">
        <v>210</v>
      </c>
      <c r="N178" s="190">
        <v>5045</v>
      </c>
      <c r="O178" s="190">
        <v>2999</v>
      </c>
      <c r="P178" s="190">
        <v>3</v>
      </c>
      <c r="Q178" s="190">
        <v>2024</v>
      </c>
      <c r="R178" s="190">
        <v>1</v>
      </c>
    </row>
    <row r="179" spans="1:18" x14ac:dyDescent="0.2">
      <c r="A179" s="190" t="s">
        <v>51</v>
      </c>
      <c r="B179" s="191" t="s">
        <v>211</v>
      </c>
      <c r="C179" s="191" t="s">
        <v>187</v>
      </c>
      <c r="D179" s="191" t="s">
        <v>4</v>
      </c>
      <c r="E179" s="191" t="s">
        <v>202</v>
      </c>
      <c r="F179" s="190" t="s">
        <v>216</v>
      </c>
      <c r="G179" s="190" t="s">
        <v>208</v>
      </c>
      <c r="H179" s="190" t="s">
        <v>24</v>
      </c>
      <c r="I179" s="191" t="s">
        <v>119</v>
      </c>
      <c r="J179" s="190" t="s">
        <v>232</v>
      </c>
      <c r="K179" s="191" t="s">
        <v>221</v>
      </c>
      <c r="L179" s="192" t="s">
        <v>205</v>
      </c>
      <c r="M179" s="190" t="s">
        <v>210</v>
      </c>
      <c r="N179" s="190">
        <v>7000</v>
      </c>
      <c r="O179" s="190">
        <v>5193</v>
      </c>
      <c r="P179" s="190">
        <v>3</v>
      </c>
      <c r="Q179" s="190">
        <v>2025</v>
      </c>
      <c r="R179" s="190">
        <v>2</v>
      </c>
    </row>
    <row r="180" spans="1:18" x14ac:dyDescent="0.2">
      <c r="A180" s="190" t="s">
        <v>51</v>
      </c>
      <c r="B180" s="191" t="s">
        <v>211</v>
      </c>
      <c r="C180" s="191" t="s">
        <v>187</v>
      </c>
      <c r="D180" s="191" t="s">
        <v>4</v>
      </c>
      <c r="E180" s="191" t="s">
        <v>202</v>
      </c>
      <c r="F180" s="190" t="s">
        <v>216</v>
      </c>
      <c r="G180" s="190" t="s">
        <v>208</v>
      </c>
      <c r="H180" s="190" t="s">
        <v>24</v>
      </c>
      <c r="I180" s="191" t="s">
        <v>120</v>
      </c>
      <c r="J180" s="190" t="s">
        <v>233</v>
      </c>
      <c r="K180" s="191" t="s">
        <v>221</v>
      </c>
      <c r="L180" s="192" t="s">
        <v>205</v>
      </c>
      <c r="M180" s="190" t="s">
        <v>210</v>
      </c>
      <c r="N180" s="190">
        <v>8000</v>
      </c>
      <c r="O180" s="190">
        <v>5193</v>
      </c>
      <c r="P180" s="190">
        <v>3</v>
      </c>
      <c r="Q180" s="190">
        <v>2025</v>
      </c>
      <c r="R180" s="190">
        <v>2</v>
      </c>
    </row>
    <row r="181" spans="1:18" x14ac:dyDescent="0.2">
      <c r="A181" s="190" t="s">
        <v>51</v>
      </c>
      <c r="B181" s="191" t="s">
        <v>211</v>
      </c>
      <c r="C181" s="191" t="s">
        <v>187</v>
      </c>
      <c r="D181" s="191" t="s">
        <v>4</v>
      </c>
      <c r="E181" s="191" t="s">
        <v>202</v>
      </c>
      <c r="F181" s="190" t="s">
        <v>643</v>
      </c>
      <c r="G181" s="190" t="s">
        <v>208</v>
      </c>
      <c r="H181" s="190" t="s">
        <v>24</v>
      </c>
      <c r="I181" s="191" t="s">
        <v>120</v>
      </c>
      <c r="J181" s="190" t="s">
        <v>233</v>
      </c>
      <c r="K181" s="191" t="s">
        <v>221</v>
      </c>
      <c r="L181" s="192" t="s">
        <v>205</v>
      </c>
      <c r="M181" s="190" t="s">
        <v>210</v>
      </c>
      <c r="N181" s="190">
        <v>8000</v>
      </c>
      <c r="O181" s="190">
        <v>5193</v>
      </c>
      <c r="P181" s="190">
        <v>3</v>
      </c>
      <c r="Q181" s="190">
        <v>2025</v>
      </c>
      <c r="R181" s="190">
        <v>2</v>
      </c>
    </row>
    <row r="182" spans="1:18" x14ac:dyDescent="0.2">
      <c r="A182" s="190" t="s">
        <v>51</v>
      </c>
      <c r="B182" s="191" t="s">
        <v>211</v>
      </c>
      <c r="C182" s="191" t="s">
        <v>187</v>
      </c>
      <c r="D182" s="191" t="s">
        <v>4</v>
      </c>
      <c r="E182" s="191" t="s">
        <v>202</v>
      </c>
      <c r="F182" s="190" t="s">
        <v>643</v>
      </c>
      <c r="G182" s="190" t="s">
        <v>208</v>
      </c>
      <c r="H182" s="190" t="s">
        <v>29</v>
      </c>
      <c r="I182" s="191" t="s">
        <v>123</v>
      </c>
      <c r="J182" s="190" t="s">
        <v>275</v>
      </c>
      <c r="K182" s="191" t="s">
        <v>213</v>
      </c>
      <c r="L182" s="192" t="s">
        <v>205</v>
      </c>
      <c r="M182" s="190" t="s">
        <v>210</v>
      </c>
      <c r="N182" s="190">
        <v>6160</v>
      </c>
      <c r="O182" s="190">
        <v>2746</v>
      </c>
      <c r="P182" s="190">
        <v>3</v>
      </c>
      <c r="Q182" s="190">
        <v>2025</v>
      </c>
      <c r="R182" s="190">
        <v>1</v>
      </c>
    </row>
    <row r="183" spans="1:18" x14ac:dyDescent="0.2">
      <c r="A183" s="190" t="s">
        <v>51</v>
      </c>
      <c r="B183" s="191" t="s">
        <v>211</v>
      </c>
      <c r="C183" s="191" t="s">
        <v>187</v>
      </c>
      <c r="D183" s="191" t="s">
        <v>4</v>
      </c>
      <c r="E183" s="191" t="s">
        <v>202</v>
      </c>
      <c r="F183" s="190" t="s">
        <v>617</v>
      </c>
      <c r="G183" s="190" t="s">
        <v>208</v>
      </c>
      <c r="H183" s="190" t="s">
        <v>24</v>
      </c>
      <c r="I183" s="191" t="s">
        <v>118</v>
      </c>
      <c r="J183" s="190" t="s">
        <v>231</v>
      </c>
      <c r="K183" s="191" t="s">
        <v>221</v>
      </c>
      <c r="L183" s="192" t="s">
        <v>205</v>
      </c>
      <c r="M183" s="190" t="s">
        <v>210</v>
      </c>
      <c r="N183" s="190">
        <v>5045</v>
      </c>
      <c r="O183" s="190">
        <v>2999</v>
      </c>
      <c r="P183" s="190">
        <v>3</v>
      </c>
      <c r="Q183" s="190">
        <v>2025</v>
      </c>
      <c r="R183" s="190">
        <v>1</v>
      </c>
    </row>
    <row r="184" spans="1:18" x14ac:dyDescent="0.2">
      <c r="A184" s="190" t="s">
        <v>51</v>
      </c>
      <c r="B184" s="191" t="s">
        <v>211</v>
      </c>
      <c r="C184" s="191" t="s">
        <v>187</v>
      </c>
      <c r="D184" s="191" t="s">
        <v>4</v>
      </c>
      <c r="E184" s="191" t="s">
        <v>202</v>
      </c>
      <c r="F184" s="190" t="s">
        <v>617</v>
      </c>
      <c r="G184" s="190" t="s">
        <v>208</v>
      </c>
      <c r="H184" s="190" t="s">
        <v>24</v>
      </c>
      <c r="I184" s="191" t="s">
        <v>119</v>
      </c>
      <c r="J184" s="190" t="s">
        <v>232</v>
      </c>
      <c r="K184" s="191" t="s">
        <v>221</v>
      </c>
      <c r="L184" s="192" t="s">
        <v>205</v>
      </c>
      <c r="M184" s="190" t="s">
        <v>210</v>
      </c>
      <c r="N184" s="190">
        <v>7000</v>
      </c>
      <c r="O184" s="190">
        <v>5193</v>
      </c>
      <c r="P184" s="190">
        <v>3</v>
      </c>
      <c r="Q184" s="190">
        <v>2025</v>
      </c>
      <c r="R184" s="190">
        <v>2</v>
      </c>
    </row>
    <row r="185" spans="1:18" x14ac:dyDescent="0.2">
      <c r="A185" s="190" t="s">
        <v>51</v>
      </c>
      <c r="B185" s="191" t="s">
        <v>211</v>
      </c>
      <c r="C185" s="191" t="s">
        <v>187</v>
      </c>
      <c r="D185" s="191" t="s">
        <v>4</v>
      </c>
      <c r="E185" s="191" t="s">
        <v>202</v>
      </c>
      <c r="F185" s="190" t="s">
        <v>617</v>
      </c>
      <c r="G185" s="190" t="s">
        <v>208</v>
      </c>
      <c r="H185" s="190" t="s">
        <v>24</v>
      </c>
      <c r="I185" s="191" t="s">
        <v>120</v>
      </c>
      <c r="J185" s="190" t="s">
        <v>233</v>
      </c>
      <c r="K185" s="191" t="s">
        <v>221</v>
      </c>
      <c r="L185" s="192" t="s">
        <v>205</v>
      </c>
      <c r="M185" s="190" t="s">
        <v>210</v>
      </c>
      <c r="N185" s="190">
        <v>8000</v>
      </c>
      <c r="O185" s="190">
        <v>5193</v>
      </c>
      <c r="P185" s="190">
        <v>3</v>
      </c>
      <c r="Q185" s="190">
        <v>2025</v>
      </c>
      <c r="R185" s="190">
        <v>1</v>
      </c>
    </row>
    <row r="186" spans="1:18" x14ac:dyDescent="0.2">
      <c r="A186" s="190" t="s">
        <v>51</v>
      </c>
      <c r="B186" s="191" t="s">
        <v>211</v>
      </c>
      <c r="C186" s="191" t="s">
        <v>187</v>
      </c>
      <c r="D186" s="191" t="s">
        <v>4</v>
      </c>
      <c r="E186" s="191" t="s">
        <v>202</v>
      </c>
      <c r="F186" s="190" t="s">
        <v>219</v>
      </c>
      <c r="G186" s="190" t="s">
        <v>208</v>
      </c>
      <c r="H186" s="190" t="s">
        <v>65</v>
      </c>
      <c r="I186" s="191" t="s">
        <v>101</v>
      </c>
      <c r="J186" s="190" t="s">
        <v>409</v>
      </c>
      <c r="K186" s="191" t="s">
        <v>221</v>
      </c>
      <c r="L186" s="192" t="s">
        <v>205</v>
      </c>
      <c r="M186" s="190" t="s">
        <v>210</v>
      </c>
      <c r="N186" s="190">
        <v>7500</v>
      </c>
      <c r="O186" s="190">
        <v>2998</v>
      </c>
      <c r="P186" s="190">
        <v>3</v>
      </c>
      <c r="Q186" s="190">
        <v>2024</v>
      </c>
      <c r="R186" s="190">
        <v>1</v>
      </c>
    </row>
    <row r="187" spans="1:18" x14ac:dyDescent="0.2">
      <c r="A187" s="190" t="s">
        <v>51</v>
      </c>
      <c r="B187" s="191" t="s">
        <v>211</v>
      </c>
      <c r="C187" s="191" t="s">
        <v>187</v>
      </c>
      <c r="D187" s="191" t="s">
        <v>4</v>
      </c>
      <c r="E187" s="191" t="s">
        <v>202</v>
      </c>
      <c r="F187" s="190" t="s">
        <v>219</v>
      </c>
      <c r="G187" s="190" t="s">
        <v>203</v>
      </c>
      <c r="H187" s="190" t="s">
        <v>22</v>
      </c>
      <c r="I187" s="191" t="s">
        <v>105</v>
      </c>
      <c r="J187" s="190" t="s">
        <v>235</v>
      </c>
      <c r="K187" s="191" t="s">
        <v>221</v>
      </c>
      <c r="L187" s="192" t="s">
        <v>205</v>
      </c>
      <c r="M187" s="190" t="s">
        <v>206</v>
      </c>
      <c r="N187" s="190">
        <v>28000</v>
      </c>
      <c r="O187" s="190">
        <v>8866</v>
      </c>
      <c r="P187" s="190">
        <v>3</v>
      </c>
      <c r="Q187" s="190">
        <v>2025</v>
      </c>
      <c r="R187" s="190">
        <v>1</v>
      </c>
    </row>
    <row r="188" spans="1:18" x14ac:dyDescent="0.2">
      <c r="A188" s="190" t="s">
        <v>51</v>
      </c>
      <c r="B188" s="191" t="s">
        <v>211</v>
      </c>
      <c r="C188" s="191" t="s">
        <v>187</v>
      </c>
      <c r="D188" s="191" t="s">
        <v>4</v>
      </c>
      <c r="E188" s="191" t="s">
        <v>202</v>
      </c>
      <c r="F188" s="190" t="s">
        <v>219</v>
      </c>
      <c r="G188" s="190" t="s">
        <v>203</v>
      </c>
      <c r="H188" s="190" t="s">
        <v>20</v>
      </c>
      <c r="I188" s="191" t="s">
        <v>141</v>
      </c>
      <c r="J188" s="190" t="s">
        <v>141</v>
      </c>
      <c r="K188" s="191" t="s">
        <v>204</v>
      </c>
      <c r="L188" s="192" t="s">
        <v>205</v>
      </c>
      <c r="M188" s="190" t="s">
        <v>206</v>
      </c>
      <c r="N188" s="190">
        <v>44000</v>
      </c>
      <c r="O188" s="190">
        <v>12800</v>
      </c>
      <c r="P188" s="190">
        <v>2</v>
      </c>
      <c r="Q188" s="190">
        <v>2025</v>
      </c>
      <c r="R188" s="190">
        <v>4</v>
      </c>
    </row>
    <row r="189" spans="1:18" x14ac:dyDescent="0.2">
      <c r="A189" s="190" t="s">
        <v>51</v>
      </c>
      <c r="B189" s="191" t="s">
        <v>248</v>
      </c>
      <c r="C189" s="191" t="s">
        <v>5</v>
      </c>
      <c r="D189" s="191" t="s">
        <v>249</v>
      </c>
      <c r="E189" s="191" t="s">
        <v>250</v>
      </c>
      <c r="F189" s="190" t="s">
        <v>250</v>
      </c>
      <c r="G189" s="190" t="s">
        <v>251</v>
      </c>
      <c r="H189" s="190" t="s">
        <v>447</v>
      </c>
      <c r="I189" s="191" t="s">
        <v>580</v>
      </c>
      <c r="J189" s="190" t="s">
        <v>580</v>
      </c>
      <c r="K189" s="191" t="s">
        <v>213</v>
      </c>
      <c r="L189" s="192" t="s">
        <v>205</v>
      </c>
      <c r="M189" s="190" t="s">
        <v>210</v>
      </c>
      <c r="N189" s="190">
        <v>4050</v>
      </c>
      <c r="O189" s="190">
        <v>1996</v>
      </c>
      <c r="P189" s="190">
        <v>16</v>
      </c>
      <c r="Q189" s="190">
        <v>2025</v>
      </c>
      <c r="R189" s="190">
        <v>1</v>
      </c>
    </row>
    <row r="190" spans="1:18" x14ac:dyDescent="0.2">
      <c r="A190" s="190" t="s">
        <v>51</v>
      </c>
      <c r="B190" s="191" t="s">
        <v>248</v>
      </c>
      <c r="C190" s="191" t="s">
        <v>5</v>
      </c>
      <c r="D190" s="191" t="s">
        <v>249</v>
      </c>
      <c r="E190" s="191" t="s">
        <v>250</v>
      </c>
      <c r="F190" s="190" t="s">
        <v>250</v>
      </c>
      <c r="G190" s="190" t="s">
        <v>251</v>
      </c>
      <c r="H190" s="190" t="s">
        <v>19</v>
      </c>
      <c r="I190" s="191" t="s">
        <v>586</v>
      </c>
      <c r="J190" s="190" t="s">
        <v>651</v>
      </c>
      <c r="K190" s="191" t="s">
        <v>252</v>
      </c>
      <c r="L190" s="192" t="s">
        <v>205</v>
      </c>
      <c r="M190" s="190" t="s">
        <v>210</v>
      </c>
      <c r="N190" s="190">
        <v>3880</v>
      </c>
      <c r="O190" s="190">
        <v>1950</v>
      </c>
      <c r="P190" s="190">
        <v>19</v>
      </c>
      <c r="Q190" s="190">
        <v>2025</v>
      </c>
      <c r="R190" s="190">
        <v>2</v>
      </c>
    </row>
    <row r="191" spans="1:18" x14ac:dyDescent="0.2">
      <c r="A191" s="190" t="s">
        <v>51</v>
      </c>
      <c r="B191" s="191" t="s">
        <v>248</v>
      </c>
      <c r="C191" s="191" t="s">
        <v>5</v>
      </c>
      <c r="D191" s="191" t="s">
        <v>249</v>
      </c>
      <c r="E191" s="191" t="s">
        <v>250</v>
      </c>
      <c r="F191" s="190" t="s">
        <v>250</v>
      </c>
      <c r="G191" s="190" t="s">
        <v>251</v>
      </c>
      <c r="H191" s="190" t="s">
        <v>426</v>
      </c>
      <c r="I191" s="191" t="s">
        <v>610</v>
      </c>
      <c r="J191" s="190" t="s">
        <v>663</v>
      </c>
      <c r="K191" s="191" t="s">
        <v>213</v>
      </c>
      <c r="L191" s="192" t="s">
        <v>205</v>
      </c>
      <c r="M191" s="190" t="s">
        <v>210</v>
      </c>
      <c r="N191" s="190">
        <v>4480</v>
      </c>
      <c r="O191" s="190">
        <v>2982</v>
      </c>
      <c r="P191" s="190">
        <v>17</v>
      </c>
      <c r="Q191" s="190">
        <v>2024</v>
      </c>
      <c r="R191" s="190">
        <v>1</v>
      </c>
    </row>
    <row r="192" spans="1:18" x14ac:dyDescent="0.2">
      <c r="A192" s="190" t="s">
        <v>51</v>
      </c>
      <c r="B192" s="191" t="s">
        <v>248</v>
      </c>
      <c r="C192" s="191" t="s">
        <v>5</v>
      </c>
      <c r="D192" s="191" t="s">
        <v>249</v>
      </c>
      <c r="E192" s="191" t="s">
        <v>250</v>
      </c>
      <c r="F192" s="190" t="s">
        <v>250</v>
      </c>
      <c r="G192" s="190" t="s">
        <v>253</v>
      </c>
      <c r="H192" s="190" t="s">
        <v>65</v>
      </c>
      <c r="I192" s="191" t="s">
        <v>160</v>
      </c>
      <c r="J192" s="190" t="s">
        <v>254</v>
      </c>
      <c r="K192" s="191" t="s">
        <v>221</v>
      </c>
      <c r="L192" s="192" t="s">
        <v>205</v>
      </c>
      <c r="M192" s="190" t="s">
        <v>210</v>
      </c>
      <c r="N192" s="190">
        <v>6200</v>
      </c>
      <c r="O192" s="190">
        <v>4899</v>
      </c>
      <c r="P192" s="190">
        <v>33</v>
      </c>
      <c r="Q192" s="190">
        <v>2025</v>
      </c>
      <c r="R192" s="190">
        <v>3</v>
      </c>
    </row>
    <row r="193" spans="1:18" x14ac:dyDescent="0.2">
      <c r="A193" s="190" t="s">
        <v>51</v>
      </c>
      <c r="B193" s="191" t="s">
        <v>248</v>
      </c>
      <c r="C193" s="191" t="s">
        <v>5</v>
      </c>
      <c r="D193" s="191" t="s">
        <v>249</v>
      </c>
      <c r="E193" s="191" t="s">
        <v>250</v>
      </c>
      <c r="F193" s="190" t="s">
        <v>250</v>
      </c>
      <c r="G193" s="190" t="s">
        <v>253</v>
      </c>
      <c r="H193" s="190" t="s">
        <v>21</v>
      </c>
      <c r="I193" s="191" t="s">
        <v>162</v>
      </c>
      <c r="J193" s="190" t="s">
        <v>255</v>
      </c>
      <c r="K193" s="191" t="s">
        <v>227</v>
      </c>
      <c r="L193" s="192" t="s">
        <v>205</v>
      </c>
      <c r="M193" s="190" t="s">
        <v>210</v>
      </c>
      <c r="N193" s="190">
        <v>6895</v>
      </c>
      <c r="O193" s="190">
        <v>3933</v>
      </c>
      <c r="P193" s="190">
        <v>32</v>
      </c>
      <c r="Q193" s="190">
        <v>2025</v>
      </c>
      <c r="R193" s="190">
        <v>5</v>
      </c>
    </row>
    <row r="194" spans="1:18" x14ac:dyDescent="0.2">
      <c r="A194" s="190" t="s">
        <v>51</v>
      </c>
      <c r="B194" s="191" t="s">
        <v>248</v>
      </c>
      <c r="C194" s="191" t="s">
        <v>5</v>
      </c>
      <c r="D194" s="191" t="s">
        <v>249</v>
      </c>
      <c r="E194" s="191" t="s">
        <v>250</v>
      </c>
      <c r="F194" s="190" t="s">
        <v>250</v>
      </c>
      <c r="G194" s="190" t="s">
        <v>253</v>
      </c>
      <c r="H194" s="190" t="s">
        <v>21</v>
      </c>
      <c r="I194" s="191" t="s">
        <v>162</v>
      </c>
      <c r="J194" s="190" t="s">
        <v>255</v>
      </c>
      <c r="K194" s="191" t="s">
        <v>227</v>
      </c>
      <c r="L194" s="192" t="s">
        <v>205</v>
      </c>
      <c r="M194" s="190" t="s">
        <v>210</v>
      </c>
      <c r="N194" s="190">
        <v>6320</v>
      </c>
      <c r="O194" s="190">
        <v>3933</v>
      </c>
      <c r="P194" s="190">
        <v>28</v>
      </c>
      <c r="Q194" s="190">
        <v>2025</v>
      </c>
      <c r="R194" s="190">
        <v>1</v>
      </c>
    </row>
    <row r="195" spans="1:18" x14ac:dyDescent="0.2">
      <c r="A195" s="190" t="s">
        <v>51</v>
      </c>
      <c r="B195" s="191" t="s">
        <v>248</v>
      </c>
      <c r="C195" s="191" t="s">
        <v>5</v>
      </c>
      <c r="D195" s="191" t="s">
        <v>249</v>
      </c>
      <c r="E195" s="191" t="s">
        <v>250</v>
      </c>
      <c r="F195" s="190" t="s">
        <v>250</v>
      </c>
      <c r="G195" s="190" t="s">
        <v>253</v>
      </c>
      <c r="H195" s="190" t="s">
        <v>19</v>
      </c>
      <c r="I195" s="191" t="s">
        <v>585</v>
      </c>
      <c r="J195" s="190" t="s">
        <v>652</v>
      </c>
      <c r="K195" s="191" t="s">
        <v>252</v>
      </c>
      <c r="L195" s="192" t="s">
        <v>205</v>
      </c>
      <c r="M195" s="190" t="s">
        <v>210</v>
      </c>
      <c r="N195" s="190">
        <v>5050</v>
      </c>
      <c r="O195" s="190">
        <v>1950</v>
      </c>
      <c r="P195" s="190">
        <v>21</v>
      </c>
      <c r="Q195" s="190">
        <v>2025</v>
      </c>
      <c r="R195" s="190">
        <v>3</v>
      </c>
    </row>
    <row r="196" spans="1:18" x14ac:dyDescent="0.2">
      <c r="A196" s="190" t="s">
        <v>51</v>
      </c>
      <c r="B196" s="191" t="s">
        <v>248</v>
      </c>
      <c r="C196" s="191" t="s">
        <v>5</v>
      </c>
      <c r="D196" s="191" t="s">
        <v>249</v>
      </c>
      <c r="E196" s="191" t="s">
        <v>257</v>
      </c>
      <c r="F196" s="190" t="s">
        <v>256</v>
      </c>
      <c r="G196" s="190" t="s">
        <v>258</v>
      </c>
      <c r="H196" s="190" t="s">
        <v>21</v>
      </c>
      <c r="I196" s="191" t="s">
        <v>571</v>
      </c>
      <c r="J196" s="190" t="s">
        <v>657</v>
      </c>
      <c r="K196" s="191" t="s">
        <v>227</v>
      </c>
      <c r="L196" s="192" t="s">
        <v>205</v>
      </c>
      <c r="M196" s="190" t="s">
        <v>210</v>
      </c>
      <c r="N196" s="190">
        <v>7800</v>
      </c>
      <c r="O196" s="190">
        <v>3933</v>
      </c>
      <c r="P196" s="190">
        <v>1</v>
      </c>
      <c r="Q196" s="190">
        <v>2025</v>
      </c>
      <c r="R196" s="190">
        <v>1</v>
      </c>
    </row>
    <row r="197" spans="1:18" x14ac:dyDescent="0.2">
      <c r="A197" s="190" t="s">
        <v>54</v>
      </c>
      <c r="B197" s="191" t="s">
        <v>211</v>
      </c>
      <c r="C197" s="191" t="s">
        <v>187</v>
      </c>
      <c r="D197" s="191" t="s">
        <v>4</v>
      </c>
      <c r="E197" s="191" t="s">
        <v>212</v>
      </c>
      <c r="F197" s="190" t="s">
        <v>212</v>
      </c>
      <c r="G197" s="190" t="s">
        <v>208</v>
      </c>
      <c r="H197" s="190" t="s">
        <v>29</v>
      </c>
      <c r="I197" s="191" t="s">
        <v>123</v>
      </c>
      <c r="J197" s="190" t="s">
        <v>214</v>
      </c>
      <c r="K197" s="191" t="s">
        <v>213</v>
      </c>
      <c r="L197" s="192" t="s">
        <v>205</v>
      </c>
      <c r="M197" s="190" t="s">
        <v>210</v>
      </c>
      <c r="N197" s="190">
        <v>6600</v>
      </c>
      <c r="O197" s="190">
        <v>2746</v>
      </c>
      <c r="P197" s="190">
        <v>3</v>
      </c>
      <c r="Q197" s="190">
        <v>2025</v>
      </c>
      <c r="R197" s="190">
        <v>2</v>
      </c>
    </row>
    <row r="198" spans="1:18" x14ac:dyDescent="0.2">
      <c r="A198" s="190" t="s">
        <v>54</v>
      </c>
      <c r="B198" s="191" t="s">
        <v>211</v>
      </c>
      <c r="C198" s="191" t="s">
        <v>187</v>
      </c>
      <c r="D198" s="191" t="s">
        <v>4</v>
      </c>
      <c r="E198" s="191" t="s">
        <v>212</v>
      </c>
      <c r="F198" s="190" t="s">
        <v>212</v>
      </c>
      <c r="G198" s="190" t="s">
        <v>208</v>
      </c>
      <c r="H198" s="190" t="s">
        <v>29</v>
      </c>
      <c r="I198" s="191" t="s">
        <v>311</v>
      </c>
      <c r="J198" s="190" t="s">
        <v>332</v>
      </c>
      <c r="K198" s="191" t="s">
        <v>213</v>
      </c>
      <c r="L198" s="192" t="s">
        <v>205</v>
      </c>
      <c r="M198" s="190" t="s">
        <v>210</v>
      </c>
      <c r="N198" s="190">
        <v>6560</v>
      </c>
      <c r="O198" s="190">
        <v>2746</v>
      </c>
      <c r="P198" s="190">
        <v>6</v>
      </c>
      <c r="Q198" s="190">
        <v>2025</v>
      </c>
      <c r="R198" s="190">
        <v>1</v>
      </c>
    </row>
    <row r="199" spans="1:18" x14ac:dyDescent="0.2">
      <c r="A199" s="190" t="s">
        <v>54</v>
      </c>
      <c r="B199" s="191" t="s">
        <v>211</v>
      </c>
      <c r="C199" s="191" t="s">
        <v>187</v>
      </c>
      <c r="D199" s="191" t="s">
        <v>4</v>
      </c>
      <c r="E199" s="191" t="s">
        <v>202</v>
      </c>
      <c r="F199" s="190" t="s">
        <v>212</v>
      </c>
      <c r="G199" s="190" t="s">
        <v>208</v>
      </c>
      <c r="H199" s="190" t="s">
        <v>22</v>
      </c>
      <c r="I199" s="191" t="s">
        <v>106</v>
      </c>
      <c r="J199" s="190" t="s">
        <v>222</v>
      </c>
      <c r="K199" s="191" t="s">
        <v>221</v>
      </c>
      <c r="L199" s="192" t="s">
        <v>205</v>
      </c>
      <c r="M199" s="190" t="s">
        <v>210</v>
      </c>
      <c r="N199" s="190">
        <v>7500</v>
      </c>
      <c r="O199" s="190">
        <v>4009</v>
      </c>
      <c r="P199" s="190">
        <v>3</v>
      </c>
      <c r="Q199" s="190">
        <v>2025</v>
      </c>
      <c r="R199" s="190">
        <v>1</v>
      </c>
    </row>
    <row r="200" spans="1:18" x14ac:dyDescent="0.2">
      <c r="A200" s="190" t="s">
        <v>54</v>
      </c>
      <c r="B200" s="191" t="s">
        <v>211</v>
      </c>
      <c r="C200" s="191" t="s">
        <v>187</v>
      </c>
      <c r="D200" s="191" t="s">
        <v>4</v>
      </c>
      <c r="E200" s="191" t="s">
        <v>202</v>
      </c>
      <c r="F200" s="190" t="s">
        <v>212</v>
      </c>
      <c r="G200" s="190" t="s">
        <v>208</v>
      </c>
      <c r="H200" s="190" t="s">
        <v>21</v>
      </c>
      <c r="I200" s="191" t="s">
        <v>113</v>
      </c>
      <c r="J200" s="190" t="s">
        <v>220</v>
      </c>
      <c r="K200" s="191" t="s">
        <v>227</v>
      </c>
      <c r="L200" s="192" t="s">
        <v>205</v>
      </c>
      <c r="M200" s="190" t="s">
        <v>210</v>
      </c>
      <c r="N200" s="190">
        <v>7800</v>
      </c>
      <c r="O200" s="190">
        <v>2891</v>
      </c>
      <c r="P200" s="190">
        <v>3</v>
      </c>
      <c r="Q200" s="190">
        <v>2024</v>
      </c>
      <c r="R200" s="190">
        <v>2</v>
      </c>
    </row>
    <row r="201" spans="1:18" x14ac:dyDescent="0.2">
      <c r="A201" s="190" t="s">
        <v>54</v>
      </c>
      <c r="B201" s="191" t="s">
        <v>211</v>
      </c>
      <c r="C201" s="191" t="s">
        <v>187</v>
      </c>
      <c r="D201" s="191" t="s">
        <v>4</v>
      </c>
      <c r="E201" s="191" t="s">
        <v>202</v>
      </c>
      <c r="F201" s="190" t="s">
        <v>212</v>
      </c>
      <c r="G201" s="190" t="s">
        <v>208</v>
      </c>
      <c r="H201" s="190" t="s">
        <v>24</v>
      </c>
      <c r="I201" s="191" t="s">
        <v>119</v>
      </c>
      <c r="J201" s="190" t="s">
        <v>232</v>
      </c>
      <c r="K201" s="191" t="s">
        <v>221</v>
      </c>
      <c r="L201" s="192" t="s">
        <v>205</v>
      </c>
      <c r="M201" s="190" t="s">
        <v>210</v>
      </c>
      <c r="N201" s="190">
        <v>7000</v>
      </c>
      <c r="O201" s="190">
        <v>5193</v>
      </c>
      <c r="P201" s="190">
        <v>3</v>
      </c>
      <c r="Q201" s="190">
        <v>2025</v>
      </c>
      <c r="R201" s="190">
        <v>1</v>
      </c>
    </row>
    <row r="202" spans="1:18" x14ac:dyDescent="0.2">
      <c r="A202" s="190" t="s">
        <v>54</v>
      </c>
      <c r="B202" s="191" t="s">
        <v>211</v>
      </c>
      <c r="C202" s="191" t="s">
        <v>187</v>
      </c>
      <c r="D202" s="191" t="s">
        <v>4</v>
      </c>
      <c r="E202" s="191" t="s">
        <v>202</v>
      </c>
      <c r="F202" s="190" t="s">
        <v>212</v>
      </c>
      <c r="G202" s="190" t="s">
        <v>208</v>
      </c>
      <c r="H202" s="190" t="s">
        <v>24</v>
      </c>
      <c r="I202" s="191" t="s">
        <v>120</v>
      </c>
      <c r="J202" s="190" t="s">
        <v>233</v>
      </c>
      <c r="K202" s="191" t="s">
        <v>221</v>
      </c>
      <c r="L202" s="192" t="s">
        <v>205</v>
      </c>
      <c r="M202" s="190" t="s">
        <v>210</v>
      </c>
      <c r="N202" s="190">
        <v>8000</v>
      </c>
      <c r="O202" s="190">
        <v>5193</v>
      </c>
      <c r="P202" s="190">
        <v>3</v>
      </c>
      <c r="Q202" s="190">
        <v>2025</v>
      </c>
      <c r="R202" s="190">
        <v>4</v>
      </c>
    </row>
    <row r="203" spans="1:18" x14ac:dyDescent="0.2">
      <c r="A203" s="190" t="s">
        <v>54</v>
      </c>
      <c r="B203" s="191" t="s">
        <v>211</v>
      </c>
      <c r="C203" s="191" t="s">
        <v>187</v>
      </c>
      <c r="D203" s="191" t="s">
        <v>4</v>
      </c>
      <c r="E203" s="191" t="s">
        <v>202</v>
      </c>
      <c r="F203" s="190" t="s">
        <v>212</v>
      </c>
      <c r="G203" s="190" t="s">
        <v>208</v>
      </c>
      <c r="H203" s="190" t="s">
        <v>24</v>
      </c>
      <c r="I203" s="191" t="s">
        <v>121</v>
      </c>
      <c r="J203" s="190" t="s">
        <v>232</v>
      </c>
      <c r="K203" s="191" t="s">
        <v>221</v>
      </c>
      <c r="L203" s="192" t="s">
        <v>205</v>
      </c>
      <c r="M203" s="190" t="s">
        <v>234</v>
      </c>
      <c r="N203" s="190">
        <v>6960</v>
      </c>
      <c r="O203" s="190">
        <v>5193</v>
      </c>
      <c r="P203" s="190">
        <v>3</v>
      </c>
      <c r="Q203" s="190">
        <v>2025</v>
      </c>
      <c r="R203" s="190">
        <v>1</v>
      </c>
    </row>
    <row r="204" spans="1:18" x14ac:dyDescent="0.2">
      <c r="A204" s="190" t="s">
        <v>54</v>
      </c>
      <c r="B204" s="191" t="s">
        <v>211</v>
      </c>
      <c r="C204" s="191" t="s">
        <v>187</v>
      </c>
      <c r="D204" s="191" t="s">
        <v>4</v>
      </c>
      <c r="E204" s="191" t="s">
        <v>202</v>
      </c>
      <c r="F204" s="190" t="s">
        <v>212</v>
      </c>
      <c r="G204" s="190" t="s">
        <v>208</v>
      </c>
      <c r="H204" s="190" t="s">
        <v>24</v>
      </c>
      <c r="I204" s="191" t="s">
        <v>122</v>
      </c>
      <c r="J204" s="190" t="s">
        <v>336</v>
      </c>
      <c r="K204" s="191" t="s">
        <v>221</v>
      </c>
      <c r="L204" s="192" t="s">
        <v>205</v>
      </c>
      <c r="M204" s="190" t="s">
        <v>210</v>
      </c>
      <c r="N204" s="190">
        <v>9500</v>
      </c>
      <c r="O204" s="190">
        <v>5193</v>
      </c>
      <c r="P204" s="190">
        <v>3</v>
      </c>
      <c r="Q204" s="190">
        <v>2025</v>
      </c>
      <c r="R204" s="190">
        <v>1</v>
      </c>
    </row>
    <row r="205" spans="1:18" x14ac:dyDescent="0.2">
      <c r="A205" s="190" t="s">
        <v>54</v>
      </c>
      <c r="B205" s="191" t="s">
        <v>211</v>
      </c>
      <c r="C205" s="191" t="s">
        <v>187</v>
      </c>
      <c r="D205" s="191" t="s">
        <v>4</v>
      </c>
      <c r="E205" s="191" t="s">
        <v>202</v>
      </c>
      <c r="F205" s="190" t="s">
        <v>212</v>
      </c>
      <c r="G205" s="190" t="s">
        <v>208</v>
      </c>
      <c r="H205" s="190" t="s">
        <v>29</v>
      </c>
      <c r="I205" s="191" t="s">
        <v>125</v>
      </c>
      <c r="J205" s="190" t="s">
        <v>367</v>
      </c>
      <c r="K205" s="191" t="s">
        <v>213</v>
      </c>
      <c r="L205" s="192" t="s">
        <v>205</v>
      </c>
      <c r="M205" s="190" t="s">
        <v>210</v>
      </c>
      <c r="N205" s="190">
        <v>9900</v>
      </c>
      <c r="O205" s="190">
        <v>3760</v>
      </c>
      <c r="P205" s="190">
        <v>3</v>
      </c>
      <c r="Q205" s="190">
        <v>2025</v>
      </c>
      <c r="R205" s="190">
        <v>1</v>
      </c>
    </row>
    <row r="206" spans="1:18" x14ac:dyDescent="0.2">
      <c r="A206" s="190" t="s">
        <v>54</v>
      </c>
      <c r="B206" s="191" t="s">
        <v>211</v>
      </c>
      <c r="C206" s="191" t="s">
        <v>187</v>
      </c>
      <c r="D206" s="191" t="s">
        <v>4</v>
      </c>
      <c r="E206" s="191" t="s">
        <v>202</v>
      </c>
      <c r="F206" s="190" t="s">
        <v>212</v>
      </c>
      <c r="G206" s="190" t="s">
        <v>203</v>
      </c>
      <c r="H206" s="190" t="s">
        <v>22</v>
      </c>
      <c r="I206" s="191" t="s">
        <v>107</v>
      </c>
      <c r="J206" s="190" t="s">
        <v>220</v>
      </c>
      <c r="K206" s="191" t="s">
        <v>221</v>
      </c>
      <c r="L206" s="192" t="s">
        <v>205</v>
      </c>
      <c r="M206" s="190" t="s">
        <v>210</v>
      </c>
      <c r="N206" s="190">
        <v>12500</v>
      </c>
      <c r="O206" s="190">
        <v>7684</v>
      </c>
      <c r="P206" s="190">
        <v>3</v>
      </c>
      <c r="Q206" s="190">
        <v>2025</v>
      </c>
      <c r="R206" s="190">
        <v>1</v>
      </c>
    </row>
    <row r="207" spans="1:18" x14ac:dyDescent="0.2">
      <c r="A207" s="190" t="s">
        <v>54</v>
      </c>
      <c r="B207" s="191" t="s">
        <v>211</v>
      </c>
      <c r="C207" s="191" t="s">
        <v>187</v>
      </c>
      <c r="D207" s="191" t="s">
        <v>4</v>
      </c>
      <c r="E207" s="191" t="s">
        <v>202</v>
      </c>
      <c r="F207" s="190" t="s">
        <v>212</v>
      </c>
      <c r="G207" s="190" t="s">
        <v>203</v>
      </c>
      <c r="H207" s="190" t="s">
        <v>24</v>
      </c>
      <c r="I207" s="191" t="s">
        <v>115</v>
      </c>
      <c r="J207" s="190" t="s">
        <v>238</v>
      </c>
      <c r="K207" s="191" t="s">
        <v>221</v>
      </c>
      <c r="L207" s="192" t="s">
        <v>205</v>
      </c>
      <c r="M207" s="190" t="s">
        <v>210</v>
      </c>
      <c r="N207" s="190">
        <v>15295</v>
      </c>
      <c r="O207" s="190">
        <v>7790</v>
      </c>
      <c r="P207" s="190">
        <v>3</v>
      </c>
      <c r="Q207" s="190">
        <v>2025</v>
      </c>
      <c r="R207" s="190">
        <v>1</v>
      </c>
    </row>
    <row r="208" spans="1:18" x14ac:dyDescent="0.2">
      <c r="A208" s="190" t="s">
        <v>54</v>
      </c>
      <c r="B208" s="191" t="s">
        <v>211</v>
      </c>
      <c r="C208" s="191" t="s">
        <v>187</v>
      </c>
      <c r="D208" s="191" t="s">
        <v>4</v>
      </c>
      <c r="E208" s="191" t="s">
        <v>202</v>
      </c>
      <c r="F208" s="190" t="s">
        <v>212</v>
      </c>
      <c r="G208" s="190" t="s">
        <v>203</v>
      </c>
      <c r="H208" s="190" t="s">
        <v>24</v>
      </c>
      <c r="I208" s="191" t="s">
        <v>116</v>
      </c>
      <c r="J208" s="190" t="s">
        <v>239</v>
      </c>
      <c r="K208" s="191" t="s">
        <v>221</v>
      </c>
      <c r="L208" s="192" t="s">
        <v>205</v>
      </c>
      <c r="M208" s="190" t="s">
        <v>210</v>
      </c>
      <c r="N208" s="190">
        <v>18630</v>
      </c>
      <c r="O208" s="190">
        <v>7790</v>
      </c>
      <c r="P208" s="190">
        <v>3</v>
      </c>
      <c r="Q208" s="190">
        <v>2025</v>
      </c>
      <c r="R208" s="190">
        <v>1</v>
      </c>
    </row>
    <row r="209" spans="1:18" x14ac:dyDescent="0.2">
      <c r="A209" s="190" t="s">
        <v>54</v>
      </c>
      <c r="B209" s="191" t="s">
        <v>211</v>
      </c>
      <c r="C209" s="191" t="s">
        <v>187</v>
      </c>
      <c r="D209" s="191" t="s">
        <v>4</v>
      </c>
      <c r="E209" s="191" t="s">
        <v>202</v>
      </c>
      <c r="F209" s="190" t="s">
        <v>269</v>
      </c>
      <c r="G209" s="190" t="s">
        <v>208</v>
      </c>
      <c r="H209" s="190" t="s">
        <v>22</v>
      </c>
      <c r="I209" s="191" t="s">
        <v>106</v>
      </c>
      <c r="J209" s="190" t="s">
        <v>223</v>
      </c>
      <c r="K209" s="191" t="s">
        <v>221</v>
      </c>
      <c r="L209" s="192" t="s">
        <v>205</v>
      </c>
      <c r="M209" s="190" t="s">
        <v>210</v>
      </c>
      <c r="N209" s="190">
        <v>7500</v>
      </c>
      <c r="O209" s="190">
        <v>4009</v>
      </c>
      <c r="P209" s="190">
        <v>3</v>
      </c>
      <c r="Q209" s="190">
        <v>2025</v>
      </c>
      <c r="R209" s="190">
        <v>1</v>
      </c>
    </row>
    <row r="210" spans="1:18" x14ac:dyDescent="0.2">
      <c r="A210" s="190" t="s">
        <v>54</v>
      </c>
      <c r="B210" s="191" t="s">
        <v>211</v>
      </c>
      <c r="C210" s="191" t="s">
        <v>187</v>
      </c>
      <c r="D210" s="191" t="s">
        <v>4</v>
      </c>
      <c r="E210" s="191" t="s">
        <v>202</v>
      </c>
      <c r="F210" s="190" t="s">
        <v>622</v>
      </c>
      <c r="G210" s="190" t="s">
        <v>208</v>
      </c>
      <c r="H210" s="190" t="s">
        <v>22</v>
      </c>
      <c r="I210" s="191" t="s">
        <v>106</v>
      </c>
      <c r="J210" s="190" t="s">
        <v>223</v>
      </c>
      <c r="K210" s="191" t="s">
        <v>221</v>
      </c>
      <c r="L210" s="192" t="s">
        <v>205</v>
      </c>
      <c r="M210" s="190" t="s">
        <v>210</v>
      </c>
      <c r="N210" s="190">
        <v>8000</v>
      </c>
      <c r="O210" s="190">
        <v>4009</v>
      </c>
      <c r="P210" s="190">
        <v>3</v>
      </c>
      <c r="Q210" s="190">
        <v>2025</v>
      </c>
      <c r="R210" s="190">
        <v>1</v>
      </c>
    </row>
    <row r="211" spans="1:18" x14ac:dyDescent="0.2">
      <c r="A211" s="190" t="s">
        <v>54</v>
      </c>
      <c r="B211" s="191" t="s">
        <v>211</v>
      </c>
      <c r="C211" s="191" t="s">
        <v>187</v>
      </c>
      <c r="D211" s="191" t="s">
        <v>4</v>
      </c>
      <c r="E211" s="191" t="s">
        <v>202</v>
      </c>
      <c r="F211" s="190" t="s">
        <v>216</v>
      </c>
      <c r="G211" s="190" t="s">
        <v>208</v>
      </c>
      <c r="H211" s="190" t="s">
        <v>22</v>
      </c>
      <c r="I211" s="191" t="s">
        <v>106</v>
      </c>
      <c r="J211" s="190" t="s">
        <v>222</v>
      </c>
      <c r="K211" s="191" t="s">
        <v>221</v>
      </c>
      <c r="L211" s="192" t="s">
        <v>205</v>
      </c>
      <c r="M211" s="190" t="s">
        <v>210</v>
      </c>
      <c r="N211" s="190">
        <v>7500</v>
      </c>
      <c r="O211" s="190">
        <v>4009</v>
      </c>
      <c r="P211" s="190">
        <v>3</v>
      </c>
      <c r="Q211" s="190">
        <v>2025</v>
      </c>
      <c r="R211" s="190">
        <v>2</v>
      </c>
    </row>
    <row r="212" spans="1:18" x14ac:dyDescent="0.2">
      <c r="A212" s="190" t="s">
        <v>54</v>
      </c>
      <c r="B212" s="191" t="s">
        <v>211</v>
      </c>
      <c r="C212" s="191" t="s">
        <v>187</v>
      </c>
      <c r="D212" s="191" t="s">
        <v>4</v>
      </c>
      <c r="E212" s="191" t="s">
        <v>202</v>
      </c>
      <c r="F212" s="190" t="s">
        <v>216</v>
      </c>
      <c r="G212" s="190" t="s">
        <v>208</v>
      </c>
      <c r="H212" s="190" t="s">
        <v>21</v>
      </c>
      <c r="I212" s="191" t="s">
        <v>110</v>
      </c>
      <c r="J212" s="190" t="s">
        <v>226</v>
      </c>
      <c r="K212" s="191" t="s">
        <v>227</v>
      </c>
      <c r="L212" s="192" t="s">
        <v>205</v>
      </c>
      <c r="M212" s="190" t="s">
        <v>210</v>
      </c>
      <c r="N212" s="190">
        <v>9700</v>
      </c>
      <c r="O212" s="190">
        <v>3933</v>
      </c>
      <c r="P212" s="190">
        <v>3</v>
      </c>
      <c r="Q212" s="190">
        <v>2024</v>
      </c>
      <c r="R212" s="190">
        <v>1</v>
      </c>
    </row>
    <row r="213" spans="1:18" x14ac:dyDescent="0.2">
      <c r="A213" s="190" t="s">
        <v>54</v>
      </c>
      <c r="B213" s="191" t="s">
        <v>211</v>
      </c>
      <c r="C213" s="191" t="s">
        <v>187</v>
      </c>
      <c r="D213" s="191" t="s">
        <v>4</v>
      </c>
      <c r="E213" s="191" t="s">
        <v>202</v>
      </c>
      <c r="F213" s="190" t="s">
        <v>216</v>
      </c>
      <c r="G213" s="190" t="s">
        <v>208</v>
      </c>
      <c r="H213" s="190" t="s">
        <v>21</v>
      </c>
      <c r="I213" s="191" t="s">
        <v>113</v>
      </c>
      <c r="J213" s="190" t="s">
        <v>220</v>
      </c>
      <c r="K213" s="191" t="s">
        <v>227</v>
      </c>
      <c r="L213" s="192" t="s">
        <v>205</v>
      </c>
      <c r="M213" s="190" t="s">
        <v>210</v>
      </c>
      <c r="N213" s="190">
        <v>7800</v>
      </c>
      <c r="O213" s="190">
        <v>2891</v>
      </c>
      <c r="P213" s="190">
        <v>3</v>
      </c>
      <c r="Q213" s="190">
        <v>2024</v>
      </c>
      <c r="R213" s="190">
        <v>1</v>
      </c>
    </row>
    <row r="214" spans="1:18" x14ac:dyDescent="0.2">
      <c r="A214" s="190" t="s">
        <v>54</v>
      </c>
      <c r="B214" s="191" t="s">
        <v>211</v>
      </c>
      <c r="C214" s="191" t="s">
        <v>187</v>
      </c>
      <c r="D214" s="191" t="s">
        <v>4</v>
      </c>
      <c r="E214" s="191" t="s">
        <v>202</v>
      </c>
      <c r="F214" s="190" t="s">
        <v>216</v>
      </c>
      <c r="G214" s="190" t="s">
        <v>208</v>
      </c>
      <c r="H214" s="190" t="s">
        <v>21</v>
      </c>
      <c r="I214" s="191" t="s">
        <v>113</v>
      </c>
      <c r="J214" s="190" t="s">
        <v>220</v>
      </c>
      <c r="K214" s="191" t="s">
        <v>227</v>
      </c>
      <c r="L214" s="192" t="s">
        <v>205</v>
      </c>
      <c r="M214" s="190" t="s">
        <v>210</v>
      </c>
      <c r="N214" s="190">
        <v>7800</v>
      </c>
      <c r="O214" s="190">
        <v>2891</v>
      </c>
      <c r="P214" s="190">
        <v>3</v>
      </c>
      <c r="Q214" s="190">
        <v>2025</v>
      </c>
      <c r="R214" s="190">
        <v>1</v>
      </c>
    </row>
    <row r="215" spans="1:18" x14ac:dyDescent="0.2">
      <c r="A215" s="190" t="s">
        <v>54</v>
      </c>
      <c r="B215" s="191" t="s">
        <v>211</v>
      </c>
      <c r="C215" s="191" t="s">
        <v>187</v>
      </c>
      <c r="D215" s="191" t="s">
        <v>4</v>
      </c>
      <c r="E215" s="191" t="s">
        <v>202</v>
      </c>
      <c r="F215" s="190" t="s">
        <v>216</v>
      </c>
      <c r="G215" s="190" t="s">
        <v>208</v>
      </c>
      <c r="H215" s="190" t="s">
        <v>24</v>
      </c>
      <c r="I215" s="191" t="s">
        <v>114</v>
      </c>
      <c r="J215" s="190" t="s">
        <v>230</v>
      </c>
      <c r="K215" s="191" t="s">
        <v>221</v>
      </c>
      <c r="L215" s="192" t="s">
        <v>205</v>
      </c>
      <c r="M215" s="190" t="s">
        <v>210</v>
      </c>
      <c r="N215" s="190">
        <v>10400</v>
      </c>
      <c r="O215" s="190">
        <v>5193</v>
      </c>
      <c r="P215" s="190">
        <v>3</v>
      </c>
      <c r="Q215" s="190">
        <v>2025</v>
      </c>
      <c r="R215" s="190">
        <v>2</v>
      </c>
    </row>
    <row r="216" spans="1:18" x14ac:dyDescent="0.2">
      <c r="A216" s="190" t="s">
        <v>54</v>
      </c>
      <c r="B216" s="191" t="s">
        <v>211</v>
      </c>
      <c r="C216" s="191" t="s">
        <v>187</v>
      </c>
      <c r="D216" s="191" t="s">
        <v>4</v>
      </c>
      <c r="E216" s="191" t="s">
        <v>202</v>
      </c>
      <c r="F216" s="190" t="s">
        <v>216</v>
      </c>
      <c r="G216" s="190" t="s">
        <v>208</v>
      </c>
      <c r="H216" s="190" t="s">
        <v>24</v>
      </c>
      <c r="I216" s="191" t="s">
        <v>120</v>
      </c>
      <c r="J216" s="190" t="s">
        <v>233</v>
      </c>
      <c r="K216" s="191" t="s">
        <v>221</v>
      </c>
      <c r="L216" s="192" t="s">
        <v>205</v>
      </c>
      <c r="M216" s="190" t="s">
        <v>210</v>
      </c>
      <c r="N216" s="190">
        <v>8000</v>
      </c>
      <c r="O216" s="190">
        <v>5193</v>
      </c>
      <c r="P216" s="190">
        <v>3</v>
      </c>
      <c r="Q216" s="190">
        <v>2025</v>
      </c>
      <c r="R216" s="190">
        <v>3</v>
      </c>
    </row>
    <row r="217" spans="1:18" x14ac:dyDescent="0.2">
      <c r="A217" s="190" t="s">
        <v>54</v>
      </c>
      <c r="B217" s="191" t="s">
        <v>211</v>
      </c>
      <c r="C217" s="191" t="s">
        <v>187</v>
      </c>
      <c r="D217" s="191" t="s">
        <v>4</v>
      </c>
      <c r="E217" s="191" t="s">
        <v>202</v>
      </c>
      <c r="F217" s="190" t="s">
        <v>216</v>
      </c>
      <c r="G217" s="190" t="s">
        <v>208</v>
      </c>
      <c r="H217" s="190" t="s">
        <v>24</v>
      </c>
      <c r="I217" s="191" t="s">
        <v>122</v>
      </c>
      <c r="J217" s="190" t="s">
        <v>336</v>
      </c>
      <c r="K217" s="191" t="s">
        <v>221</v>
      </c>
      <c r="L217" s="192" t="s">
        <v>205</v>
      </c>
      <c r="M217" s="190" t="s">
        <v>210</v>
      </c>
      <c r="N217" s="190">
        <v>9500</v>
      </c>
      <c r="O217" s="190">
        <v>5193</v>
      </c>
      <c r="P217" s="190">
        <v>3</v>
      </c>
      <c r="Q217" s="190">
        <v>2025</v>
      </c>
      <c r="R217" s="190">
        <v>2</v>
      </c>
    </row>
    <row r="218" spans="1:18" x14ac:dyDescent="0.2">
      <c r="A218" s="190" t="s">
        <v>54</v>
      </c>
      <c r="B218" s="191" t="s">
        <v>211</v>
      </c>
      <c r="C218" s="191" t="s">
        <v>187</v>
      </c>
      <c r="D218" s="191" t="s">
        <v>4</v>
      </c>
      <c r="E218" s="191" t="s">
        <v>202</v>
      </c>
      <c r="F218" s="190" t="s">
        <v>219</v>
      </c>
      <c r="G218" s="190" t="s">
        <v>208</v>
      </c>
      <c r="H218" s="190" t="s">
        <v>24</v>
      </c>
      <c r="I218" s="191" t="s">
        <v>120</v>
      </c>
      <c r="J218" s="190" t="s">
        <v>233</v>
      </c>
      <c r="K218" s="191" t="s">
        <v>221</v>
      </c>
      <c r="L218" s="192" t="s">
        <v>205</v>
      </c>
      <c r="M218" s="190" t="s">
        <v>210</v>
      </c>
      <c r="N218" s="190">
        <v>8000</v>
      </c>
      <c r="O218" s="190">
        <v>5193</v>
      </c>
      <c r="P218" s="190">
        <v>3</v>
      </c>
      <c r="Q218" s="190">
        <v>2025</v>
      </c>
      <c r="R218" s="190">
        <v>1</v>
      </c>
    </row>
    <row r="219" spans="1:18" x14ac:dyDescent="0.2">
      <c r="A219" s="190" t="s">
        <v>54</v>
      </c>
      <c r="B219" s="191" t="s">
        <v>248</v>
      </c>
      <c r="C219" s="191" t="s">
        <v>187</v>
      </c>
      <c r="D219" s="191" t="s">
        <v>4</v>
      </c>
      <c r="E219" s="191" t="s">
        <v>202</v>
      </c>
      <c r="F219" s="190" t="s">
        <v>212</v>
      </c>
      <c r="G219" s="190" t="s">
        <v>208</v>
      </c>
      <c r="H219" s="190" t="s">
        <v>24</v>
      </c>
      <c r="I219" s="191" t="s">
        <v>122</v>
      </c>
      <c r="J219" s="190" t="s">
        <v>336</v>
      </c>
      <c r="K219" s="191" t="s">
        <v>221</v>
      </c>
      <c r="L219" s="192" t="s">
        <v>205</v>
      </c>
      <c r="M219" s="190" t="s">
        <v>210</v>
      </c>
      <c r="N219" s="190">
        <v>9500</v>
      </c>
      <c r="O219" s="190">
        <v>5193</v>
      </c>
      <c r="P219" s="190">
        <v>3</v>
      </c>
      <c r="Q219" s="190">
        <v>2025</v>
      </c>
      <c r="R219" s="190">
        <v>1</v>
      </c>
    </row>
    <row r="220" spans="1:18" x14ac:dyDescent="0.2">
      <c r="A220" s="190" t="s">
        <v>54</v>
      </c>
      <c r="B220" s="191" t="s">
        <v>248</v>
      </c>
      <c r="C220" s="191" t="s">
        <v>5</v>
      </c>
      <c r="D220" s="191" t="s">
        <v>249</v>
      </c>
      <c r="E220" s="191" t="s">
        <v>250</v>
      </c>
      <c r="F220" s="190" t="s">
        <v>250</v>
      </c>
      <c r="G220" s="190" t="s">
        <v>251</v>
      </c>
      <c r="H220" s="190" t="s">
        <v>29</v>
      </c>
      <c r="I220" s="191" t="s">
        <v>163</v>
      </c>
      <c r="J220" s="190" t="s">
        <v>261</v>
      </c>
      <c r="K220" s="191" t="s">
        <v>213</v>
      </c>
      <c r="L220" s="192" t="s">
        <v>205</v>
      </c>
      <c r="M220" s="190" t="s">
        <v>210</v>
      </c>
      <c r="N220" s="190">
        <v>4000</v>
      </c>
      <c r="O220" s="190">
        <v>2746</v>
      </c>
      <c r="P220" s="190">
        <v>18</v>
      </c>
      <c r="Q220" s="190">
        <v>2025</v>
      </c>
      <c r="R220" s="190">
        <v>2</v>
      </c>
    </row>
    <row r="221" spans="1:18" x14ac:dyDescent="0.2">
      <c r="A221" s="190" t="s">
        <v>61</v>
      </c>
      <c r="B221" s="191" t="s">
        <v>211</v>
      </c>
      <c r="C221" s="191" t="s">
        <v>187</v>
      </c>
      <c r="D221" s="191" t="s">
        <v>4</v>
      </c>
      <c r="E221" s="191" t="s">
        <v>202</v>
      </c>
      <c r="F221" s="190" t="s">
        <v>212</v>
      </c>
      <c r="G221" s="190" t="s">
        <v>208</v>
      </c>
      <c r="H221" s="190" t="s">
        <v>24</v>
      </c>
      <c r="I221" s="191" t="s">
        <v>120</v>
      </c>
      <c r="J221" s="190" t="s">
        <v>233</v>
      </c>
      <c r="K221" s="191" t="s">
        <v>221</v>
      </c>
      <c r="L221" s="192" t="s">
        <v>205</v>
      </c>
      <c r="M221" s="190" t="s">
        <v>210</v>
      </c>
      <c r="N221" s="190">
        <v>8000</v>
      </c>
      <c r="O221" s="190">
        <v>5193</v>
      </c>
      <c r="P221" s="190">
        <v>3</v>
      </c>
      <c r="Q221" s="190">
        <v>2024</v>
      </c>
      <c r="R221" s="190">
        <v>1</v>
      </c>
    </row>
    <row r="222" spans="1:18" x14ac:dyDescent="0.2">
      <c r="A222" s="190" t="s">
        <v>61</v>
      </c>
      <c r="B222" s="191" t="s">
        <v>211</v>
      </c>
      <c r="C222" s="191" t="s">
        <v>187</v>
      </c>
      <c r="D222" s="191" t="s">
        <v>4</v>
      </c>
      <c r="E222" s="191" t="s">
        <v>202</v>
      </c>
      <c r="F222" s="190" t="s">
        <v>212</v>
      </c>
      <c r="G222" s="190" t="s">
        <v>208</v>
      </c>
      <c r="H222" s="190" t="s">
        <v>24</v>
      </c>
      <c r="I222" s="191" t="s">
        <v>120</v>
      </c>
      <c r="J222" s="190" t="s">
        <v>233</v>
      </c>
      <c r="K222" s="191" t="s">
        <v>221</v>
      </c>
      <c r="L222" s="192" t="s">
        <v>205</v>
      </c>
      <c r="M222" s="190" t="s">
        <v>210</v>
      </c>
      <c r="N222" s="190">
        <v>8000</v>
      </c>
      <c r="O222" s="190">
        <v>5193</v>
      </c>
      <c r="P222" s="190">
        <v>3</v>
      </c>
      <c r="Q222" s="190">
        <v>2025</v>
      </c>
      <c r="R222" s="190">
        <v>6</v>
      </c>
    </row>
    <row r="223" spans="1:18" x14ac:dyDescent="0.2">
      <c r="A223" s="190" t="s">
        <v>61</v>
      </c>
      <c r="B223" s="191" t="s">
        <v>211</v>
      </c>
      <c r="C223" s="191" t="s">
        <v>187</v>
      </c>
      <c r="D223" s="191" t="s">
        <v>4</v>
      </c>
      <c r="E223" s="191" t="s">
        <v>202</v>
      </c>
      <c r="F223" s="190" t="s">
        <v>216</v>
      </c>
      <c r="G223" s="190" t="s">
        <v>208</v>
      </c>
      <c r="H223" s="190" t="s">
        <v>23</v>
      </c>
      <c r="I223" s="191" t="s">
        <v>306</v>
      </c>
      <c r="J223" s="190" t="s">
        <v>98</v>
      </c>
      <c r="K223" s="191" t="s">
        <v>213</v>
      </c>
      <c r="L223" s="192" t="s">
        <v>205</v>
      </c>
      <c r="M223" s="190" t="s">
        <v>210</v>
      </c>
      <c r="N223" s="190">
        <v>6500</v>
      </c>
      <c r="O223" s="190">
        <v>2771</v>
      </c>
      <c r="P223" s="190">
        <v>3</v>
      </c>
      <c r="Q223" s="190">
        <v>2025</v>
      </c>
      <c r="R223" s="190">
        <v>1</v>
      </c>
    </row>
    <row r="224" spans="1:18" x14ac:dyDescent="0.2">
      <c r="A224" s="190" t="s">
        <v>61</v>
      </c>
      <c r="B224" s="191" t="s">
        <v>248</v>
      </c>
      <c r="C224" s="191" t="s">
        <v>5</v>
      </c>
      <c r="D224" s="191" t="s">
        <v>249</v>
      </c>
      <c r="E224" s="191" t="s">
        <v>250</v>
      </c>
      <c r="F224" s="190" t="s">
        <v>250</v>
      </c>
      <c r="G224" s="190" t="s">
        <v>251</v>
      </c>
      <c r="H224" s="190" t="s">
        <v>32</v>
      </c>
      <c r="I224" s="191" t="s">
        <v>164</v>
      </c>
      <c r="J224" s="190" t="s">
        <v>669</v>
      </c>
      <c r="K224" s="191" t="s">
        <v>213</v>
      </c>
      <c r="L224" s="192" t="s">
        <v>205</v>
      </c>
      <c r="M224" s="190" t="s">
        <v>210</v>
      </c>
      <c r="N224" s="190">
        <v>3550</v>
      </c>
      <c r="O224" s="190">
        <v>2498</v>
      </c>
      <c r="P224" s="190">
        <v>17</v>
      </c>
      <c r="Q224" s="190">
        <v>2024</v>
      </c>
      <c r="R224" s="190">
        <v>1</v>
      </c>
    </row>
    <row r="225" spans="1:18" x14ac:dyDescent="0.2">
      <c r="A225" s="190" t="s">
        <v>61</v>
      </c>
      <c r="B225" s="191" t="s">
        <v>248</v>
      </c>
      <c r="C225" s="191" t="s">
        <v>5</v>
      </c>
      <c r="D225" s="191" t="s">
        <v>249</v>
      </c>
      <c r="E225" s="191" t="s">
        <v>250</v>
      </c>
      <c r="F225" s="190" t="s">
        <v>250</v>
      </c>
      <c r="G225" s="190" t="s">
        <v>251</v>
      </c>
      <c r="H225" s="190" t="s">
        <v>32</v>
      </c>
      <c r="I225" s="191" t="s">
        <v>165</v>
      </c>
      <c r="J225" s="190" t="s">
        <v>337</v>
      </c>
      <c r="K225" s="191" t="s">
        <v>213</v>
      </c>
      <c r="L225" s="192" t="s">
        <v>205</v>
      </c>
      <c r="M225" s="190" t="s">
        <v>210</v>
      </c>
      <c r="N225" s="190">
        <v>3980</v>
      </c>
      <c r="O225" s="190">
        <v>2982</v>
      </c>
      <c r="P225" s="190">
        <v>20</v>
      </c>
      <c r="Q225" s="190">
        <v>2024</v>
      </c>
      <c r="R225" s="190">
        <v>1</v>
      </c>
    </row>
    <row r="226" spans="1:18" x14ac:dyDescent="0.2">
      <c r="A226" s="190" t="s">
        <v>61</v>
      </c>
      <c r="B226" s="191" t="s">
        <v>248</v>
      </c>
      <c r="C226" s="191" t="s">
        <v>5</v>
      </c>
      <c r="D226" s="191" t="s">
        <v>249</v>
      </c>
      <c r="E226" s="191" t="s">
        <v>250</v>
      </c>
      <c r="F226" s="190" t="s">
        <v>250</v>
      </c>
      <c r="G226" s="190" t="s">
        <v>251</v>
      </c>
      <c r="H226" s="190" t="s">
        <v>32</v>
      </c>
      <c r="I226" s="191" t="s">
        <v>165</v>
      </c>
      <c r="J226" s="190" t="s">
        <v>395</v>
      </c>
      <c r="K226" s="191" t="s">
        <v>213</v>
      </c>
      <c r="L226" s="192" t="s">
        <v>205</v>
      </c>
      <c r="M226" s="190" t="s">
        <v>210</v>
      </c>
      <c r="N226" s="190">
        <v>3980</v>
      </c>
      <c r="O226" s="190">
        <v>2982</v>
      </c>
      <c r="P226" s="190">
        <v>20</v>
      </c>
      <c r="Q226" s="190">
        <v>2025</v>
      </c>
      <c r="R226" s="190">
        <v>2</v>
      </c>
    </row>
    <row r="227" spans="1:18" x14ac:dyDescent="0.2">
      <c r="A227" s="190" t="s">
        <v>61</v>
      </c>
      <c r="B227" s="191" t="s">
        <v>248</v>
      </c>
      <c r="C227" s="191" t="s">
        <v>5</v>
      </c>
      <c r="D227" s="191" t="s">
        <v>249</v>
      </c>
      <c r="E227" s="191" t="s">
        <v>250</v>
      </c>
      <c r="F227" s="190" t="s">
        <v>250</v>
      </c>
      <c r="G227" s="190" t="s">
        <v>253</v>
      </c>
      <c r="H227" s="190" t="s">
        <v>21</v>
      </c>
      <c r="I227" s="191" t="s">
        <v>162</v>
      </c>
      <c r="J227" s="190" t="s">
        <v>255</v>
      </c>
      <c r="K227" s="191" t="s">
        <v>227</v>
      </c>
      <c r="L227" s="192" t="s">
        <v>205</v>
      </c>
      <c r="M227" s="190" t="s">
        <v>210</v>
      </c>
      <c r="N227" s="190">
        <v>6895</v>
      </c>
      <c r="O227" s="190">
        <v>3933</v>
      </c>
      <c r="P227" s="190">
        <v>32</v>
      </c>
      <c r="Q227" s="190">
        <v>2025</v>
      </c>
      <c r="R227" s="190">
        <v>1</v>
      </c>
    </row>
    <row r="228" spans="1:18" x14ac:dyDescent="0.2">
      <c r="A228" s="190" t="s">
        <v>59</v>
      </c>
      <c r="B228" s="191" t="s">
        <v>211</v>
      </c>
      <c r="C228" s="191" t="s">
        <v>187</v>
      </c>
      <c r="D228" s="191" t="s">
        <v>4</v>
      </c>
      <c r="E228" s="191" t="s">
        <v>212</v>
      </c>
      <c r="F228" s="190" t="s">
        <v>212</v>
      </c>
      <c r="G228" s="190" t="s">
        <v>208</v>
      </c>
      <c r="H228" s="190" t="s">
        <v>39</v>
      </c>
      <c r="I228" s="191" t="s">
        <v>285</v>
      </c>
      <c r="J228" s="190" t="s">
        <v>286</v>
      </c>
      <c r="K228" s="191" t="s">
        <v>213</v>
      </c>
      <c r="L228" s="192" t="s">
        <v>205</v>
      </c>
      <c r="M228" s="190" t="s">
        <v>210</v>
      </c>
      <c r="N228" s="190">
        <v>6361</v>
      </c>
      <c r="O228" s="190">
        <v>2771</v>
      </c>
      <c r="P228" s="190">
        <v>3</v>
      </c>
      <c r="Q228" s="190">
        <v>2025</v>
      </c>
      <c r="R228" s="190">
        <v>1</v>
      </c>
    </row>
    <row r="229" spans="1:18" x14ac:dyDescent="0.2">
      <c r="A229" s="190" t="s">
        <v>300</v>
      </c>
      <c r="B229" s="191" t="s">
        <v>211</v>
      </c>
      <c r="C229" s="191" t="s">
        <v>187</v>
      </c>
      <c r="D229" s="191" t="s">
        <v>4</v>
      </c>
      <c r="E229" s="191" t="s">
        <v>202</v>
      </c>
      <c r="F229" s="190" t="s">
        <v>646</v>
      </c>
      <c r="G229" s="190" t="s">
        <v>203</v>
      </c>
      <c r="H229" s="190" t="s">
        <v>29</v>
      </c>
      <c r="I229" s="191" t="s">
        <v>126</v>
      </c>
      <c r="J229" s="190" t="s">
        <v>376</v>
      </c>
      <c r="K229" s="191" t="s">
        <v>213</v>
      </c>
      <c r="L229" s="192" t="s">
        <v>205</v>
      </c>
      <c r="M229" s="190" t="s">
        <v>210</v>
      </c>
      <c r="N229" s="190">
        <v>12590</v>
      </c>
      <c r="O229" s="190">
        <v>3760</v>
      </c>
      <c r="P229" s="190">
        <v>3</v>
      </c>
      <c r="Q229" s="190">
        <v>2025</v>
      </c>
      <c r="R229" s="190">
        <v>1</v>
      </c>
    </row>
    <row r="230" spans="1:18" x14ac:dyDescent="0.2">
      <c r="A230" s="190" t="s">
        <v>300</v>
      </c>
      <c r="B230" s="191" t="s">
        <v>248</v>
      </c>
      <c r="C230" s="191" t="s">
        <v>5</v>
      </c>
      <c r="D230" s="191" t="s">
        <v>249</v>
      </c>
      <c r="E230" s="191" t="s">
        <v>250</v>
      </c>
      <c r="F230" s="190" t="s">
        <v>250</v>
      </c>
      <c r="G230" s="190" t="s">
        <v>251</v>
      </c>
      <c r="H230" s="190" t="s">
        <v>29</v>
      </c>
      <c r="I230" s="191" t="s">
        <v>163</v>
      </c>
      <c r="J230" s="190" t="s">
        <v>281</v>
      </c>
      <c r="K230" s="191" t="s">
        <v>213</v>
      </c>
      <c r="L230" s="192" t="s">
        <v>205</v>
      </c>
      <c r="M230" s="190" t="s">
        <v>210</v>
      </c>
      <c r="N230" s="190">
        <v>4000</v>
      </c>
      <c r="O230" s="190">
        <v>2746</v>
      </c>
      <c r="P230" s="190">
        <v>17</v>
      </c>
      <c r="Q230" s="190">
        <v>2025</v>
      </c>
      <c r="R230" s="190">
        <v>1</v>
      </c>
    </row>
    <row r="231" spans="1:18" x14ac:dyDescent="0.2">
      <c r="A231" s="190" t="s">
        <v>300</v>
      </c>
      <c r="B231" s="191" t="s">
        <v>248</v>
      </c>
      <c r="C231" s="191" t="s">
        <v>5</v>
      </c>
      <c r="D231" s="191" t="s">
        <v>249</v>
      </c>
      <c r="E231" s="191" t="s">
        <v>250</v>
      </c>
      <c r="F231" s="190" t="s">
        <v>250</v>
      </c>
      <c r="G231" s="190" t="s">
        <v>253</v>
      </c>
      <c r="H231" s="190" t="s">
        <v>21</v>
      </c>
      <c r="I231" s="191" t="s">
        <v>162</v>
      </c>
      <c r="J231" s="190" t="s">
        <v>255</v>
      </c>
      <c r="K231" s="191" t="s">
        <v>227</v>
      </c>
      <c r="L231" s="192" t="s">
        <v>205</v>
      </c>
      <c r="M231" s="190" t="s">
        <v>210</v>
      </c>
      <c r="N231" s="190">
        <v>6895</v>
      </c>
      <c r="O231" s="190">
        <v>3933</v>
      </c>
      <c r="P231" s="190">
        <v>32</v>
      </c>
      <c r="Q231" s="190">
        <v>2025</v>
      </c>
      <c r="R231" s="190">
        <v>1</v>
      </c>
    </row>
    <row r="232" spans="1:18" x14ac:dyDescent="0.2">
      <c r="A232" s="190" t="s">
        <v>299</v>
      </c>
      <c r="B232" s="191" t="s">
        <v>211</v>
      </c>
      <c r="C232" s="191" t="s">
        <v>187</v>
      </c>
      <c r="D232" s="191" t="s">
        <v>4</v>
      </c>
      <c r="E232" s="191" t="s">
        <v>202</v>
      </c>
      <c r="F232" s="190" t="s">
        <v>219</v>
      </c>
      <c r="G232" s="190" t="s">
        <v>208</v>
      </c>
      <c r="H232" s="190" t="s">
        <v>22</v>
      </c>
      <c r="I232" s="191" t="s">
        <v>484</v>
      </c>
      <c r="J232" s="190" t="s">
        <v>220</v>
      </c>
      <c r="K232" s="191" t="s">
        <v>221</v>
      </c>
      <c r="L232" s="192" t="s">
        <v>205</v>
      </c>
      <c r="M232" s="190" t="s">
        <v>210</v>
      </c>
      <c r="N232" s="190">
        <v>10500</v>
      </c>
      <c r="O232" s="190">
        <v>5123</v>
      </c>
      <c r="P232" s="190">
        <v>3</v>
      </c>
      <c r="Q232" s="190">
        <v>2025</v>
      </c>
      <c r="R232" s="190">
        <v>1</v>
      </c>
    </row>
    <row r="233" spans="1:18" x14ac:dyDescent="0.2">
      <c r="A233" s="190" t="s">
        <v>52</v>
      </c>
      <c r="B233" s="191" t="s">
        <v>207</v>
      </c>
      <c r="C233" s="191" t="s">
        <v>187</v>
      </c>
      <c r="D233" s="191" t="s">
        <v>4</v>
      </c>
      <c r="E233" s="191" t="s">
        <v>219</v>
      </c>
      <c r="F233" s="190" t="s">
        <v>219</v>
      </c>
      <c r="G233" s="190" t="s">
        <v>203</v>
      </c>
      <c r="H233" s="190" t="s">
        <v>23</v>
      </c>
      <c r="I233" s="191" t="s">
        <v>96</v>
      </c>
      <c r="J233" s="190" t="s">
        <v>96</v>
      </c>
      <c r="K233" s="191" t="s">
        <v>213</v>
      </c>
      <c r="L233" s="192" t="s">
        <v>205</v>
      </c>
      <c r="M233" s="190" t="s">
        <v>206</v>
      </c>
      <c r="N233" s="190">
        <v>41000</v>
      </c>
      <c r="O233" s="190">
        <v>11800</v>
      </c>
      <c r="P233" s="190">
        <v>2</v>
      </c>
      <c r="Q233" s="190">
        <v>2025</v>
      </c>
      <c r="R233" s="190">
        <v>1</v>
      </c>
    </row>
    <row r="234" spans="1:18" x14ac:dyDescent="0.2">
      <c r="A234" s="190" t="s">
        <v>52</v>
      </c>
      <c r="B234" s="191" t="s">
        <v>211</v>
      </c>
      <c r="C234" s="191" t="s">
        <v>187</v>
      </c>
      <c r="D234" s="191" t="s">
        <v>4</v>
      </c>
      <c r="E234" s="191" t="s">
        <v>212</v>
      </c>
      <c r="F234" s="190" t="s">
        <v>212</v>
      </c>
      <c r="G234" s="190" t="s">
        <v>208</v>
      </c>
      <c r="H234" s="190" t="s">
        <v>23</v>
      </c>
      <c r="I234" s="191" t="s">
        <v>100</v>
      </c>
      <c r="J234" s="190" t="s">
        <v>98</v>
      </c>
      <c r="K234" s="191" t="s">
        <v>213</v>
      </c>
      <c r="L234" s="192" t="s">
        <v>205</v>
      </c>
      <c r="M234" s="190" t="s">
        <v>210</v>
      </c>
      <c r="N234" s="190">
        <v>6900</v>
      </c>
      <c r="O234" s="190">
        <v>2771</v>
      </c>
      <c r="P234" s="190">
        <v>3</v>
      </c>
      <c r="Q234" s="190">
        <v>2025</v>
      </c>
      <c r="R234" s="190">
        <v>1</v>
      </c>
    </row>
    <row r="235" spans="1:18" x14ac:dyDescent="0.2">
      <c r="A235" s="190" t="s">
        <v>52</v>
      </c>
      <c r="B235" s="191" t="s">
        <v>211</v>
      </c>
      <c r="C235" s="191" t="s">
        <v>187</v>
      </c>
      <c r="D235" s="191" t="s">
        <v>4</v>
      </c>
      <c r="E235" s="191" t="s">
        <v>212</v>
      </c>
      <c r="F235" s="190" t="s">
        <v>212</v>
      </c>
      <c r="G235" s="190" t="s">
        <v>208</v>
      </c>
      <c r="H235" s="190" t="s">
        <v>39</v>
      </c>
      <c r="I235" s="191" t="s">
        <v>285</v>
      </c>
      <c r="J235" s="190" t="s">
        <v>286</v>
      </c>
      <c r="K235" s="191" t="s">
        <v>213</v>
      </c>
      <c r="L235" s="192" t="s">
        <v>205</v>
      </c>
      <c r="M235" s="190" t="s">
        <v>210</v>
      </c>
      <c r="N235" s="190">
        <v>6361</v>
      </c>
      <c r="O235" s="190">
        <v>2771</v>
      </c>
      <c r="P235" s="190">
        <v>3</v>
      </c>
      <c r="Q235" s="190">
        <v>2025</v>
      </c>
      <c r="R235" s="190">
        <v>1</v>
      </c>
    </row>
    <row r="236" spans="1:18" x14ac:dyDescent="0.2">
      <c r="A236" s="190" t="s">
        <v>52</v>
      </c>
      <c r="B236" s="191" t="s">
        <v>211</v>
      </c>
      <c r="C236" s="191" t="s">
        <v>187</v>
      </c>
      <c r="D236" s="191" t="s">
        <v>4</v>
      </c>
      <c r="E236" s="191" t="s">
        <v>219</v>
      </c>
      <c r="F236" s="190" t="s">
        <v>219</v>
      </c>
      <c r="G236" s="190" t="s">
        <v>203</v>
      </c>
      <c r="H236" s="190" t="s">
        <v>35</v>
      </c>
      <c r="I236" s="191" t="s">
        <v>92</v>
      </c>
      <c r="J236" s="190" t="s">
        <v>273</v>
      </c>
      <c r="K236" s="191" t="s">
        <v>213</v>
      </c>
      <c r="L236" s="192" t="s">
        <v>205</v>
      </c>
      <c r="M236" s="190" t="s">
        <v>210</v>
      </c>
      <c r="N236" s="190">
        <v>16000</v>
      </c>
      <c r="O236" s="190">
        <v>3760</v>
      </c>
      <c r="P236" s="190">
        <v>3</v>
      </c>
      <c r="Q236" s="190">
        <v>2025</v>
      </c>
      <c r="R236" s="190">
        <v>1</v>
      </c>
    </row>
    <row r="237" spans="1:18" x14ac:dyDescent="0.2">
      <c r="A237" s="190" t="s">
        <v>52</v>
      </c>
      <c r="B237" s="191" t="s">
        <v>211</v>
      </c>
      <c r="C237" s="191" t="s">
        <v>187</v>
      </c>
      <c r="D237" s="191" t="s">
        <v>4</v>
      </c>
      <c r="E237" s="191" t="s">
        <v>219</v>
      </c>
      <c r="F237" s="190" t="s">
        <v>219</v>
      </c>
      <c r="G237" s="190" t="s">
        <v>203</v>
      </c>
      <c r="H237" s="190" t="s">
        <v>35</v>
      </c>
      <c r="I237" s="191" t="s">
        <v>474</v>
      </c>
      <c r="J237" s="190" t="s">
        <v>730</v>
      </c>
      <c r="K237" s="191" t="s">
        <v>213</v>
      </c>
      <c r="L237" s="192" t="s">
        <v>205</v>
      </c>
      <c r="M237" s="190" t="s">
        <v>210</v>
      </c>
      <c r="N237" s="190">
        <v>17709</v>
      </c>
      <c r="O237" s="190">
        <v>4460</v>
      </c>
      <c r="P237" s="190">
        <v>3</v>
      </c>
      <c r="Q237" s="190">
        <v>2025</v>
      </c>
      <c r="R237" s="190">
        <v>2</v>
      </c>
    </row>
    <row r="238" spans="1:18" x14ac:dyDescent="0.2">
      <c r="A238" s="190" t="s">
        <v>52</v>
      </c>
      <c r="B238" s="191" t="s">
        <v>211</v>
      </c>
      <c r="C238" s="191" t="s">
        <v>187</v>
      </c>
      <c r="D238" s="191" t="s">
        <v>4</v>
      </c>
      <c r="E238" s="191" t="s">
        <v>202</v>
      </c>
      <c r="F238" s="190" t="s">
        <v>212</v>
      </c>
      <c r="G238" s="190" t="s">
        <v>208</v>
      </c>
      <c r="H238" s="190" t="s">
        <v>65</v>
      </c>
      <c r="I238" s="191" t="s">
        <v>101</v>
      </c>
      <c r="J238" s="190" t="s">
        <v>409</v>
      </c>
      <c r="K238" s="191" t="s">
        <v>221</v>
      </c>
      <c r="L238" s="192" t="s">
        <v>205</v>
      </c>
      <c r="M238" s="190" t="s">
        <v>210</v>
      </c>
      <c r="N238" s="190">
        <v>7500</v>
      </c>
      <c r="O238" s="190">
        <v>2998</v>
      </c>
      <c r="P238" s="190">
        <v>3</v>
      </c>
      <c r="Q238" s="190">
        <v>2024</v>
      </c>
      <c r="R238" s="190">
        <v>1</v>
      </c>
    </row>
    <row r="239" spans="1:18" x14ac:dyDescent="0.2">
      <c r="A239" s="190" t="s">
        <v>52</v>
      </c>
      <c r="B239" s="191" t="s">
        <v>211</v>
      </c>
      <c r="C239" s="191" t="s">
        <v>187</v>
      </c>
      <c r="D239" s="191" t="s">
        <v>4</v>
      </c>
      <c r="E239" s="191" t="s">
        <v>202</v>
      </c>
      <c r="F239" s="190" t="s">
        <v>212</v>
      </c>
      <c r="G239" s="190" t="s">
        <v>208</v>
      </c>
      <c r="H239" s="190" t="s">
        <v>65</v>
      </c>
      <c r="I239" s="191" t="s">
        <v>104</v>
      </c>
      <c r="J239" s="190" t="s">
        <v>418</v>
      </c>
      <c r="K239" s="191" t="s">
        <v>245</v>
      </c>
      <c r="L239" s="192" t="s">
        <v>205</v>
      </c>
      <c r="M239" s="190" t="s">
        <v>210</v>
      </c>
      <c r="N239" s="190">
        <v>9600</v>
      </c>
      <c r="O239" s="190">
        <v>3907</v>
      </c>
      <c r="P239" s="190">
        <v>3</v>
      </c>
      <c r="Q239" s="190">
        <v>2024</v>
      </c>
      <c r="R239" s="190">
        <v>1</v>
      </c>
    </row>
    <row r="240" spans="1:18" x14ac:dyDescent="0.2">
      <c r="A240" s="190" t="s">
        <v>52</v>
      </c>
      <c r="B240" s="191" t="s">
        <v>211</v>
      </c>
      <c r="C240" s="191" t="s">
        <v>187</v>
      </c>
      <c r="D240" s="191" t="s">
        <v>4</v>
      </c>
      <c r="E240" s="191" t="s">
        <v>202</v>
      </c>
      <c r="F240" s="190" t="s">
        <v>212</v>
      </c>
      <c r="G240" s="190" t="s">
        <v>208</v>
      </c>
      <c r="H240" s="190" t="s">
        <v>65</v>
      </c>
      <c r="I240" s="191" t="s">
        <v>104</v>
      </c>
      <c r="J240" s="190" t="s">
        <v>629</v>
      </c>
      <c r="K240" s="191" t="s">
        <v>245</v>
      </c>
      <c r="L240" s="192" t="s">
        <v>205</v>
      </c>
      <c r="M240" s="190" t="s">
        <v>210</v>
      </c>
      <c r="N240" s="190">
        <v>9600</v>
      </c>
      <c r="O240" s="190">
        <v>3907</v>
      </c>
      <c r="P240" s="190">
        <v>3</v>
      </c>
      <c r="Q240" s="190">
        <v>2024</v>
      </c>
      <c r="R240" s="190">
        <v>1</v>
      </c>
    </row>
    <row r="241" spans="1:18" x14ac:dyDescent="0.2">
      <c r="A241" s="190" t="s">
        <v>52</v>
      </c>
      <c r="B241" s="191" t="s">
        <v>211</v>
      </c>
      <c r="C241" s="191" t="s">
        <v>187</v>
      </c>
      <c r="D241" s="191" t="s">
        <v>4</v>
      </c>
      <c r="E241" s="191" t="s">
        <v>202</v>
      </c>
      <c r="F241" s="190" t="s">
        <v>212</v>
      </c>
      <c r="G241" s="190" t="s">
        <v>208</v>
      </c>
      <c r="H241" s="190" t="s">
        <v>65</v>
      </c>
      <c r="I241" s="191" t="s">
        <v>427</v>
      </c>
      <c r="J241" s="190" t="s">
        <v>383</v>
      </c>
      <c r="K241" s="191" t="s">
        <v>221</v>
      </c>
      <c r="L241" s="192" t="s">
        <v>205</v>
      </c>
      <c r="M241" s="190" t="s">
        <v>210</v>
      </c>
      <c r="N241" s="190">
        <v>10400</v>
      </c>
      <c r="O241" s="190">
        <v>7545</v>
      </c>
      <c r="P241" s="190">
        <v>3</v>
      </c>
      <c r="Q241" s="190">
        <v>2024</v>
      </c>
      <c r="R241" s="190">
        <v>1</v>
      </c>
    </row>
    <row r="242" spans="1:18" x14ac:dyDescent="0.2">
      <c r="A242" s="190" t="s">
        <v>52</v>
      </c>
      <c r="B242" s="191" t="s">
        <v>211</v>
      </c>
      <c r="C242" s="191" t="s">
        <v>187</v>
      </c>
      <c r="D242" s="191" t="s">
        <v>4</v>
      </c>
      <c r="E242" s="191" t="s">
        <v>202</v>
      </c>
      <c r="F242" s="190" t="s">
        <v>212</v>
      </c>
      <c r="G242" s="190" t="s">
        <v>208</v>
      </c>
      <c r="H242" s="190" t="s">
        <v>47</v>
      </c>
      <c r="I242" s="191" t="s">
        <v>501</v>
      </c>
      <c r="J242" s="190" t="s">
        <v>343</v>
      </c>
      <c r="K242" s="191" t="s">
        <v>213</v>
      </c>
      <c r="L242" s="192" t="s">
        <v>205</v>
      </c>
      <c r="M242" s="190" t="s">
        <v>210</v>
      </c>
      <c r="N242" s="190">
        <v>4040</v>
      </c>
      <c r="O242" s="190">
        <v>2771</v>
      </c>
      <c r="P242" s="190">
        <v>2</v>
      </c>
      <c r="Q242" s="190">
        <v>2024</v>
      </c>
      <c r="R242" s="190">
        <v>1</v>
      </c>
    </row>
    <row r="243" spans="1:18" x14ac:dyDescent="0.2">
      <c r="A243" s="190" t="s">
        <v>52</v>
      </c>
      <c r="B243" s="191" t="s">
        <v>211</v>
      </c>
      <c r="C243" s="191" t="s">
        <v>187</v>
      </c>
      <c r="D243" s="191" t="s">
        <v>4</v>
      </c>
      <c r="E243" s="191" t="s">
        <v>202</v>
      </c>
      <c r="F243" s="190" t="s">
        <v>622</v>
      </c>
      <c r="G243" s="190" t="s">
        <v>203</v>
      </c>
      <c r="H243" s="190" t="s">
        <v>29</v>
      </c>
      <c r="I243" s="191" t="s">
        <v>126</v>
      </c>
      <c r="J243" s="190" t="s">
        <v>376</v>
      </c>
      <c r="K243" s="191" t="s">
        <v>213</v>
      </c>
      <c r="L243" s="192" t="s">
        <v>205</v>
      </c>
      <c r="M243" s="190" t="s">
        <v>210</v>
      </c>
      <c r="N243" s="190">
        <v>12590</v>
      </c>
      <c r="O243" s="190">
        <v>3760</v>
      </c>
      <c r="P243" s="190">
        <v>3</v>
      </c>
      <c r="Q243" s="190">
        <v>2025</v>
      </c>
      <c r="R243" s="190">
        <v>1</v>
      </c>
    </row>
    <row r="244" spans="1:18" x14ac:dyDescent="0.2">
      <c r="A244" s="190" t="s">
        <v>52</v>
      </c>
      <c r="B244" s="191" t="s">
        <v>211</v>
      </c>
      <c r="C244" s="191" t="s">
        <v>187</v>
      </c>
      <c r="D244" s="191" t="s">
        <v>4</v>
      </c>
      <c r="E244" s="191" t="s">
        <v>202</v>
      </c>
      <c r="F244" s="190" t="s">
        <v>216</v>
      </c>
      <c r="G244" s="190" t="s">
        <v>208</v>
      </c>
      <c r="H244" s="190" t="s">
        <v>65</v>
      </c>
      <c r="I244" s="191" t="s">
        <v>101</v>
      </c>
      <c r="J244" s="190" t="s">
        <v>409</v>
      </c>
      <c r="K244" s="191" t="s">
        <v>221</v>
      </c>
      <c r="L244" s="192" t="s">
        <v>205</v>
      </c>
      <c r="M244" s="190" t="s">
        <v>210</v>
      </c>
      <c r="N244" s="190">
        <v>7500</v>
      </c>
      <c r="O244" s="190">
        <v>2998</v>
      </c>
      <c r="P244" s="190">
        <v>3</v>
      </c>
      <c r="Q244" s="190">
        <v>2025</v>
      </c>
      <c r="R244" s="190">
        <v>1</v>
      </c>
    </row>
    <row r="245" spans="1:18" x14ac:dyDescent="0.2">
      <c r="A245" s="190" t="s">
        <v>52</v>
      </c>
      <c r="B245" s="191" t="s">
        <v>211</v>
      </c>
      <c r="C245" s="191" t="s">
        <v>187</v>
      </c>
      <c r="D245" s="191" t="s">
        <v>4</v>
      </c>
      <c r="E245" s="191" t="s">
        <v>202</v>
      </c>
      <c r="F245" s="190" t="s">
        <v>216</v>
      </c>
      <c r="G245" s="190" t="s">
        <v>208</v>
      </c>
      <c r="H245" s="190" t="s">
        <v>22</v>
      </c>
      <c r="I245" s="191" t="s">
        <v>109</v>
      </c>
      <c r="J245" s="190" t="s">
        <v>220</v>
      </c>
      <c r="K245" s="191" t="s">
        <v>221</v>
      </c>
      <c r="L245" s="192" t="s">
        <v>205</v>
      </c>
      <c r="M245" s="190" t="s">
        <v>210</v>
      </c>
      <c r="N245" s="190">
        <v>10500</v>
      </c>
      <c r="O245" s="190">
        <v>5123</v>
      </c>
      <c r="P245" s="190">
        <v>3</v>
      </c>
      <c r="Q245" s="190">
        <v>2025</v>
      </c>
      <c r="R245" s="190">
        <v>1</v>
      </c>
    </row>
    <row r="246" spans="1:18" x14ac:dyDescent="0.2">
      <c r="A246" s="190" t="s">
        <v>52</v>
      </c>
      <c r="B246" s="191" t="s">
        <v>211</v>
      </c>
      <c r="C246" s="191" t="s">
        <v>187</v>
      </c>
      <c r="D246" s="191" t="s">
        <v>4</v>
      </c>
      <c r="E246" s="191" t="s">
        <v>202</v>
      </c>
      <c r="F246" s="190" t="s">
        <v>617</v>
      </c>
      <c r="G246" s="190" t="s">
        <v>208</v>
      </c>
      <c r="H246" s="190" t="s">
        <v>65</v>
      </c>
      <c r="I246" s="191" t="s">
        <v>101</v>
      </c>
      <c r="J246" s="190" t="s">
        <v>413</v>
      </c>
      <c r="K246" s="191" t="s">
        <v>221</v>
      </c>
      <c r="L246" s="192" t="s">
        <v>205</v>
      </c>
      <c r="M246" s="190" t="s">
        <v>210</v>
      </c>
      <c r="N246" s="190">
        <v>5700</v>
      </c>
      <c r="O246" s="190">
        <v>2998</v>
      </c>
      <c r="P246" s="190">
        <v>3</v>
      </c>
      <c r="Q246" s="190">
        <v>2025</v>
      </c>
      <c r="R246" s="190">
        <v>1</v>
      </c>
    </row>
    <row r="247" spans="1:18" x14ac:dyDescent="0.2">
      <c r="A247" s="190" t="s">
        <v>52</v>
      </c>
      <c r="B247" s="191" t="s">
        <v>211</v>
      </c>
      <c r="C247" s="191" t="s">
        <v>187</v>
      </c>
      <c r="D247" s="191" t="s">
        <v>4</v>
      </c>
      <c r="E247" s="191" t="s">
        <v>202</v>
      </c>
      <c r="F247" s="190" t="s">
        <v>617</v>
      </c>
      <c r="G247" s="190" t="s">
        <v>208</v>
      </c>
      <c r="H247" s="190" t="s">
        <v>24</v>
      </c>
      <c r="I247" s="191" t="s">
        <v>122</v>
      </c>
      <c r="J247" s="190" t="s">
        <v>336</v>
      </c>
      <c r="K247" s="191" t="s">
        <v>221</v>
      </c>
      <c r="L247" s="192" t="s">
        <v>205</v>
      </c>
      <c r="M247" s="190" t="s">
        <v>210</v>
      </c>
      <c r="N247" s="190">
        <v>9500</v>
      </c>
      <c r="O247" s="190">
        <v>5193</v>
      </c>
      <c r="P247" s="190">
        <v>3</v>
      </c>
      <c r="Q247" s="190">
        <v>2025</v>
      </c>
      <c r="R247" s="190">
        <v>1</v>
      </c>
    </row>
    <row r="248" spans="1:18" x14ac:dyDescent="0.2">
      <c r="A248" s="190" t="s">
        <v>52</v>
      </c>
      <c r="B248" s="191" t="s">
        <v>248</v>
      </c>
      <c r="C248" s="191" t="s">
        <v>5</v>
      </c>
      <c r="D248" s="191" t="s">
        <v>249</v>
      </c>
      <c r="E248" s="191" t="s">
        <v>250</v>
      </c>
      <c r="F248" s="190" t="s">
        <v>250</v>
      </c>
      <c r="G248" s="190" t="s">
        <v>251</v>
      </c>
      <c r="H248" s="190" t="s">
        <v>426</v>
      </c>
      <c r="I248" s="191" t="s">
        <v>610</v>
      </c>
      <c r="J248" s="190" t="s">
        <v>663</v>
      </c>
      <c r="K248" s="191" t="s">
        <v>213</v>
      </c>
      <c r="L248" s="192" t="s">
        <v>205</v>
      </c>
      <c r="M248" s="190" t="s">
        <v>210</v>
      </c>
      <c r="N248" s="190">
        <v>4480</v>
      </c>
      <c r="O248" s="190">
        <v>2982</v>
      </c>
      <c r="P248" s="190">
        <v>17</v>
      </c>
      <c r="Q248" s="190">
        <v>2024</v>
      </c>
      <c r="R248" s="190">
        <v>1</v>
      </c>
    </row>
    <row r="249" spans="1:18" x14ac:dyDescent="0.2">
      <c r="A249" s="190" t="s">
        <v>48</v>
      </c>
      <c r="B249" s="191" t="s">
        <v>672</v>
      </c>
      <c r="C249" s="191" t="s">
        <v>187</v>
      </c>
      <c r="D249" s="191" t="s">
        <v>4</v>
      </c>
      <c r="E249" s="191" t="s">
        <v>202</v>
      </c>
      <c r="F249" s="190" t="s">
        <v>219</v>
      </c>
      <c r="G249" s="190" t="s">
        <v>203</v>
      </c>
      <c r="H249" s="190" t="s">
        <v>20</v>
      </c>
      <c r="I249" s="191" t="s">
        <v>142</v>
      </c>
      <c r="J249" s="190" t="s">
        <v>142</v>
      </c>
      <c r="K249" s="191" t="s">
        <v>204</v>
      </c>
      <c r="L249" s="192" t="s">
        <v>205</v>
      </c>
      <c r="M249" s="190" t="s">
        <v>218</v>
      </c>
      <c r="N249" s="190">
        <v>58000</v>
      </c>
      <c r="O249" s="190">
        <v>12800</v>
      </c>
      <c r="P249" s="190">
        <v>2</v>
      </c>
      <c r="Q249" s="190">
        <v>2025</v>
      </c>
      <c r="R249" s="190">
        <v>1</v>
      </c>
    </row>
    <row r="250" spans="1:18" x14ac:dyDescent="0.2">
      <c r="A250" s="190" t="s">
        <v>48</v>
      </c>
      <c r="B250" s="191" t="s">
        <v>672</v>
      </c>
      <c r="C250" s="191" t="s">
        <v>187</v>
      </c>
      <c r="D250" s="191" t="s">
        <v>6</v>
      </c>
      <c r="E250" s="191" t="s">
        <v>243</v>
      </c>
      <c r="F250" s="190" t="s">
        <v>243</v>
      </c>
      <c r="G250" s="190" t="s">
        <v>203</v>
      </c>
      <c r="H250" s="190" t="s">
        <v>25</v>
      </c>
      <c r="I250" s="191" t="s">
        <v>555</v>
      </c>
      <c r="J250" s="190" t="s">
        <v>709</v>
      </c>
      <c r="K250" s="191" t="s">
        <v>204</v>
      </c>
      <c r="L250" s="192" t="s">
        <v>205</v>
      </c>
      <c r="M250" s="190" t="s">
        <v>206</v>
      </c>
      <c r="N250" s="190">
        <v>28500</v>
      </c>
      <c r="O250" s="190">
        <v>12700</v>
      </c>
      <c r="P250" s="190">
        <v>2</v>
      </c>
      <c r="Q250" s="190">
        <v>2025</v>
      </c>
      <c r="R250" s="190">
        <v>1</v>
      </c>
    </row>
    <row r="251" spans="1:18" x14ac:dyDescent="0.2">
      <c r="A251" s="190" t="s">
        <v>48</v>
      </c>
      <c r="B251" s="191" t="s">
        <v>207</v>
      </c>
      <c r="C251" s="191" t="s">
        <v>187</v>
      </c>
      <c r="D251" s="191" t="s">
        <v>4</v>
      </c>
      <c r="E251" s="191" t="s">
        <v>613</v>
      </c>
      <c r="F251" s="190" t="s">
        <v>613</v>
      </c>
      <c r="G251" s="190" t="s">
        <v>203</v>
      </c>
      <c r="H251" s="190" t="s">
        <v>31</v>
      </c>
      <c r="I251" s="191" t="s">
        <v>514</v>
      </c>
      <c r="J251" s="190" t="s">
        <v>514</v>
      </c>
      <c r="K251" s="191" t="s">
        <v>213</v>
      </c>
      <c r="L251" s="192" t="s">
        <v>205</v>
      </c>
      <c r="M251" s="190" t="s">
        <v>210</v>
      </c>
      <c r="N251" s="190">
        <v>20500</v>
      </c>
      <c r="O251" s="190">
        <v>8900</v>
      </c>
      <c r="P251" s="190">
        <v>2</v>
      </c>
      <c r="Q251" s="190">
        <v>2024</v>
      </c>
      <c r="R251" s="190">
        <v>1</v>
      </c>
    </row>
    <row r="252" spans="1:18" x14ac:dyDescent="0.2">
      <c r="A252" s="190" t="s">
        <v>48</v>
      </c>
      <c r="B252" s="191" t="s">
        <v>207</v>
      </c>
      <c r="C252" s="191" t="s">
        <v>187</v>
      </c>
      <c r="D252" s="191" t="s">
        <v>4</v>
      </c>
      <c r="E252" s="191" t="s">
        <v>219</v>
      </c>
      <c r="F252" s="190" t="s">
        <v>219</v>
      </c>
      <c r="G252" s="190" t="s">
        <v>203</v>
      </c>
      <c r="H252" s="190" t="s">
        <v>34</v>
      </c>
      <c r="I252" s="191" t="s">
        <v>428</v>
      </c>
      <c r="J252" s="190" t="s">
        <v>437</v>
      </c>
      <c r="K252" s="191" t="s">
        <v>213</v>
      </c>
      <c r="L252" s="192" t="s">
        <v>205</v>
      </c>
      <c r="M252" s="190" t="s">
        <v>206</v>
      </c>
      <c r="N252" s="190">
        <v>41500</v>
      </c>
      <c r="O252" s="190">
        <v>10518</v>
      </c>
      <c r="P252" s="190">
        <v>2</v>
      </c>
      <c r="Q252" s="190">
        <v>2024</v>
      </c>
      <c r="R252" s="190">
        <v>1</v>
      </c>
    </row>
    <row r="253" spans="1:18" x14ac:dyDescent="0.2">
      <c r="A253" s="190" t="s">
        <v>48</v>
      </c>
      <c r="B253" s="191" t="s">
        <v>207</v>
      </c>
      <c r="C253" s="191" t="s">
        <v>187</v>
      </c>
      <c r="D253" s="191" t="s">
        <v>4</v>
      </c>
      <c r="E253" s="191" t="s">
        <v>219</v>
      </c>
      <c r="F253" s="190" t="s">
        <v>219</v>
      </c>
      <c r="G253" s="190" t="s">
        <v>203</v>
      </c>
      <c r="H253" s="190" t="s">
        <v>34</v>
      </c>
      <c r="I253" s="191" t="s">
        <v>319</v>
      </c>
      <c r="J253" s="190" t="s">
        <v>692</v>
      </c>
      <c r="K253" s="191" t="s">
        <v>213</v>
      </c>
      <c r="L253" s="192" t="s">
        <v>205</v>
      </c>
      <c r="M253" s="190" t="s">
        <v>210</v>
      </c>
      <c r="N253" s="190">
        <v>16000</v>
      </c>
      <c r="O253" s="190">
        <v>4460</v>
      </c>
      <c r="P253" s="190">
        <v>3</v>
      </c>
      <c r="Q253" s="190">
        <v>2025</v>
      </c>
      <c r="R253" s="190">
        <v>1</v>
      </c>
    </row>
    <row r="254" spans="1:18" x14ac:dyDescent="0.2">
      <c r="A254" s="190" t="s">
        <v>48</v>
      </c>
      <c r="B254" s="191" t="s">
        <v>207</v>
      </c>
      <c r="C254" s="191" t="s">
        <v>187</v>
      </c>
      <c r="D254" s="191" t="s">
        <v>4</v>
      </c>
      <c r="E254" s="191" t="s">
        <v>219</v>
      </c>
      <c r="F254" s="190" t="s">
        <v>219</v>
      </c>
      <c r="G254" s="190" t="s">
        <v>203</v>
      </c>
      <c r="H254" s="190" t="s">
        <v>34</v>
      </c>
      <c r="I254" s="191" t="s">
        <v>416</v>
      </c>
      <c r="J254" s="190" t="s">
        <v>693</v>
      </c>
      <c r="K254" s="191" t="s">
        <v>213</v>
      </c>
      <c r="L254" s="192" t="s">
        <v>205</v>
      </c>
      <c r="M254" s="190" t="s">
        <v>206</v>
      </c>
      <c r="N254" s="190">
        <v>41500</v>
      </c>
      <c r="O254" s="190">
        <v>10518</v>
      </c>
      <c r="P254" s="190">
        <v>2</v>
      </c>
      <c r="Q254" s="190">
        <v>2024</v>
      </c>
      <c r="R254" s="190">
        <v>1</v>
      </c>
    </row>
    <row r="255" spans="1:18" x14ac:dyDescent="0.2">
      <c r="A255" s="190" t="s">
        <v>48</v>
      </c>
      <c r="B255" s="191" t="s">
        <v>207</v>
      </c>
      <c r="C255" s="191" t="s">
        <v>187</v>
      </c>
      <c r="D255" s="191" t="s">
        <v>4</v>
      </c>
      <c r="E255" s="191" t="s">
        <v>219</v>
      </c>
      <c r="F255" s="190" t="s">
        <v>219</v>
      </c>
      <c r="G255" s="190" t="s">
        <v>203</v>
      </c>
      <c r="H255" s="190" t="s">
        <v>34</v>
      </c>
      <c r="I255" s="191" t="s">
        <v>416</v>
      </c>
      <c r="J255" s="190" t="s">
        <v>734</v>
      </c>
      <c r="K255" s="191" t="s">
        <v>213</v>
      </c>
      <c r="L255" s="192" t="s">
        <v>205</v>
      </c>
      <c r="M255" s="190" t="s">
        <v>206</v>
      </c>
      <c r="N255" s="190">
        <v>41500</v>
      </c>
      <c r="O255" s="190">
        <v>10518</v>
      </c>
      <c r="P255" s="190">
        <v>2</v>
      </c>
      <c r="Q255" s="190">
        <v>2024</v>
      </c>
      <c r="R255" s="190">
        <v>1</v>
      </c>
    </row>
    <row r="256" spans="1:18" x14ac:dyDescent="0.2">
      <c r="A256" s="190" t="s">
        <v>48</v>
      </c>
      <c r="B256" s="191" t="s">
        <v>207</v>
      </c>
      <c r="C256" s="191" t="s">
        <v>187</v>
      </c>
      <c r="D256" s="191" t="s">
        <v>4</v>
      </c>
      <c r="E256" s="191" t="s">
        <v>202</v>
      </c>
      <c r="F256" s="190" t="s">
        <v>212</v>
      </c>
      <c r="G256" s="190" t="s">
        <v>208</v>
      </c>
      <c r="H256" s="190" t="s">
        <v>65</v>
      </c>
      <c r="I256" s="191" t="s">
        <v>101</v>
      </c>
      <c r="J256" s="190" t="s">
        <v>415</v>
      </c>
      <c r="K256" s="191" t="s">
        <v>221</v>
      </c>
      <c r="L256" s="192" t="s">
        <v>205</v>
      </c>
      <c r="M256" s="190" t="s">
        <v>210</v>
      </c>
      <c r="N256" s="190">
        <v>8550</v>
      </c>
      <c r="O256" s="190">
        <v>2998</v>
      </c>
      <c r="P256" s="190">
        <v>3</v>
      </c>
      <c r="Q256" s="190">
        <v>2025</v>
      </c>
      <c r="R256" s="190">
        <v>1</v>
      </c>
    </row>
    <row r="257" spans="1:18" x14ac:dyDescent="0.2">
      <c r="A257" s="190" t="s">
        <v>48</v>
      </c>
      <c r="B257" s="191" t="s">
        <v>207</v>
      </c>
      <c r="C257" s="191" t="s">
        <v>187</v>
      </c>
      <c r="D257" s="191" t="s">
        <v>4</v>
      </c>
      <c r="E257" s="191" t="s">
        <v>202</v>
      </c>
      <c r="F257" s="190" t="s">
        <v>212</v>
      </c>
      <c r="G257" s="190" t="s">
        <v>208</v>
      </c>
      <c r="H257" s="190" t="s">
        <v>27</v>
      </c>
      <c r="I257" s="191" t="s">
        <v>140</v>
      </c>
      <c r="J257" s="190" t="s">
        <v>202</v>
      </c>
      <c r="K257" s="191" t="s">
        <v>204</v>
      </c>
      <c r="L257" s="192" t="s">
        <v>205</v>
      </c>
      <c r="M257" s="190" t="s">
        <v>210</v>
      </c>
      <c r="N257" s="190">
        <v>8800</v>
      </c>
      <c r="O257" s="190">
        <v>3800</v>
      </c>
      <c r="P257" s="190">
        <v>3</v>
      </c>
      <c r="Q257" s="190">
        <v>2025</v>
      </c>
      <c r="R257" s="190">
        <v>1</v>
      </c>
    </row>
    <row r="258" spans="1:18" x14ac:dyDescent="0.2">
      <c r="A258" s="190" t="s">
        <v>48</v>
      </c>
      <c r="B258" s="191" t="s">
        <v>207</v>
      </c>
      <c r="C258" s="191" t="s">
        <v>187</v>
      </c>
      <c r="D258" s="191" t="s">
        <v>4</v>
      </c>
      <c r="E258" s="191" t="s">
        <v>202</v>
      </c>
      <c r="F258" s="190" t="s">
        <v>212</v>
      </c>
      <c r="G258" s="190" t="s">
        <v>203</v>
      </c>
      <c r="H258" s="190" t="s">
        <v>24</v>
      </c>
      <c r="I258" s="191" t="s">
        <v>115</v>
      </c>
      <c r="J258" s="190" t="s">
        <v>238</v>
      </c>
      <c r="K258" s="191" t="s">
        <v>221</v>
      </c>
      <c r="L258" s="192" t="s">
        <v>205</v>
      </c>
      <c r="M258" s="190" t="s">
        <v>210</v>
      </c>
      <c r="N258" s="190">
        <v>15295</v>
      </c>
      <c r="O258" s="190">
        <v>7790</v>
      </c>
      <c r="P258" s="190">
        <v>3</v>
      </c>
      <c r="Q258" s="190">
        <v>2025</v>
      </c>
      <c r="R258" s="190">
        <v>1</v>
      </c>
    </row>
    <row r="259" spans="1:18" x14ac:dyDescent="0.2">
      <c r="A259" s="190" t="s">
        <v>48</v>
      </c>
      <c r="B259" s="191" t="s">
        <v>207</v>
      </c>
      <c r="C259" s="191" t="s">
        <v>187</v>
      </c>
      <c r="D259" s="191" t="s">
        <v>4</v>
      </c>
      <c r="E259" s="191" t="s">
        <v>202</v>
      </c>
      <c r="F259" s="190" t="s">
        <v>269</v>
      </c>
      <c r="G259" s="190" t="s">
        <v>208</v>
      </c>
      <c r="H259" s="190" t="s">
        <v>65</v>
      </c>
      <c r="I259" s="191" t="s">
        <v>102</v>
      </c>
      <c r="J259" s="190" t="s">
        <v>421</v>
      </c>
      <c r="K259" s="191" t="s">
        <v>245</v>
      </c>
      <c r="L259" s="192" t="s">
        <v>205</v>
      </c>
      <c r="M259" s="190" t="s">
        <v>210</v>
      </c>
      <c r="N259" s="190">
        <v>11990</v>
      </c>
      <c r="O259" s="190">
        <v>3907</v>
      </c>
      <c r="P259" s="190">
        <v>3</v>
      </c>
      <c r="Q259" s="190">
        <v>2024</v>
      </c>
      <c r="R259" s="190">
        <v>1</v>
      </c>
    </row>
    <row r="260" spans="1:18" x14ac:dyDescent="0.2">
      <c r="A260" s="190" t="s">
        <v>48</v>
      </c>
      <c r="B260" s="191" t="s">
        <v>207</v>
      </c>
      <c r="C260" s="191" t="s">
        <v>187</v>
      </c>
      <c r="D260" s="191" t="s">
        <v>4</v>
      </c>
      <c r="E260" s="191" t="s">
        <v>202</v>
      </c>
      <c r="F260" s="190" t="s">
        <v>269</v>
      </c>
      <c r="G260" s="190" t="s">
        <v>203</v>
      </c>
      <c r="H260" s="190" t="s">
        <v>23</v>
      </c>
      <c r="I260" s="191" t="s">
        <v>476</v>
      </c>
      <c r="J260" s="190" t="s">
        <v>476</v>
      </c>
      <c r="K260" s="191" t="s">
        <v>213</v>
      </c>
      <c r="L260" s="192" t="s">
        <v>205</v>
      </c>
      <c r="M260" s="190" t="s">
        <v>206</v>
      </c>
      <c r="N260" s="190">
        <v>41000</v>
      </c>
      <c r="O260" s="190">
        <v>11800</v>
      </c>
      <c r="P260" s="190">
        <v>2</v>
      </c>
      <c r="Q260" s="190">
        <v>2025</v>
      </c>
      <c r="R260" s="190">
        <v>1</v>
      </c>
    </row>
    <row r="261" spans="1:18" x14ac:dyDescent="0.2">
      <c r="A261" s="190" t="s">
        <v>48</v>
      </c>
      <c r="B261" s="191" t="s">
        <v>207</v>
      </c>
      <c r="C261" s="191" t="s">
        <v>187</v>
      </c>
      <c r="D261" s="191" t="s">
        <v>4</v>
      </c>
      <c r="E261" s="191" t="s">
        <v>202</v>
      </c>
      <c r="F261" s="190" t="s">
        <v>269</v>
      </c>
      <c r="G261" s="190" t="s">
        <v>203</v>
      </c>
      <c r="H261" s="190" t="s">
        <v>19</v>
      </c>
      <c r="I261" s="191" t="s">
        <v>129</v>
      </c>
      <c r="J261" s="190" t="s">
        <v>265</v>
      </c>
      <c r="K261" s="191" t="s">
        <v>204</v>
      </c>
      <c r="L261" s="192" t="s">
        <v>205</v>
      </c>
      <c r="M261" s="190" t="s">
        <v>206</v>
      </c>
      <c r="N261" s="190">
        <v>33500</v>
      </c>
      <c r="O261" s="190">
        <v>7201</v>
      </c>
      <c r="P261" s="190">
        <v>2</v>
      </c>
      <c r="Q261" s="190">
        <v>2025</v>
      </c>
      <c r="R261" s="190">
        <v>1</v>
      </c>
    </row>
    <row r="262" spans="1:18" x14ac:dyDescent="0.2">
      <c r="A262" s="190" t="s">
        <v>48</v>
      </c>
      <c r="B262" s="191" t="s">
        <v>207</v>
      </c>
      <c r="C262" s="191" t="s">
        <v>187</v>
      </c>
      <c r="D262" s="191" t="s">
        <v>4</v>
      </c>
      <c r="E262" s="191" t="s">
        <v>202</v>
      </c>
      <c r="F262" s="190" t="s">
        <v>269</v>
      </c>
      <c r="G262" s="190" t="s">
        <v>203</v>
      </c>
      <c r="H262" s="190" t="s">
        <v>20</v>
      </c>
      <c r="I262" s="191" t="s">
        <v>145</v>
      </c>
      <c r="J262" s="190" t="s">
        <v>145</v>
      </c>
      <c r="K262" s="191" t="s">
        <v>204</v>
      </c>
      <c r="L262" s="192" t="s">
        <v>205</v>
      </c>
      <c r="M262" s="190" t="s">
        <v>206</v>
      </c>
      <c r="N262" s="190">
        <v>34000</v>
      </c>
      <c r="O262" s="190">
        <v>7700</v>
      </c>
      <c r="P262" s="190">
        <v>2</v>
      </c>
      <c r="Q262" s="190">
        <v>2025</v>
      </c>
      <c r="R262" s="190">
        <v>1</v>
      </c>
    </row>
    <row r="263" spans="1:18" x14ac:dyDescent="0.2">
      <c r="A263" s="190" t="s">
        <v>48</v>
      </c>
      <c r="B263" s="191" t="s">
        <v>207</v>
      </c>
      <c r="C263" s="191" t="s">
        <v>187</v>
      </c>
      <c r="D263" s="191" t="s">
        <v>4</v>
      </c>
      <c r="E263" s="191" t="s">
        <v>202</v>
      </c>
      <c r="F263" s="190" t="s">
        <v>613</v>
      </c>
      <c r="G263" s="190" t="s">
        <v>208</v>
      </c>
      <c r="H263" s="190" t="s">
        <v>22</v>
      </c>
      <c r="I263" s="191" t="s">
        <v>484</v>
      </c>
      <c r="J263" s="190" t="s">
        <v>220</v>
      </c>
      <c r="K263" s="191" t="s">
        <v>221</v>
      </c>
      <c r="L263" s="192" t="s">
        <v>205</v>
      </c>
      <c r="M263" s="190" t="s">
        <v>210</v>
      </c>
      <c r="N263" s="190">
        <v>10400</v>
      </c>
      <c r="O263" s="190">
        <v>5123</v>
      </c>
      <c r="P263" s="190">
        <v>3</v>
      </c>
      <c r="Q263" s="190">
        <v>2025</v>
      </c>
      <c r="R263" s="190">
        <v>1</v>
      </c>
    </row>
    <row r="264" spans="1:18" x14ac:dyDescent="0.2">
      <c r="A264" s="190" t="s">
        <v>48</v>
      </c>
      <c r="B264" s="191" t="s">
        <v>207</v>
      </c>
      <c r="C264" s="191" t="s">
        <v>187</v>
      </c>
      <c r="D264" s="191" t="s">
        <v>4</v>
      </c>
      <c r="E264" s="191" t="s">
        <v>202</v>
      </c>
      <c r="F264" s="190" t="s">
        <v>613</v>
      </c>
      <c r="G264" s="190" t="s">
        <v>208</v>
      </c>
      <c r="H264" s="190" t="s">
        <v>22</v>
      </c>
      <c r="I264" s="191" t="s">
        <v>484</v>
      </c>
      <c r="J264" s="190" t="s">
        <v>220</v>
      </c>
      <c r="K264" s="191" t="s">
        <v>221</v>
      </c>
      <c r="L264" s="192" t="s">
        <v>205</v>
      </c>
      <c r="M264" s="190" t="s">
        <v>210</v>
      </c>
      <c r="N264" s="190">
        <v>10500</v>
      </c>
      <c r="O264" s="190">
        <v>5123</v>
      </c>
      <c r="P264" s="190">
        <v>3</v>
      </c>
      <c r="Q264" s="190">
        <v>2025</v>
      </c>
      <c r="R264" s="190">
        <v>2</v>
      </c>
    </row>
    <row r="265" spans="1:18" x14ac:dyDescent="0.2">
      <c r="A265" s="190" t="s">
        <v>48</v>
      </c>
      <c r="B265" s="191" t="s">
        <v>207</v>
      </c>
      <c r="C265" s="191" t="s">
        <v>187</v>
      </c>
      <c r="D265" s="191" t="s">
        <v>4</v>
      </c>
      <c r="E265" s="191" t="s">
        <v>202</v>
      </c>
      <c r="F265" s="190" t="s">
        <v>613</v>
      </c>
      <c r="G265" s="190" t="s">
        <v>208</v>
      </c>
      <c r="H265" s="190" t="s">
        <v>27</v>
      </c>
      <c r="I265" s="191" t="s">
        <v>140</v>
      </c>
      <c r="J265" s="190" t="s">
        <v>202</v>
      </c>
      <c r="K265" s="191" t="s">
        <v>204</v>
      </c>
      <c r="L265" s="192" t="s">
        <v>205</v>
      </c>
      <c r="M265" s="190" t="s">
        <v>210</v>
      </c>
      <c r="N265" s="190">
        <v>8800</v>
      </c>
      <c r="O265" s="190">
        <v>3800</v>
      </c>
      <c r="P265" s="190">
        <v>3</v>
      </c>
      <c r="Q265" s="190">
        <v>2025</v>
      </c>
      <c r="R265" s="190">
        <v>1</v>
      </c>
    </row>
    <row r="266" spans="1:18" x14ac:dyDescent="0.2">
      <c r="A266" s="190" t="s">
        <v>48</v>
      </c>
      <c r="B266" s="191" t="s">
        <v>207</v>
      </c>
      <c r="C266" s="191" t="s">
        <v>187</v>
      </c>
      <c r="D266" s="191" t="s">
        <v>4</v>
      </c>
      <c r="E266" s="191" t="s">
        <v>202</v>
      </c>
      <c r="F266" s="190" t="s">
        <v>613</v>
      </c>
      <c r="G266" s="190" t="s">
        <v>203</v>
      </c>
      <c r="H266" s="190" t="s">
        <v>30</v>
      </c>
      <c r="I266" s="191" t="s">
        <v>439</v>
      </c>
      <c r="J266" s="190" t="s">
        <v>442</v>
      </c>
      <c r="K266" s="191" t="s">
        <v>213</v>
      </c>
      <c r="L266" s="192" t="s">
        <v>247</v>
      </c>
      <c r="M266" s="190" t="s">
        <v>210</v>
      </c>
      <c r="N266" s="190">
        <v>22000</v>
      </c>
      <c r="O266" s="190">
        <v>7800</v>
      </c>
      <c r="P266" s="190">
        <v>3</v>
      </c>
      <c r="Q266" s="190">
        <v>2025</v>
      </c>
      <c r="R266" s="190">
        <v>20</v>
      </c>
    </row>
    <row r="267" spans="1:18" x14ac:dyDescent="0.2">
      <c r="A267" s="190" t="s">
        <v>48</v>
      </c>
      <c r="B267" s="191" t="s">
        <v>207</v>
      </c>
      <c r="C267" s="191" t="s">
        <v>187</v>
      </c>
      <c r="D267" s="191" t="s">
        <v>4</v>
      </c>
      <c r="E267" s="191" t="s">
        <v>202</v>
      </c>
      <c r="F267" s="190" t="s">
        <v>613</v>
      </c>
      <c r="G267" s="190" t="s">
        <v>203</v>
      </c>
      <c r="H267" s="190" t="s">
        <v>19</v>
      </c>
      <c r="I267" s="191" t="s">
        <v>133</v>
      </c>
      <c r="J267" s="190" t="s">
        <v>339</v>
      </c>
      <c r="K267" s="191" t="s">
        <v>204</v>
      </c>
      <c r="L267" s="192" t="s">
        <v>205</v>
      </c>
      <c r="M267" s="190" t="s">
        <v>210</v>
      </c>
      <c r="N267" s="190">
        <v>17500</v>
      </c>
      <c r="O267" s="190">
        <v>7201</v>
      </c>
      <c r="P267" s="190">
        <v>3</v>
      </c>
      <c r="Q267" s="190">
        <v>2025</v>
      </c>
      <c r="R267" s="190">
        <v>3</v>
      </c>
    </row>
    <row r="268" spans="1:18" x14ac:dyDescent="0.2">
      <c r="A268" s="190" t="s">
        <v>48</v>
      </c>
      <c r="B268" s="191" t="s">
        <v>207</v>
      </c>
      <c r="C268" s="191" t="s">
        <v>187</v>
      </c>
      <c r="D268" s="191" t="s">
        <v>4</v>
      </c>
      <c r="E268" s="191" t="s">
        <v>202</v>
      </c>
      <c r="F268" s="190" t="s">
        <v>613</v>
      </c>
      <c r="G268" s="190" t="s">
        <v>203</v>
      </c>
      <c r="H268" s="190" t="s">
        <v>27</v>
      </c>
      <c r="I268" s="191" t="s">
        <v>136</v>
      </c>
      <c r="J268" s="190" t="s">
        <v>202</v>
      </c>
      <c r="K268" s="191" t="s">
        <v>204</v>
      </c>
      <c r="L268" s="192" t="s">
        <v>205</v>
      </c>
      <c r="M268" s="190" t="s">
        <v>210</v>
      </c>
      <c r="N268" s="190">
        <v>17100</v>
      </c>
      <c r="O268" s="190">
        <v>6871</v>
      </c>
      <c r="P268" s="190">
        <v>2</v>
      </c>
      <c r="Q268" s="190">
        <v>2024</v>
      </c>
      <c r="R268" s="190">
        <v>1</v>
      </c>
    </row>
    <row r="269" spans="1:18" x14ac:dyDescent="0.2">
      <c r="A269" s="190" t="s">
        <v>48</v>
      </c>
      <c r="B269" s="191" t="s">
        <v>207</v>
      </c>
      <c r="C269" s="191" t="s">
        <v>187</v>
      </c>
      <c r="D269" s="191" t="s">
        <v>4</v>
      </c>
      <c r="E269" s="191" t="s">
        <v>202</v>
      </c>
      <c r="F269" s="190" t="s">
        <v>613</v>
      </c>
      <c r="G269" s="190" t="s">
        <v>203</v>
      </c>
      <c r="H269" s="190" t="s">
        <v>27</v>
      </c>
      <c r="I269" s="191" t="s">
        <v>136</v>
      </c>
      <c r="J269" s="190" t="s">
        <v>202</v>
      </c>
      <c r="K269" s="191" t="s">
        <v>204</v>
      </c>
      <c r="L269" s="192" t="s">
        <v>205</v>
      </c>
      <c r="M269" s="190" t="s">
        <v>210</v>
      </c>
      <c r="N269" s="190">
        <v>17100</v>
      </c>
      <c r="O269" s="190">
        <v>6871</v>
      </c>
      <c r="P269" s="190">
        <v>2</v>
      </c>
      <c r="Q269" s="190">
        <v>2025</v>
      </c>
      <c r="R269" s="190">
        <v>1</v>
      </c>
    </row>
    <row r="270" spans="1:18" x14ac:dyDescent="0.2">
      <c r="A270" s="190" t="s">
        <v>48</v>
      </c>
      <c r="B270" s="191" t="s">
        <v>207</v>
      </c>
      <c r="C270" s="191" t="s">
        <v>187</v>
      </c>
      <c r="D270" s="191" t="s">
        <v>4</v>
      </c>
      <c r="E270" s="191" t="s">
        <v>202</v>
      </c>
      <c r="F270" s="190" t="s">
        <v>613</v>
      </c>
      <c r="G270" s="190" t="s">
        <v>203</v>
      </c>
      <c r="H270" s="190" t="s">
        <v>27</v>
      </c>
      <c r="I270" s="191" t="s">
        <v>365</v>
      </c>
      <c r="J270" s="190" t="s">
        <v>202</v>
      </c>
      <c r="K270" s="191" t="s">
        <v>204</v>
      </c>
      <c r="L270" s="192" t="s">
        <v>205</v>
      </c>
      <c r="M270" s="190" t="s">
        <v>206</v>
      </c>
      <c r="N270" s="190">
        <v>26300</v>
      </c>
      <c r="O270" s="190">
        <v>6871</v>
      </c>
      <c r="P270" s="190">
        <v>2</v>
      </c>
      <c r="Q270" s="190">
        <v>2025</v>
      </c>
      <c r="R270" s="190">
        <v>1</v>
      </c>
    </row>
    <row r="271" spans="1:18" x14ac:dyDescent="0.2">
      <c r="A271" s="190" t="s">
        <v>48</v>
      </c>
      <c r="B271" s="191" t="s">
        <v>207</v>
      </c>
      <c r="C271" s="191" t="s">
        <v>187</v>
      </c>
      <c r="D271" s="191" t="s">
        <v>4</v>
      </c>
      <c r="E271" s="191" t="s">
        <v>202</v>
      </c>
      <c r="F271" s="190" t="s">
        <v>613</v>
      </c>
      <c r="G271" s="190" t="s">
        <v>203</v>
      </c>
      <c r="H271" s="190" t="s">
        <v>27</v>
      </c>
      <c r="I271" s="191" t="s">
        <v>138</v>
      </c>
      <c r="J271" s="190" t="s">
        <v>202</v>
      </c>
      <c r="K271" s="191" t="s">
        <v>204</v>
      </c>
      <c r="L271" s="192" t="s">
        <v>205</v>
      </c>
      <c r="M271" s="190" t="s">
        <v>206</v>
      </c>
      <c r="N271" s="190">
        <v>30500</v>
      </c>
      <c r="O271" s="190">
        <v>6871</v>
      </c>
      <c r="P271" s="190">
        <v>2</v>
      </c>
      <c r="Q271" s="190">
        <v>2024</v>
      </c>
      <c r="R271" s="190">
        <v>1</v>
      </c>
    </row>
    <row r="272" spans="1:18" x14ac:dyDescent="0.2">
      <c r="A272" s="190" t="s">
        <v>48</v>
      </c>
      <c r="B272" s="191" t="s">
        <v>207</v>
      </c>
      <c r="C272" s="191" t="s">
        <v>187</v>
      </c>
      <c r="D272" s="191" t="s">
        <v>4</v>
      </c>
      <c r="E272" s="191" t="s">
        <v>202</v>
      </c>
      <c r="F272" s="190" t="s">
        <v>613</v>
      </c>
      <c r="G272" s="190" t="s">
        <v>203</v>
      </c>
      <c r="H272" s="190" t="s">
        <v>27</v>
      </c>
      <c r="I272" s="191" t="s">
        <v>138</v>
      </c>
      <c r="J272" s="190" t="s">
        <v>202</v>
      </c>
      <c r="K272" s="191" t="s">
        <v>204</v>
      </c>
      <c r="L272" s="192" t="s">
        <v>205</v>
      </c>
      <c r="M272" s="190" t="s">
        <v>206</v>
      </c>
      <c r="N272" s="190">
        <v>30500</v>
      </c>
      <c r="O272" s="190">
        <v>6871</v>
      </c>
      <c r="P272" s="190">
        <v>2</v>
      </c>
      <c r="Q272" s="190">
        <v>2025</v>
      </c>
      <c r="R272" s="190">
        <v>6</v>
      </c>
    </row>
    <row r="273" spans="1:18" x14ac:dyDescent="0.2">
      <c r="A273" s="190" t="s">
        <v>48</v>
      </c>
      <c r="B273" s="191" t="s">
        <v>207</v>
      </c>
      <c r="C273" s="191" t="s">
        <v>187</v>
      </c>
      <c r="D273" s="191" t="s">
        <v>4</v>
      </c>
      <c r="E273" s="191" t="s">
        <v>202</v>
      </c>
      <c r="F273" s="190" t="s">
        <v>216</v>
      </c>
      <c r="G273" s="190" t="s">
        <v>208</v>
      </c>
      <c r="H273" s="190" t="s">
        <v>21</v>
      </c>
      <c r="I273" s="191" t="s">
        <v>112</v>
      </c>
      <c r="J273" s="190" t="s">
        <v>229</v>
      </c>
      <c r="K273" s="191" t="s">
        <v>213</v>
      </c>
      <c r="L273" s="192" t="s">
        <v>205</v>
      </c>
      <c r="M273" s="190" t="s">
        <v>210</v>
      </c>
      <c r="N273" s="190">
        <v>6500</v>
      </c>
      <c r="O273" s="190">
        <v>2891</v>
      </c>
      <c r="P273" s="190">
        <v>3</v>
      </c>
      <c r="Q273" s="190">
        <v>2025</v>
      </c>
      <c r="R273" s="190">
        <v>1</v>
      </c>
    </row>
    <row r="274" spans="1:18" x14ac:dyDescent="0.2">
      <c r="A274" s="190" t="s">
        <v>48</v>
      </c>
      <c r="B274" s="191" t="s">
        <v>207</v>
      </c>
      <c r="C274" s="191" t="s">
        <v>187</v>
      </c>
      <c r="D274" s="191" t="s">
        <v>4</v>
      </c>
      <c r="E274" s="191" t="s">
        <v>202</v>
      </c>
      <c r="F274" s="190" t="s">
        <v>216</v>
      </c>
      <c r="G274" s="190" t="s">
        <v>203</v>
      </c>
      <c r="H274" s="190" t="s">
        <v>65</v>
      </c>
      <c r="I274" s="191" t="s">
        <v>103</v>
      </c>
      <c r="J274" s="190" t="s">
        <v>375</v>
      </c>
      <c r="K274" s="191" t="s">
        <v>245</v>
      </c>
      <c r="L274" s="192" t="s">
        <v>205</v>
      </c>
      <c r="M274" s="190" t="s">
        <v>210</v>
      </c>
      <c r="N274" s="190">
        <v>18000</v>
      </c>
      <c r="O274" s="190">
        <v>6372</v>
      </c>
      <c r="P274" s="190">
        <v>3</v>
      </c>
      <c r="Q274" s="190">
        <v>2025</v>
      </c>
      <c r="R274" s="190">
        <v>1</v>
      </c>
    </row>
    <row r="275" spans="1:18" x14ac:dyDescent="0.2">
      <c r="A275" s="190" t="s">
        <v>48</v>
      </c>
      <c r="B275" s="191" t="s">
        <v>207</v>
      </c>
      <c r="C275" s="191" t="s">
        <v>187</v>
      </c>
      <c r="D275" s="191" t="s">
        <v>4</v>
      </c>
      <c r="E275" s="191" t="s">
        <v>202</v>
      </c>
      <c r="F275" s="190" t="s">
        <v>643</v>
      </c>
      <c r="G275" s="190" t="s">
        <v>208</v>
      </c>
      <c r="H275" s="190" t="s">
        <v>22</v>
      </c>
      <c r="I275" s="191" t="s">
        <v>106</v>
      </c>
      <c r="J275" s="190" t="s">
        <v>408</v>
      </c>
      <c r="K275" s="191" t="s">
        <v>221</v>
      </c>
      <c r="L275" s="192" t="s">
        <v>205</v>
      </c>
      <c r="M275" s="190" t="s">
        <v>210</v>
      </c>
      <c r="N275" s="190">
        <v>7000</v>
      </c>
      <c r="O275" s="190">
        <v>4009</v>
      </c>
      <c r="P275" s="190">
        <v>3</v>
      </c>
      <c r="Q275" s="190">
        <v>2025</v>
      </c>
      <c r="R275" s="190">
        <v>1</v>
      </c>
    </row>
    <row r="276" spans="1:18" x14ac:dyDescent="0.2">
      <c r="A276" s="190" t="s">
        <v>48</v>
      </c>
      <c r="B276" s="191" t="s">
        <v>207</v>
      </c>
      <c r="C276" s="191" t="s">
        <v>187</v>
      </c>
      <c r="D276" s="191" t="s">
        <v>4</v>
      </c>
      <c r="E276" s="191" t="s">
        <v>202</v>
      </c>
      <c r="F276" s="190" t="s">
        <v>617</v>
      </c>
      <c r="G276" s="190" t="s">
        <v>208</v>
      </c>
      <c r="H276" s="190" t="s">
        <v>21</v>
      </c>
      <c r="I276" s="191" t="s">
        <v>112</v>
      </c>
      <c r="J276" s="190" t="s">
        <v>229</v>
      </c>
      <c r="K276" s="191" t="s">
        <v>213</v>
      </c>
      <c r="L276" s="192" t="s">
        <v>205</v>
      </c>
      <c r="M276" s="190" t="s">
        <v>210</v>
      </c>
      <c r="N276" s="190">
        <v>6500</v>
      </c>
      <c r="O276" s="190">
        <v>2891</v>
      </c>
      <c r="P276" s="190">
        <v>3</v>
      </c>
      <c r="Q276" s="190">
        <v>2025</v>
      </c>
      <c r="R276" s="190">
        <v>1</v>
      </c>
    </row>
    <row r="277" spans="1:18" x14ac:dyDescent="0.2">
      <c r="A277" s="190" t="s">
        <v>48</v>
      </c>
      <c r="B277" s="191" t="s">
        <v>207</v>
      </c>
      <c r="C277" s="191" t="s">
        <v>187</v>
      </c>
      <c r="D277" s="191" t="s">
        <v>4</v>
      </c>
      <c r="E277" s="191" t="s">
        <v>202</v>
      </c>
      <c r="F277" s="190" t="s">
        <v>397</v>
      </c>
      <c r="G277" s="190" t="s">
        <v>203</v>
      </c>
      <c r="H277" s="190" t="s">
        <v>25</v>
      </c>
      <c r="I277" s="191" t="s">
        <v>510</v>
      </c>
      <c r="J277" s="190" t="s">
        <v>638</v>
      </c>
      <c r="K277" s="191" t="s">
        <v>204</v>
      </c>
      <c r="L277" s="192" t="s">
        <v>205</v>
      </c>
      <c r="M277" s="190" t="s">
        <v>206</v>
      </c>
      <c r="N277" s="190">
        <v>30000</v>
      </c>
      <c r="O277" s="190">
        <v>12700</v>
      </c>
      <c r="P277" s="190">
        <v>2</v>
      </c>
      <c r="Q277" s="190">
        <v>2024</v>
      </c>
      <c r="R277" s="190">
        <v>1</v>
      </c>
    </row>
    <row r="278" spans="1:18" x14ac:dyDescent="0.2">
      <c r="A278" s="190" t="s">
        <v>48</v>
      </c>
      <c r="B278" s="191" t="s">
        <v>207</v>
      </c>
      <c r="C278" s="191" t="s">
        <v>187</v>
      </c>
      <c r="D278" s="191" t="s">
        <v>4</v>
      </c>
      <c r="E278" s="191" t="s">
        <v>202</v>
      </c>
      <c r="F278" s="190" t="s">
        <v>219</v>
      </c>
      <c r="G278" s="190" t="s">
        <v>203</v>
      </c>
      <c r="H278" s="190" t="s">
        <v>71</v>
      </c>
      <c r="I278" s="191" t="s">
        <v>429</v>
      </c>
      <c r="J278" s="190" t="s">
        <v>202</v>
      </c>
      <c r="K278" s="191" t="s">
        <v>240</v>
      </c>
      <c r="L278" s="192" t="s">
        <v>205</v>
      </c>
      <c r="M278" s="190" t="s">
        <v>206</v>
      </c>
      <c r="N278" s="190">
        <v>41000</v>
      </c>
      <c r="O278" s="190">
        <v>12419</v>
      </c>
      <c r="P278" s="190">
        <v>3</v>
      </c>
      <c r="Q278" s="190">
        <v>2024</v>
      </c>
      <c r="R278" s="190">
        <v>1</v>
      </c>
    </row>
    <row r="279" spans="1:18" x14ac:dyDescent="0.2">
      <c r="A279" s="190" t="s">
        <v>48</v>
      </c>
      <c r="B279" s="191" t="s">
        <v>207</v>
      </c>
      <c r="C279" s="191" t="s">
        <v>187</v>
      </c>
      <c r="D279" s="191" t="s">
        <v>6</v>
      </c>
      <c r="E279" s="191" t="s">
        <v>243</v>
      </c>
      <c r="F279" s="190" t="s">
        <v>243</v>
      </c>
      <c r="G279" s="190" t="s">
        <v>203</v>
      </c>
      <c r="H279" s="190" t="s">
        <v>30</v>
      </c>
      <c r="I279" s="191" t="s">
        <v>441</v>
      </c>
      <c r="J279" s="190" t="s">
        <v>443</v>
      </c>
      <c r="K279" s="191" t="s">
        <v>213</v>
      </c>
      <c r="L279" s="192" t="s">
        <v>205</v>
      </c>
      <c r="M279" s="190" t="s">
        <v>206</v>
      </c>
      <c r="N279" s="190">
        <v>48000</v>
      </c>
      <c r="O279" s="190">
        <v>12980</v>
      </c>
      <c r="P279" s="190">
        <v>2</v>
      </c>
      <c r="Q279" s="190">
        <v>2025</v>
      </c>
      <c r="R279" s="190">
        <v>2</v>
      </c>
    </row>
    <row r="280" spans="1:18" x14ac:dyDescent="0.2">
      <c r="A280" s="190" t="s">
        <v>48</v>
      </c>
      <c r="B280" s="191" t="s">
        <v>207</v>
      </c>
      <c r="C280" s="191" t="s">
        <v>187</v>
      </c>
      <c r="D280" s="191" t="s">
        <v>6</v>
      </c>
      <c r="E280" s="191" t="s">
        <v>243</v>
      </c>
      <c r="F280" s="190" t="s">
        <v>243</v>
      </c>
      <c r="G280" s="190" t="s">
        <v>203</v>
      </c>
      <c r="H280" s="190" t="s">
        <v>20</v>
      </c>
      <c r="I280" s="191" t="s">
        <v>155</v>
      </c>
      <c r="J280" s="190" t="s">
        <v>155</v>
      </c>
      <c r="K280" s="191" t="s">
        <v>204</v>
      </c>
      <c r="L280" s="192" t="s">
        <v>205</v>
      </c>
      <c r="M280" s="190" t="s">
        <v>206</v>
      </c>
      <c r="N280" s="190">
        <v>28500</v>
      </c>
      <c r="O280" s="190">
        <v>12800</v>
      </c>
      <c r="P280" s="190">
        <v>2</v>
      </c>
      <c r="Q280" s="190">
        <v>2025</v>
      </c>
      <c r="R280" s="190">
        <v>1</v>
      </c>
    </row>
    <row r="281" spans="1:18" x14ac:dyDescent="0.2">
      <c r="A281" s="190" t="s">
        <v>48</v>
      </c>
      <c r="B281" s="191" t="s">
        <v>207</v>
      </c>
      <c r="C281" s="191" t="s">
        <v>5</v>
      </c>
      <c r="D281" s="191" t="s">
        <v>249</v>
      </c>
      <c r="E281" s="191" t="s">
        <v>250</v>
      </c>
      <c r="F281" s="190" t="s">
        <v>250</v>
      </c>
      <c r="G281" s="190" t="s">
        <v>251</v>
      </c>
      <c r="H281" s="190" t="s">
        <v>19</v>
      </c>
      <c r="I281" s="191" t="s">
        <v>586</v>
      </c>
      <c r="J281" s="190" t="s">
        <v>735</v>
      </c>
      <c r="K281" s="191" t="s">
        <v>252</v>
      </c>
      <c r="L281" s="192" t="s">
        <v>205</v>
      </c>
      <c r="M281" s="190" t="s">
        <v>210</v>
      </c>
      <c r="N281" s="190">
        <v>4100</v>
      </c>
      <c r="O281" s="190">
        <v>2143</v>
      </c>
      <c r="P281" s="190">
        <v>16</v>
      </c>
      <c r="Q281" s="190">
        <v>2024</v>
      </c>
      <c r="R281" s="190">
        <v>9</v>
      </c>
    </row>
    <row r="282" spans="1:18" x14ac:dyDescent="0.2">
      <c r="A282" s="190" t="s">
        <v>48</v>
      </c>
      <c r="B282" s="191" t="s">
        <v>207</v>
      </c>
      <c r="C282" s="191" t="s">
        <v>5</v>
      </c>
      <c r="D282" s="191" t="s">
        <v>249</v>
      </c>
      <c r="E282" s="191" t="s">
        <v>250</v>
      </c>
      <c r="F282" s="190" t="s">
        <v>250</v>
      </c>
      <c r="G282" s="190" t="s">
        <v>253</v>
      </c>
      <c r="H282" s="190" t="s">
        <v>21</v>
      </c>
      <c r="I282" s="191" t="s">
        <v>162</v>
      </c>
      <c r="J282" s="190" t="s">
        <v>255</v>
      </c>
      <c r="K282" s="191" t="s">
        <v>227</v>
      </c>
      <c r="L282" s="192" t="s">
        <v>205</v>
      </c>
      <c r="M282" s="190" t="s">
        <v>210</v>
      </c>
      <c r="N282" s="190">
        <v>6895</v>
      </c>
      <c r="O282" s="190">
        <v>3933</v>
      </c>
      <c r="P282" s="190">
        <v>32</v>
      </c>
      <c r="Q282" s="190">
        <v>2025</v>
      </c>
      <c r="R282" s="190">
        <v>1</v>
      </c>
    </row>
    <row r="283" spans="1:18" x14ac:dyDescent="0.2">
      <c r="A283" s="190" t="s">
        <v>48</v>
      </c>
      <c r="B283" s="191" t="s">
        <v>392</v>
      </c>
      <c r="C283" s="191" t="s">
        <v>187</v>
      </c>
      <c r="D283" s="191" t="s">
        <v>4</v>
      </c>
      <c r="E283" s="191" t="s">
        <v>268</v>
      </c>
      <c r="F283" s="190" t="s">
        <v>677</v>
      </c>
      <c r="G283" s="190" t="s">
        <v>208</v>
      </c>
      <c r="H283" s="190" t="s">
        <v>19</v>
      </c>
      <c r="I283" s="191" t="s">
        <v>128</v>
      </c>
      <c r="J283" s="190" t="s">
        <v>340</v>
      </c>
      <c r="K283" s="191" t="s">
        <v>252</v>
      </c>
      <c r="L283" s="192" t="s">
        <v>205</v>
      </c>
      <c r="M283" s="190" t="s">
        <v>210</v>
      </c>
      <c r="N283" s="190">
        <v>4100</v>
      </c>
      <c r="O283" s="190">
        <v>2143</v>
      </c>
      <c r="P283" s="190">
        <v>2</v>
      </c>
      <c r="Q283" s="190">
        <v>2024</v>
      </c>
      <c r="R283" s="190">
        <v>1</v>
      </c>
    </row>
    <row r="284" spans="1:18" x14ac:dyDescent="0.2">
      <c r="A284" s="190" t="s">
        <v>48</v>
      </c>
      <c r="B284" s="191" t="s">
        <v>392</v>
      </c>
      <c r="C284" s="191" t="s">
        <v>187</v>
      </c>
      <c r="D284" s="191" t="s">
        <v>4</v>
      </c>
      <c r="E284" s="191" t="s">
        <v>268</v>
      </c>
      <c r="F284" s="190" t="s">
        <v>677</v>
      </c>
      <c r="G284" s="190" t="s">
        <v>208</v>
      </c>
      <c r="H284" s="190" t="s">
        <v>19</v>
      </c>
      <c r="I284" s="191" t="s">
        <v>128</v>
      </c>
      <c r="J284" s="190" t="s">
        <v>340</v>
      </c>
      <c r="K284" s="191" t="s">
        <v>252</v>
      </c>
      <c r="L284" s="192" t="s">
        <v>205</v>
      </c>
      <c r="M284" s="190" t="s">
        <v>210</v>
      </c>
      <c r="N284" s="190">
        <v>4100</v>
      </c>
      <c r="O284" s="190">
        <v>2143</v>
      </c>
      <c r="P284" s="190">
        <v>2</v>
      </c>
      <c r="Q284" s="190">
        <v>2025</v>
      </c>
      <c r="R284" s="190">
        <v>2</v>
      </c>
    </row>
    <row r="285" spans="1:18" x14ac:dyDescent="0.2">
      <c r="A285" s="190" t="s">
        <v>48</v>
      </c>
      <c r="B285" s="191" t="s">
        <v>392</v>
      </c>
      <c r="C285" s="191" t="s">
        <v>5</v>
      </c>
      <c r="D285" s="191" t="s">
        <v>249</v>
      </c>
      <c r="E285" s="191" t="s">
        <v>250</v>
      </c>
      <c r="F285" s="190" t="s">
        <v>250</v>
      </c>
      <c r="G285" s="190" t="s">
        <v>253</v>
      </c>
      <c r="H285" s="190" t="s">
        <v>21</v>
      </c>
      <c r="I285" s="191" t="s">
        <v>162</v>
      </c>
      <c r="J285" s="190" t="s">
        <v>255</v>
      </c>
      <c r="K285" s="191" t="s">
        <v>227</v>
      </c>
      <c r="L285" s="192" t="s">
        <v>205</v>
      </c>
      <c r="M285" s="190" t="s">
        <v>210</v>
      </c>
      <c r="N285" s="190">
        <v>6895</v>
      </c>
      <c r="O285" s="190">
        <v>3933</v>
      </c>
      <c r="P285" s="190">
        <v>32</v>
      </c>
      <c r="Q285" s="190">
        <v>2025</v>
      </c>
      <c r="R285" s="190">
        <v>1</v>
      </c>
    </row>
    <row r="286" spans="1:18" x14ac:dyDescent="0.2">
      <c r="A286" s="190" t="s">
        <v>48</v>
      </c>
      <c r="B286" s="191" t="s">
        <v>211</v>
      </c>
      <c r="C286" s="191" t="s">
        <v>187</v>
      </c>
      <c r="D286" s="191" t="s">
        <v>4</v>
      </c>
      <c r="E286" s="191" t="s">
        <v>212</v>
      </c>
      <c r="F286" s="190" t="s">
        <v>212</v>
      </c>
      <c r="G286" s="190" t="s">
        <v>208</v>
      </c>
      <c r="H286" s="190" t="s">
        <v>297</v>
      </c>
      <c r="I286" s="191" t="s">
        <v>358</v>
      </c>
      <c r="J286" s="190" t="s">
        <v>254</v>
      </c>
      <c r="K286" s="191" t="s">
        <v>213</v>
      </c>
      <c r="L286" s="192" t="s">
        <v>205</v>
      </c>
      <c r="M286" s="190" t="s">
        <v>210</v>
      </c>
      <c r="N286" s="190">
        <v>6620</v>
      </c>
      <c r="O286" s="190">
        <v>2771</v>
      </c>
      <c r="P286" s="190">
        <v>3</v>
      </c>
      <c r="Q286" s="190">
        <v>2025</v>
      </c>
      <c r="R286" s="190">
        <v>6</v>
      </c>
    </row>
    <row r="287" spans="1:18" x14ac:dyDescent="0.2">
      <c r="A287" s="190" t="s">
        <v>48</v>
      </c>
      <c r="B287" s="191" t="s">
        <v>211</v>
      </c>
      <c r="C287" s="191" t="s">
        <v>187</v>
      </c>
      <c r="D287" s="191" t="s">
        <v>4</v>
      </c>
      <c r="E287" s="191" t="s">
        <v>212</v>
      </c>
      <c r="F287" s="190" t="s">
        <v>212</v>
      </c>
      <c r="G287" s="190" t="s">
        <v>208</v>
      </c>
      <c r="H287" s="190" t="s">
        <v>297</v>
      </c>
      <c r="I287" s="191" t="s">
        <v>543</v>
      </c>
      <c r="J287" s="190" t="s">
        <v>383</v>
      </c>
      <c r="K287" s="191" t="s">
        <v>213</v>
      </c>
      <c r="L287" s="192" t="s">
        <v>205</v>
      </c>
      <c r="M287" s="190" t="s">
        <v>210</v>
      </c>
      <c r="N287" s="190">
        <v>13380</v>
      </c>
      <c r="O287" s="190">
        <v>3920</v>
      </c>
      <c r="P287" s="190">
        <v>3</v>
      </c>
      <c r="Q287" s="190">
        <v>2025</v>
      </c>
      <c r="R287" s="190">
        <v>1</v>
      </c>
    </row>
    <row r="288" spans="1:18" x14ac:dyDescent="0.2">
      <c r="A288" s="190" t="s">
        <v>48</v>
      </c>
      <c r="B288" s="191" t="s">
        <v>211</v>
      </c>
      <c r="C288" s="191" t="s">
        <v>187</v>
      </c>
      <c r="D288" s="191" t="s">
        <v>4</v>
      </c>
      <c r="E288" s="191" t="s">
        <v>212</v>
      </c>
      <c r="F288" s="190" t="s">
        <v>212</v>
      </c>
      <c r="G288" s="190" t="s">
        <v>208</v>
      </c>
      <c r="H288" s="190" t="s">
        <v>35</v>
      </c>
      <c r="I288" s="191" t="s">
        <v>472</v>
      </c>
      <c r="J288" s="190" t="s">
        <v>98</v>
      </c>
      <c r="K288" s="191" t="s">
        <v>213</v>
      </c>
      <c r="L288" s="192" t="s">
        <v>205</v>
      </c>
      <c r="M288" s="190" t="s">
        <v>210</v>
      </c>
      <c r="N288" s="190">
        <v>6950</v>
      </c>
      <c r="O288" s="190">
        <v>2771</v>
      </c>
      <c r="P288" s="190">
        <v>3</v>
      </c>
      <c r="Q288" s="190">
        <v>2024</v>
      </c>
      <c r="R288" s="190">
        <v>2</v>
      </c>
    </row>
    <row r="289" spans="1:18" x14ac:dyDescent="0.2">
      <c r="A289" s="190" t="s">
        <v>48</v>
      </c>
      <c r="B289" s="191" t="s">
        <v>211</v>
      </c>
      <c r="C289" s="191" t="s">
        <v>187</v>
      </c>
      <c r="D289" s="191" t="s">
        <v>4</v>
      </c>
      <c r="E289" s="191" t="s">
        <v>212</v>
      </c>
      <c r="F289" s="190" t="s">
        <v>212</v>
      </c>
      <c r="G289" s="190" t="s">
        <v>208</v>
      </c>
      <c r="H289" s="190" t="s">
        <v>35</v>
      </c>
      <c r="I289" s="191" t="s">
        <v>473</v>
      </c>
      <c r="J289" s="190" t="s">
        <v>614</v>
      </c>
      <c r="K289" s="191" t="s">
        <v>213</v>
      </c>
      <c r="L289" s="192" t="s">
        <v>205</v>
      </c>
      <c r="M289" s="190" t="s">
        <v>210</v>
      </c>
      <c r="N289" s="190">
        <v>6500</v>
      </c>
      <c r="O289" s="190">
        <v>2499</v>
      </c>
      <c r="P289" s="190">
        <v>5</v>
      </c>
      <c r="Q289" s="190">
        <v>2025</v>
      </c>
      <c r="R289" s="190">
        <v>3</v>
      </c>
    </row>
    <row r="290" spans="1:18" x14ac:dyDescent="0.2">
      <c r="A290" s="190" t="s">
        <v>48</v>
      </c>
      <c r="B290" s="191" t="s">
        <v>211</v>
      </c>
      <c r="C290" s="191" t="s">
        <v>187</v>
      </c>
      <c r="D290" s="191" t="s">
        <v>4</v>
      </c>
      <c r="E290" s="191" t="s">
        <v>212</v>
      </c>
      <c r="F290" s="190" t="s">
        <v>212</v>
      </c>
      <c r="G290" s="190" t="s">
        <v>208</v>
      </c>
      <c r="H290" s="190" t="s">
        <v>23</v>
      </c>
      <c r="I290" s="191" t="s">
        <v>354</v>
      </c>
      <c r="J290" s="190" t="s">
        <v>354</v>
      </c>
      <c r="K290" s="191" t="s">
        <v>213</v>
      </c>
      <c r="L290" s="192" t="s">
        <v>205</v>
      </c>
      <c r="M290" s="190" t="s">
        <v>210</v>
      </c>
      <c r="N290" s="190">
        <v>6500</v>
      </c>
      <c r="O290" s="190">
        <v>2780</v>
      </c>
      <c r="P290" s="190">
        <v>7</v>
      </c>
      <c r="Q290" s="190">
        <v>2025</v>
      </c>
      <c r="R290" s="190">
        <v>1</v>
      </c>
    </row>
    <row r="291" spans="1:18" x14ac:dyDescent="0.2">
      <c r="A291" s="190" t="s">
        <v>48</v>
      </c>
      <c r="B291" s="191" t="s">
        <v>211</v>
      </c>
      <c r="C291" s="191" t="s">
        <v>187</v>
      </c>
      <c r="D291" s="191" t="s">
        <v>4</v>
      </c>
      <c r="E291" s="191" t="s">
        <v>212</v>
      </c>
      <c r="F291" s="190" t="s">
        <v>212</v>
      </c>
      <c r="G291" s="190" t="s">
        <v>208</v>
      </c>
      <c r="H291" s="190" t="s">
        <v>23</v>
      </c>
      <c r="I291" s="191" t="s">
        <v>100</v>
      </c>
      <c r="J291" s="190" t="s">
        <v>98</v>
      </c>
      <c r="K291" s="191" t="s">
        <v>213</v>
      </c>
      <c r="L291" s="192" t="s">
        <v>205</v>
      </c>
      <c r="M291" s="190" t="s">
        <v>210</v>
      </c>
      <c r="N291" s="190">
        <v>6900</v>
      </c>
      <c r="O291" s="190">
        <v>2771</v>
      </c>
      <c r="P291" s="190">
        <v>3</v>
      </c>
      <c r="Q291" s="190">
        <v>2024</v>
      </c>
      <c r="R291" s="190">
        <v>2</v>
      </c>
    </row>
    <row r="292" spans="1:18" x14ac:dyDescent="0.2">
      <c r="A292" s="190" t="s">
        <v>48</v>
      </c>
      <c r="B292" s="191" t="s">
        <v>211</v>
      </c>
      <c r="C292" s="191" t="s">
        <v>187</v>
      </c>
      <c r="D292" s="191" t="s">
        <v>4</v>
      </c>
      <c r="E292" s="191" t="s">
        <v>212</v>
      </c>
      <c r="F292" s="190" t="s">
        <v>212</v>
      </c>
      <c r="G292" s="190" t="s">
        <v>208</v>
      </c>
      <c r="H292" s="190" t="s">
        <v>23</v>
      </c>
      <c r="I292" s="191" t="s">
        <v>100</v>
      </c>
      <c r="J292" s="190" t="s">
        <v>98</v>
      </c>
      <c r="K292" s="191" t="s">
        <v>213</v>
      </c>
      <c r="L292" s="192" t="s">
        <v>205</v>
      </c>
      <c r="M292" s="190" t="s">
        <v>210</v>
      </c>
      <c r="N292" s="190">
        <v>6900</v>
      </c>
      <c r="O292" s="190">
        <v>2771</v>
      </c>
      <c r="P292" s="190">
        <v>3</v>
      </c>
      <c r="Q292" s="190">
        <v>2025</v>
      </c>
      <c r="R292" s="190">
        <v>1</v>
      </c>
    </row>
    <row r="293" spans="1:18" x14ac:dyDescent="0.2">
      <c r="A293" s="190" t="s">
        <v>48</v>
      </c>
      <c r="B293" s="191" t="s">
        <v>211</v>
      </c>
      <c r="C293" s="191" t="s">
        <v>187</v>
      </c>
      <c r="D293" s="191" t="s">
        <v>4</v>
      </c>
      <c r="E293" s="191" t="s">
        <v>212</v>
      </c>
      <c r="F293" s="190" t="s">
        <v>212</v>
      </c>
      <c r="G293" s="190" t="s">
        <v>208</v>
      </c>
      <c r="H293" s="190" t="s">
        <v>29</v>
      </c>
      <c r="I293" s="191" t="s">
        <v>123</v>
      </c>
      <c r="J293" s="190" t="s">
        <v>214</v>
      </c>
      <c r="K293" s="191" t="s">
        <v>213</v>
      </c>
      <c r="L293" s="192" t="s">
        <v>205</v>
      </c>
      <c r="M293" s="190" t="s">
        <v>210</v>
      </c>
      <c r="N293" s="190">
        <v>6600</v>
      </c>
      <c r="O293" s="190">
        <v>2746</v>
      </c>
      <c r="P293" s="190">
        <v>3</v>
      </c>
      <c r="Q293" s="190">
        <v>2025</v>
      </c>
      <c r="R293" s="190">
        <v>4</v>
      </c>
    </row>
    <row r="294" spans="1:18" x14ac:dyDescent="0.2">
      <c r="A294" s="190" t="s">
        <v>48</v>
      </c>
      <c r="B294" s="191" t="s">
        <v>211</v>
      </c>
      <c r="C294" s="191" t="s">
        <v>187</v>
      </c>
      <c r="D294" s="191" t="s">
        <v>4</v>
      </c>
      <c r="E294" s="191" t="s">
        <v>212</v>
      </c>
      <c r="F294" s="190" t="s">
        <v>212</v>
      </c>
      <c r="G294" s="190" t="s">
        <v>208</v>
      </c>
      <c r="H294" s="190" t="s">
        <v>29</v>
      </c>
      <c r="I294" s="191" t="s">
        <v>125</v>
      </c>
      <c r="J294" s="190" t="s">
        <v>215</v>
      </c>
      <c r="K294" s="191" t="s">
        <v>213</v>
      </c>
      <c r="L294" s="192" t="s">
        <v>205</v>
      </c>
      <c r="M294" s="190" t="s">
        <v>210</v>
      </c>
      <c r="N294" s="190">
        <v>10660</v>
      </c>
      <c r="O294" s="190">
        <v>3760</v>
      </c>
      <c r="P294" s="190">
        <v>3</v>
      </c>
      <c r="Q294" s="190">
        <v>2025</v>
      </c>
      <c r="R294" s="190">
        <v>2</v>
      </c>
    </row>
    <row r="295" spans="1:18" x14ac:dyDescent="0.2">
      <c r="A295" s="190" t="s">
        <v>48</v>
      </c>
      <c r="B295" s="191" t="s">
        <v>211</v>
      </c>
      <c r="C295" s="191" t="s">
        <v>187</v>
      </c>
      <c r="D295" s="191" t="s">
        <v>4</v>
      </c>
      <c r="E295" s="191" t="s">
        <v>212</v>
      </c>
      <c r="F295" s="190" t="s">
        <v>212</v>
      </c>
      <c r="G295" s="190" t="s">
        <v>208</v>
      </c>
      <c r="H295" s="190" t="s">
        <v>29</v>
      </c>
      <c r="I295" s="191" t="s">
        <v>311</v>
      </c>
      <c r="J295" s="190" t="s">
        <v>332</v>
      </c>
      <c r="K295" s="191" t="s">
        <v>213</v>
      </c>
      <c r="L295" s="192" t="s">
        <v>205</v>
      </c>
      <c r="M295" s="190" t="s">
        <v>210</v>
      </c>
      <c r="N295" s="190">
        <v>6560</v>
      </c>
      <c r="O295" s="190">
        <v>2746</v>
      </c>
      <c r="P295" s="190">
        <v>6</v>
      </c>
      <c r="Q295" s="190">
        <v>2025</v>
      </c>
      <c r="R295" s="190">
        <v>1</v>
      </c>
    </row>
    <row r="296" spans="1:18" x14ac:dyDescent="0.2">
      <c r="A296" s="190" t="s">
        <v>48</v>
      </c>
      <c r="B296" s="191" t="s">
        <v>211</v>
      </c>
      <c r="C296" s="191" t="s">
        <v>187</v>
      </c>
      <c r="D296" s="191" t="s">
        <v>4</v>
      </c>
      <c r="E296" s="191" t="s">
        <v>212</v>
      </c>
      <c r="F296" s="190" t="s">
        <v>212</v>
      </c>
      <c r="G296" s="190" t="s">
        <v>208</v>
      </c>
      <c r="H296" s="190" t="s">
        <v>39</v>
      </c>
      <c r="I296" s="191" t="s">
        <v>285</v>
      </c>
      <c r="J296" s="190" t="s">
        <v>286</v>
      </c>
      <c r="K296" s="191" t="s">
        <v>213</v>
      </c>
      <c r="L296" s="192" t="s">
        <v>205</v>
      </c>
      <c r="M296" s="190" t="s">
        <v>210</v>
      </c>
      <c r="N296" s="190">
        <v>6361</v>
      </c>
      <c r="O296" s="190">
        <v>2771</v>
      </c>
      <c r="P296" s="190">
        <v>3</v>
      </c>
      <c r="Q296" s="190">
        <v>2025</v>
      </c>
      <c r="R296" s="190">
        <v>4</v>
      </c>
    </row>
    <row r="297" spans="1:18" x14ac:dyDescent="0.2">
      <c r="A297" s="190" t="s">
        <v>48</v>
      </c>
      <c r="B297" s="191" t="s">
        <v>211</v>
      </c>
      <c r="C297" s="191" t="s">
        <v>187</v>
      </c>
      <c r="D297" s="191" t="s">
        <v>4</v>
      </c>
      <c r="E297" s="191" t="s">
        <v>212</v>
      </c>
      <c r="F297" s="190" t="s">
        <v>212</v>
      </c>
      <c r="G297" s="190" t="s">
        <v>208</v>
      </c>
      <c r="H297" s="190" t="s">
        <v>47</v>
      </c>
      <c r="I297" s="191" t="s">
        <v>358</v>
      </c>
      <c r="J297" s="190" t="s">
        <v>293</v>
      </c>
      <c r="K297" s="191" t="s">
        <v>213</v>
      </c>
      <c r="L297" s="192" t="s">
        <v>205</v>
      </c>
      <c r="M297" s="190" t="s">
        <v>210</v>
      </c>
      <c r="N297" s="190">
        <v>7620</v>
      </c>
      <c r="O297" s="190">
        <v>2771</v>
      </c>
      <c r="P297" s="190">
        <v>3</v>
      </c>
      <c r="Q297" s="190">
        <v>2024</v>
      </c>
      <c r="R297" s="190">
        <v>2</v>
      </c>
    </row>
    <row r="298" spans="1:18" x14ac:dyDescent="0.2">
      <c r="A298" s="190" t="s">
        <v>48</v>
      </c>
      <c r="B298" s="191" t="s">
        <v>211</v>
      </c>
      <c r="C298" s="191" t="s">
        <v>187</v>
      </c>
      <c r="D298" s="191" t="s">
        <v>4</v>
      </c>
      <c r="E298" s="191" t="s">
        <v>212</v>
      </c>
      <c r="F298" s="190" t="s">
        <v>212</v>
      </c>
      <c r="G298" s="190" t="s">
        <v>208</v>
      </c>
      <c r="H298" s="190" t="s">
        <v>41</v>
      </c>
      <c r="I298" s="191" t="s">
        <v>536</v>
      </c>
      <c r="J298" s="190" t="s">
        <v>263</v>
      </c>
      <c r="K298" s="191" t="s">
        <v>213</v>
      </c>
      <c r="L298" s="192" t="s">
        <v>338</v>
      </c>
      <c r="M298" s="190" t="s">
        <v>210</v>
      </c>
      <c r="N298" s="190">
        <v>4900</v>
      </c>
      <c r="O298" s="190">
        <v>1597</v>
      </c>
      <c r="P298" s="190">
        <v>5</v>
      </c>
      <c r="Q298" s="190">
        <v>2024</v>
      </c>
      <c r="R298" s="190">
        <v>1</v>
      </c>
    </row>
    <row r="299" spans="1:18" x14ac:dyDescent="0.2">
      <c r="A299" s="190" t="s">
        <v>48</v>
      </c>
      <c r="B299" s="191" t="s">
        <v>211</v>
      </c>
      <c r="C299" s="191" t="s">
        <v>187</v>
      </c>
      <c r="D299" s="191" t="s">
        <v>4</v>
      </c>
      <c r="E299" s="191" t="s">
        <v>212</v>
      </c>
      <c r="F299" s="190" t="s">
        <v>212</v>
      </c>
      <c r="G299" s="190" t="s">
        <v>203</v>
      </c>
      <c r="H299" s="190" t="s">
        <v>29</v>
      </c>
      <c r="I299" s="191" t="s">
        <v>126</v>
      </c>
      <c r="J299" s="190" t="s">
        <v>616</v>
      </c>
      <c r="K299" s="191" t="s">
        <v>213</v>
      </c>
      <c r="L299" s="192" t="s">
        <v>205</v>
      </c>
      <c r="M299" s="190" t="s">
        <v>210</v>
      </c>
      <c r="N299" s="190">
        <v>13270</v>
      </c>
      <c r="O299" s="190">
        <v>3760</v>
      </c>
      <c r="P299" s="190">
        <v>3</v>
      </c>
      <c r="Q299" s="190">
        <v>2025</v>
      </c>
      <c r="R299" s="190">
        <v>1</v>
      </c>
    </row>
    <row r="300" spans="1:18" x14ac:dyDescent="0.2">
      <c r="A300" s="190" t="s">
        <v>48</v>
      </c>
      <c r="B300" s="191" t="s">
        <v>211</v>
      </c>
      <c r="C300" s="191" t="s">
        <v>187</v>
      </c>
      <c r="D300" s="191" t="s">
        <v>4</v>
      </c>
      <c r="E300" s="191" t="s">
        <v>212</v>
      </c>
      <c r="F300" s="190" t="s">
        <v>641</v>
      </c>
      <c r="G300" s="190" t="s">
        <v>208</v>
      </c>
      <c r="H300" s="190" t="s">
        <v>29</v>
      </c>
      <c r="I300" s="191" t="s">
        <v>124</v>
      </c>
      <c r="J300" s="190" t="s">
        <v>262</v>
      </c>
      <c r="K300" s="191" t="s">
        <v>213</v>
      </c>
      <c r="L300" s="192" t="s">
        <v>205</v>
      </c>
      <c r="M300" s="190" t="s">
        <v>210</v>
      </c>
      <c r="N300" s="190">
        <v>9280</v>
      </c>
      <c r="O300" s="190">
        <v>3760</v>
      </c>
      <c r="P300" s="190">
        <v>3</v>
      </c>
      <c r="Q300" s="190">
        <v>2025</v>
      </c>
      <c r="R300" s="190">
        <v>2</v>
      </c>
    </row>
    <row r="301" spans="1:18" x14ac:dyDescent="0.2">
      <c r="A301" s="190" t="s">
        <v>48</v>
      </c>
      <c r="B301" s="191" t="s">
        <v>211</v>
      </c>
      <c r="C301" s="191" t="s">
        <v>187</v>
      </c>
      <c r="D301" s="191" t="s">
        <v>4</v>
      </c>
      <c r="E301" s="191" t="s">
        <v>212</v>
      </c>
      <c r="F301" s="190" t="s">
        <v>216</v>
      </c>
      <c r="G301" s="190" t="s">
        <v>208</v>
      </c>
      <c r="H301" s="190" t="s">
        <v>35</v>
      </c>
      <c r="I301" s="191" t="s">
        <v>467</v>
      </c>
      <c r="J301" s="190" t="s">
        <v>736</v>
      </c>
      <c r="K301" s="191" t="s">
        <v>213</v>
      </c>
      <c r="L301" s="192" t="s">
        <v>205</v>
      </c>
      <c r="M301" s="190" t="s">
        <v>210</v>
      </c>
      <c r="N301" s="190">
        <v>5520</v>
      </c>
      <c r="O301" s="190">
        <v>2771</v>
      </c>
      <c r="P301" s="190">
        <v>3</v>
      </c>
      <c r="Q301" s="190">
        <v>2022</v>
      </c>
      <c r="R301" s="190">
        <v>1</v>
      </c>
    </row>
    <row r="302" spans="1:18" x14ac:dyDescent="0.2">
      <c r="A302" s="190" t="s">
        <v>48</v>
      </c>
      <c r="B302" s="191" t="s">
        <v>211</v>
      </c>
      <c r="C302" s="191" t="s">
        <v>187</v>
      </c>
      <c r="D302" s="191" t="s">
        <v>4</v>
      </c>
      <c r="E302" s="191" t="s">
        <v>212</v>
      </c>
      <c r="F302" s="190" t="s">
        <v>216</v>
      </c>
      <c r="G302" s="190" t="s">
        <v>208</v>
      </c>
      <c r="H302" s="190" t="s">
        <v>47</v>
      </c>
      <c r="I302" s="191" t="s">
        <v>313</v>
      </c>
      <c r="J302" s="190" t="s">
        <v>293</v>
      </c>
      <c r="K302" s="191" t="s">
        <v>213</v>
      </c>
      <c r="L302" s="192" t="s">
        <v>205</v>
      </c>
      <c r="M302" s="190" t="s">
        <v>210</v>
      </c>
      <c r="N302" s="190">
        <v>4020</v>
      </c>
      <c r="O302" s="190">
        <v>2771</v>
      </c>
      <c r="P302" s="190">
        <v>3</v>
      </c>
      <c r="Q302" s="190">
        <v>2024</v>
      </c>
      <c r="R302" s="190">
        <v>1</v>
      </c>
    </row>
    <row r="303" spans="1:18" x14ac:dyDescent="0.2">
      <c r="A303" s="190" t="s">
        <v>48</v>
      </c>
      <c r="B303" s="191" t="s">
        <v>211</v>
      </c>
      <c r="C303" s="191" t="s">
        <v>187</v>
      </c>
      <c r="D303" s="191" t="s">
        <v>4</v>
      </c>
      <c r="E303" s="191" t="s">
        <v>618</v>
      </c>
      <c r="F303" s="190" t="s">
        <v>618</v>
      </c>
      <c r="G303" s="190" t="s">
        <v>203</v>
      </c>
      <c r="H303" s="190" t="s">
        <v>34</v>
      </c>
      <c r="I303" s="191" t="s">
        <v>525</v>
      </c>
      <c r="J303" s="190" t="s">
        <v>72</v>
      </c>
      <c r="K303" s="191" t="s">
        <v>213</v>
      </c>
      <c r="L303" s="192" t="s">
        <v>205</v>
      </c>
      <c r="M303" s="190" t="s">
        <v>206</v>
      </c>
      <c r="N303" s="190">
        <v>25600</v>
      </c>
      <c r="O303" s="190">
        <v>7360</v>
      </c>
      <c r="P303" s="190">
        <v>2</v>
      </c>
      <c r="Q303" s="190">
        <v>2024</v>
      </c>
      <c r="R303" s="190">
        <v>3</v>
      </c>
    </row>
    <row r="304" spans="1:18" x14ac:dyDescent="0.2">
      <c r="A304" s="190" t="s">
        <v>48</v>
      </c>
      <c r="B304" s="191" t="s">
        <v>211</v>
      </c>
      <c r="C304" s="191" t="s">
        <v>187</v>
      </c>
      <c r="D304" s="191" t="s">
        <v>4</v>
      </c>
      <c r="E304" s="191" t="s">
        <v>618</v>
      </c>
      <c r="F304" s="190" t="s">
        <v>618</v>
      </c>
      <c r="G304" s="190" t="s">
        <v>203</v>
      </c>
      <c r="H304" s="190" t="s">
        <v>34</v>
      </c>
      <c r="I304" s="191" t="s">
        <v>525</v>
      </c>
      <c r="J304" s="190" t="s">
        <v>333</v>
      </c>
      <c r="K304" s="191" t="s">
        <v>213</v>
      </c>
      <c r="L304" s="192" t="s">
        <v>205</v>
      </c>
      <c r="M304" s="190" t="s">
        <v>206</v>
      </c>
      <c r="N304" s="190">
        <v>25600</v>
      </c>
      <c r="O304" s="190">
        <v>7360</v>
      </c>
      <c r="P304" s="190">
        <v>2</v>
      </c>
      <c r="Q304" s="190">
        <v>2024</v>
      </c>
      <c r="R304" s="190">
        <v>1</v>
      </c>
    </row>
    <row r="305" spans="1:18" x14ac:dyDescent="0.2">
      <c r="A305" s="190" t="s">
        <v>48</v>
      </c>
      <c r="B305" s="191" t="s">
        <v>211</v>
      </c>
      <c r="C305" s="191" t="s">
        <v>187</v>
      </c>
      <c r="D305" s="191" t="s">
        <v>4</v>
      </c>
      <c r="E305" s="191" t="s">
        <v>636</v>
      </c>
      <c r="F305" s="190" t="s">
        <v>636</v>
      </c>
      <c r="G305" s="190" t="s">
        <v>203</v>
      </c>
      <c r="H305" s="190" t="s">
        <v>23</v>
      </c>
      <c r="I305" s="191" t="s">
        <v>477</v>
      </c>
      <c r="J305" s="190" t="s">
        <v>477</v>
      </c>
      <c r="K305" s="191" t="s">
        <v>213</v>
      </c>
      <c r="L305" s="192" t="s">
        <v>205</v>
      </c>
      <c r="M305" s="190" t="s">
        <v>218</v>
      </c>
      <c r="N305" s="190">
        <v>48000</v>
      </c>
      <c r="O305" s="190">
        <v>11800</v>
      </c>
      <c r="P305" s="190">
        <v>2</v>
      </c>
      <c r="Q305" s="190">
        <v>2025</v>
      </c>
      <c r="R305" s="190">
        <v>1</v>
      </c>
    </row>
    <row r="306" spans="1:18" x14ac:dyDescent="0.2">
      <c r="A306" s="190" t="s">
        <v>48</v>
      </c>
      <c r="B306" s="191" t="s">
        <v>211</v>
      </c>
      <c r="C306" s="191" t="s">
        <v>187</v>
      </c>
      <c r="D306" s="191" t="s">
        <v>4</v>
      </c>
      <c r="E306" s="191" t="s">
        <v>636</v>
      </c>
      <c r="F306" s="190" t="s">
        <v>636</v>
      </c>
      <c r="G306" s="190" t="s">
        <v>203</v>
      </c>
      <c r="H306" s="190" t="s">
        <v>302</v>
      </c>
      <c r="I306" s="191" t="s">
        <v>535</v>
      </c>
      <c r="J306" s="190" t="s">
        <v>667</v>
      </c>
      <c r="K306" s="191" t="s">
        <v>213</v>
      </c>
      <c r="L306" s="192" t="s">
        <v>205</v>
      </c>
      <c r="M306" s="190" t="s">
        <v>218</v>
      </c>
      <c r="N306" s="190">
        <v>42000</v>
      </c>
      <c r="O306" s="190">
        <v>10518</v>
      </c>
      <c r="P306" s="190">
        <v>2</v>
      </c>
      <c r="Q306" s="190">
        <v>2024</v>
      </c>
      <c r="R306" s="190">
        <v>1</v>
      </c>
    </row>
    <row r="307" spans="1:18" x14ac:dyDescent="0.2">
      <c r="A307" s="190" t="s">
        <v>48</v>
      </c>
      <c r="B307" s="191" t="s">
        <v>211</v>
      </c>
      <c r="C307" s="191" t="s">
        <v>187</v>
      </c>
      <c r="D307" s="191" t="s">
        <v>4</v>
      </c>
      <c r="E307" s="191" t="s">
        <v>269</v>
      </c>
      <c r="F307" s="190" t="s">
        <v>269</v>
      </c>
      <c r="G307" s="190" t="s">
        <v>203</v>
      </c>
      <c r="H307" s="190" t="s">
        <v>72</v>
      </c>
      <c r="I307" s="191" t="s">
        <v>487</v>
      </c>
      <c r="J307" s="190" t="s">
        <v>333</v>
      </c>
      <c r="K307" s="191" t="s">
        <v>213</v>
      </c>
      <c r="L307" s="192" t="s">
        <v>205</v>
      </c>
      <c r="M307" s="190" t="s">
        <v>206</v>
      </c>
      <c r="N307" s="190">
        <v>41500</v>
      </c>
      <c r="O307" s="190">
        <v>6870</v>
      </c>
      <c r="P307" s="190">
        <v>2</v>
      </c>
      <c r="Q307" s="190">
        <v>2025</v>
      </c>
      <c r="R307" s="190">
        <v>1</v>
      </c>
    </row>
    <row r="308" spans="1:18" x14ac:dyDescent="0.2">
      <c r="A308" s="190" t="s">
        <v>48</v>
      </c>
      <c r="B308" s="191" t="s">
        <v>211</v>
      </c>
      <c r="C308" s="191" t="s">
        <v>187</v>
      </c>
      <c r="D308" s="191" t="s">
        <v>4</v>
      </c>
      <c r="E308" s="191" t="s">
        <v>269</v>
      </c>
      <c r="F308" s="190" t="s">
        <v>269</v>
      </c>
      <c r="G308" s="190" t="s">
        <v>203</v>
      </c>
      <c r="H308" s="190" t="s">
        <v>451</v>
      </c>
      <c r="I308" s="191" t="s">
        <v>544</v>
      </c>
      <c r="J308" s="190" t="s">
        <v>333</v>
      </c>
      <c r="K308" s="191" t="s">
        <v>213</v>
      </c>
      <c r="L308" s="192" t="s">
        <v>205</v>
      </c>
      <c r="M308" s="190" t="s">
        <v>206</v>
      </c>
      <c r="N308" s="190">
        <v>16000</v>
      </c>
      <c r="O308" s="190">
        <v>2970</v>
      </c>
      <c r="P308" s="190">
        <v>2</v>
      </c>
      <c r="Q308" s="190">
        <v>2024</v>
      </c>
      <c r="R308" s="190">
        <v>1</v>
      </c>
    </row>
    <row r="309" spans="1:18" x14ac:dyDescent="0.2">
      <c r="A309" s="190" t="s">
        <v>48</v>
      </c>
      <c r="B309" s="191" t="s">
        <v>211</v>
      </c>
      <c r="C309" s="191" t="s">
        <v>187</v>
      </c>
      <c r="D309" s="191" t="s">
        <v>4</v>
      </c>
      <c r="E309" s="191" t="s">
        <v>613</v>
      </c>
      <c r="F309" s="190" t="s">
        <v>613</v>
      </c>
      <c r="G309" s="190" t="s">
        <v>203</v>
      </c>
      <c r="H309" s="190" t="s">
        <v>31</v>
      </c>
      <c r="I309" s="191" t="s">
        <v>521</v>
      </c>
      <c r="J309" s="190" t="s">
        <v>673</v>
      </c>
      <c r="K309" s="191" t="s">
        <v>213</v>
      </c>
      <c r="L309" s="192" t="s">
        <v>205</v>
      </c>
      <c r="M309" s="190" t="s">
        <v>206</v>
      </c>
      <c r="N309" s="190">
        <v>33500</v>
      </c>
      <c r="O309" s="190">
        <v>8900</v>
      </c>
      <c r="P309" s="190">
        <v>2</v>
      </c>
      <c r="Q309" s="190">
        <v>2024</v>
      </c>
      <c r="R309" s="190">
        <v>1</v>
      </c>
    </row>
    <row r="310" spans="1:18" x14ac:dyDescent="0.2">
      <c r="A310" s="190" t="s">
        <v>48</v>
      </c>
      <c r="B310" s="191" t="s">
        <v>211</v>
      </c>
      <c r="C310" s="191" t="s">
        <v>187</v>
      </c>
      <c r="D310" s="191" t="s">
        <v>4</v>
      </c>
      <c r="E310" s="191" t="s">
        <v>216</v>
      </c>
      <c r="F310" s="190" t="s">
        <v>216</v>
      </c>
      <c r="G310" s="190" t="s">
        <v>208</v>
      </c>
      <c r="H310" s="190" t="s">
        <v>40</v>
      </c>
      <c r="I310" s="191" t="s">
        <v>463</v>
      </c>
      <c r="J310" s="190" t="s">
        <v>682</v>
      </c>
      <c r="K310" s="191" t="s">
        <v>213</v>
      </c>
      <c r="L310" s="192" t="s">
        <v>205</v>
      </c>
      <c r="M310" s="190" t="s">
        <v>210</v>
      </c>
      <c r="N310" s="190">
        <v>6500</v>
      </c>
      <c r="O310" s="190">
        <v>2300</v>
      </c>
      <c r="P310" s="190">
        <v>2</v>
      </c>
      <c r="Q310" s="190">
        <v>2024</v>
      </c>
      <c r="R310" s="190">
        <v>1</v>
      </c>
    </row>
    <row r="311" spans="1:18" x14ac:dyDescent="0.2">
      <c r="A311" s="190" t="s">
        <v>48</v>
      </c>
      <c r="B311" s="191" t="s">
        <v>211</v>
      </c>
      <c r="C311" s="191" t="s">
        <v>187</v>
      </c>
      <c r="D311" s="191" t="s">
        <v>4</v>
      </c>
      <c r="E311" s="191" t="s">
        <v>216</v>
      </c>
      <c r="F311" s="190" t="s">
        <v>216</v>
      </c>
      <c r="G311" s="190" t="s">
        <v>208</v>
      </c>
      <c r="H311" s="190" t="s">
        <v>35</v>
      </c>
      <c r="I311" s="191" t="s">
        <v>471</v>
      </c>
      <c r="J311" s="190" t="s">
        <v>98</v>
      </c>
      <c r="K311" s="191" t="s">
        <v>213</v>
      </c>
      <c r="L311" s="192" t="s">
        <v>205</v>
      </c>
      <c r="M311" s="190" t="s">
        <v>210</v>
      </c>
      <c r="N311" s="190">
        <v>6950</v>
      </c>
      <c r="O311" s="190">
        <v>2771</v>
      </c>
      <c r="P311" s="190">
        <v>3</v>
      </c>
      <c r="Q311" s="190">
        <v>2025</v>
      </c>
      <c r="R311" s="190">
        <v>1</v>
      </c>
    </row>
    <row r="312" spans="1:18" x14ac:dyDescent="0.2">
      <c r="A312" s="190" t="s">
        <v>48</v>
      </c>
      <c r="B312" s="191" t="s">
        <v>211</v>
      </c>
      <c r="C312" s="191" t="s">
        <v>187</v>
      </c>
      <c r="D312" s="191" t="s">
        <v>4</v>
      </c>
      <c r="E312" s="191" t="s">
        <v>216</v>
      </c>
      <c r="F312" s="190" t="s">
        <v>216</v>
      </c>
      <c r="G312" s="190" t="s">
        <v>208</v>
      </c>
      <c r="H312" s="190" t="s">
        <v>23</v>
      </c>
      <c r="I312" s="191" t="s">
        <v>93</v>
      </c>
      <c r="J312" s="190" t="s">
        <v>93</v>
      </c>
      <c r="K312" s="191" t="s">
        <v>213</v>
      </c>
      <c r="L312" s="192" t="s">
        <v>205</v>
      </c>
      <c r="M312" s="190" t="s">
        <v>210</v>
      </c>
      <c r="N312" s="190">
        <v>6900</v>
      </c>
      <c r="O312" s="190">
        <v>2780</v>
      </c>
      <c r="P312" s="190">
        <v>3</v>
      </c>
      <c r="Q312" s="190">
        <v>2024</v>
      </c>
      <c r="R312" s="190">
        <v>3</v>
      </c>
    </row>
    <row r="313" spans="1:18" x14ac:dyDescent="0.2">
      <c r="A313" s="190" t="s">
        <v>48</v>
      </c>
      <c r="B313" s="191" t="s">
        <v>211</v>
      </c>
      <c r="C313" s="191" t="s">
        <v>187</v>
      </c>
      <c r="D313" s="191" t="s">
        <v>4</v>
      </c>
      <c r="E313" s="191" t="s">
        <v>216</v>
      </c>
      <c r="F313" s="190" t="s">
        <v>216</v>
      </c>
      <c r="G313" s="190" t="s">
        <v>208</v>
      </c>
      <c r="H313" s="190" t="s">
        <v>23</v>
      </c>
      <c r="I313" s="191" t="s">
        <v>94</v>
      </c>
      <c r="J313" s="190" t="s">
        <v>94</v>
      </c>
      <c r="K313" s="191" t="s">
        <v>213</v>
      </c>
      <c r="L313" s="192" t="s">
        <v>205</v>
      </c>
      <c r="M313" s="190" t="s">
        <v>210</v>
      </c>
      <c r="N313" s="190">
        <v>6900</v>
      </c>
      <c r="O313" s="190">
        <v>2780</v>
      </c>
      <c r="P313" s="190">
        <v>3</v>
      </c>
      <c r="Q313" s="190">
        <v>2025</v>
      </c>
      <c r="R313" s="190">
        <v>6</v>
      </c>
    </row>
    <row r="314" spans="1:18" x14ac:dyDescent="0.2">
      <c r="A314" s="190" t="s">
        <v>48</v>
      </c>
      <c r="B314" s="191" t="s">
        <v>211</v>
      </c>
      <c r="C314" s="191" t="s">
        <v>187</v>
      </c>
      <c r="D314" s="191" t="s">
        <v>4</v>
      </c>
      <c r="E314" s="191" t="s">
        <v>216</v>
      </c>
      <c r="F314" s="190" t="s">
        <v>216</v>
      </c>
      <c r="G314" s="190" t="s">
        <v>208</v>
      </c>
      <c r="H314" s="190" t="s">
        <v>23</v>
      </c>
      <c r="I314" s="191" t="s">
        <v>309</v>
      </c>
      <c r="J314" s="190" t="s">
        <v>93</v>
      </c>
      <c r="K314" s="191" t="s">
        <v>213</v>
      </c>
      <c r="L314" s="192" t="s">
        <v>205</v>
      </c>
      <c r="M314" s="190" t="s">
        <v>210</v>
      </c>
      <c r="N314" s="190">
        <v>5695</v>
      </c>
      <c r="O314" s="190">
        <v>2771</v>
      </c>
      <c r="P314" s="190">
        <v>3</v>
      </c>
      <c r="Q314" s="190">
        <v>2024</v>
      </c>
      <c r="R314" s="190">
        <v>2</v>
      </c>
    </row>
    <row r="315" spans="1:18" x14ac:dyDescent="0.2">
      <c r="A315" s="190" t="s">
        <v>48</v>
      </c>
      <c r="B315" s="191" t="s">
        <v>211</v>
      </c>
      <c r="C315" s="191" t="s">
        <v>187</v>
      </c>
      <c r="D315" s="191" t="s">
        <v>4</v>
      </c>
      <c r="E315" s="191" t="s">
        <v>643</v>
      </c>
      <c r="F315" s="190" t="s">
        <v>643</v>
      </c>
      <c r="G315" s="190" t="s">
        <v>208</v>
      </c>
      <c r="H315" s="190" t="s">
        <v>29</v>
      </c>
      <c r="I315" s="191" t="s">
        <v>497</v>
      </c>
      <c r="J315" s="190" t="s">
        <v>683</v>
      </c>
      <c r="K315" s="191" t="s">
        <v>213</v>
      </c>
      <c r="L315" s="192" t="s">
        <v>205</v>
      </c>
      <c r="M315" s="190" t="s">
        <v>210</v>
      </c>
      <c r="N315" s="190">
        <v>10000</v>
      </c>
      <c r="O315" s="190">
        <v>2951</v>
      </c>
      <c r="P315" s="190">
        <v>3</v>
      </c>
      <c r="Q315" s="190">
        <v>2023</v>
      </c>
      <c r="R315" s="190">
        <v>1</v>
      </c>
    </row>
    <row r="316" spans="1:18" x14ac:dyDescent="0.2">
      <c r="A316" s="190" t="s">
        <v>48</v>
      </c>
      <c r="B316" s="191" t="s">
        <v>211</v>
      </c>
      <c r="C316" s="191" t="s">
        <v>187</v>
      </c>
      <c r="D316" s="191" t="s">
        <v>4</v>
      </c>
      <c r="E316" s="191" t="s">
        <v>217</v>
      </c>
      <c r="F316" s="190" t="s">
        <v>618</v>
      </c>
      <c r="G316" s="190" t="s">
        <v>203</v>
      </c>
      <c r="H316" s="190" t="s">
        <v>34</v>
      </c>
      <c r="I316" s="191" t="s">
        <v>526</v>
      </c>
      <c r="J316" s="190" t="s">
        <v>680</v>
      </c>
      <c r="K316" s="191" t="s">
        <v>213</v>
      </c>
      <c r="L316" s="192" t="s">
        <v>205</v>
      </c>
      <c r="M316" s="190" t="s">
        <v>206</v>
      </c>
      <c r="N316" s="190">
        <v>35000</v>
      </c>
      <c r="O316" s="190">
        <v>10518</v>
      </c>
      <c r="P316" s="190">
        <v>2</v>
      </c>
      <c r="Q316" s="190">
        <v>2023</v>
      </c>
      <c r="R316" s="190">
        <v>1</v>
      </c>
    </row>
    <row r="317" spans="1:18" x14ac:dyDescent="0.2">
      <c r="A317" s="190" t="s">
        <v>48</v>
      </c>
      <c r="B317" s="191" t="s">
        <v>211</v>
      </c>
      <c r="C317" s="191" t="s">
        <v>187</v>
      </c>
      <c r="D317" s="191" t="s">
        <v>4</v>
      </c>
      <c r="E317" s="191" t="s">
        <v>217</v>
      </c>
      <c r="F317" s="190" t="s">
        <v>618</v>
      </c>
      <c r="G317" s="190" t="s">
        <v>203</v>
      </c>
      <c r="H317" s="190" t="s">
        <v>34</v>
      </c>
      <c r="I317" s="191" t="s">
        <v>527</v>
      </c>
      <c r="J317" s="190" t="s">
        <v>684</v>
      </c>
      <c r="K317" s="191" t="s">
        <v>213</v>
      </c>
      <c r="L317" s="192" t="s">
        <v>205</v>
      </c>
      <c r="M317" s="190" t="s">
        <v>210</v>
      </c>
      <c r="N317" s="190">
        <v>29000</v>
      </c>
      <c r="O317" s="190">
        <v>6870</v>
      </c>
      <c r="P317" s="190">
        <v>2</v>
      </c>
      <c r="Q317" s="190">
        <v>2024</v>
      </c>
      <c r="R317" s="190">
        <v>1</v>
      </c>
    </row>
    <row r="318" spans="1:18" x14ac:dyDescent="0.2">
      <c r="A318" s="190" t="s">
        <v>48</v>
      </c>
      <c r="B318" s="191" t="s">
        <v>211</v>
      </c>
      <c r="C318" s="191" t="s">
        <v>187</v>
      </c>
      <c r="D318" s="191" t="s">
        <v>4</v>
      </c>
      <c r="E318" s="191" t="s">
        <v>217</v>
      </c>
      <c r="F318" s="190" t="s">
        <v>217</v>
      </c>
      <c r="G318" s="190" t="s">
        <v>203</v>
      </c>
      <c r="H318" s="190" t="s">
        <v>23</v>
      </c>
      <c r="I318" s="191" t="s">
        <v>97</v>
      </c>
      <c r="J318" s="190" t="s">
        <v>97</v>
      </c>
      <c r="K318" s="191" t="s">
        <v>213</v>
      </c>
      <c r="L318" s="192" t="s">
        <v>205</v>
      </c>
      <c r="M318" s="190" t="s">
        <v>206</v>
      </c>
      <c r="N318" s="190">
        <v>32500</v>
      </c>
      <c r="O318" s="190">
        <v>10500</v>
      </c>
      <c r="P318" s="190">
        <v>2</v>
      </c>
      <c r="Q318" s="190">
        <v>2024</v>
      </c>
      <c r="R318" s="190">
        <v>2</v>
      </c>
    </row>
    <row r="319" spans="1:18" x14ac:dyDescent="0.2">
      <c r="A319" s="190" t="s">
        <v>48</v>
      </c>
      <c r="B319" s="191" t="s">
        <v>211</v>
      </c>
      <c r="C319" s="191" t="s">
        <v>187</v>
      </c>
      <c r="D319" s="191" t="s">
        <v>4</v>
      </c>
      <c r="E319" s="191" t="s">
        <v>217</v>
      </c>
      <c r="F319" s="190" t="s">
        <v>217</v>
      </c>
      <c r="G319" s="190" t="s">
        <v>203</v>
      </c>
      <c r="H319" s="190" t="s">
        <v>23</v>
      </c>
      <c r="I319" s="191" t="s">
        <v>97</v>
      </c>
      <c r="J319" s="190" t="s">
        <v>97</v>
      </c>
      <c r="K319" s="191" t="s">
        <v>213</v>
      </c>
      <c r="L319" s="192" t="s">
        <v>205</v>
      </c>
      <c r="M319" s="190" t="s">
        <v>206</v>
      </c>
      <c r="N319" s="190">
        <v>32500</v>
      </c>
      <c r="O319" s="190">
        <v>10500</v>
      </c>
      <c r="P319" s="190">
        <v>2</v>
      </c>
      <c r="Q319" s="190">
        <v>2025</v>
      </c>
      <c r="R319" s="190">
        <v>2</v>
      </c>
    </row>
    <row r="320" spans="1:18" x14ac:dyDescent="0.2">
      <c r="A320" s="190" t="s">
        <v>48</v>
      </c>
      <c r="B320" s="191" t="s">
        <v>211</v>
      </c>
      <c r="C320" s="191" t="s">
        <v>187</v>
      </c>
      <c r="D320" s="191" t="s">
        <v>4</v>
      </c>
      <c r="E320" s="191" t="s">
        <v>217</v>
      </c>
      <c r="F320" s="190" t="s">
        <v>217</v>
      </c>
      <c r="G320" s="190" t="s">
        <v>203</v>
      </c>
      <c r="H320" s="190" t="s">
        <v>23</v>
      </c>
      <c r="I320" s="191" t="s">
        <v>308</v>
      </c>
      <c r="J320" s="190" t="s">
        <v>308</v>
      </c>
      <c r="K320" s="191" t="s">
        <v>213</v>
      </c>
      <c r="L320" s="192" t="s">
        <v>205</v>
      </c>
      <c r="M320" s="190" t="s">
        <v>218</v>
      </c>
      <c r="N320" s="190">
        <v>41000</v>
      </c>
      <c r="O320" s="190">
        <v>11800</v>
      </c>
      <c r="P320" s="190">
        <v>2</v>
      </c>
      <c r="Q320" s="190">
        <v>2024</v>
      </c>
      <c r="R320" s="190">
        <v>1</v>
      </c>
    </row>
    <row r="321" spans="1:18" x14ac:dyDescent="0.2">
      <c r="A321" s="190" t="s">
        <v>48</v>
      </c>
      <c r="B321" s="191" t="s">
        <v>211</v>
      </c>
      <c r="C321" s="191" t="s">
        <v>187</v>
      </c>
      <c r="D321" s="191" t="s">
        <v>4</v>
      </c>
      <c r="E321" s="191" t="s">
        <v>217</v>
      </c>
      <c r="F321" s="190" t="s">
        <v>217</v>
      </c>
      <c r="G321" s="190" t="s">
        <v>203</v>
      </c>
      <c r="H321" s="190" t="s">
        <v>23</v>
      </c>
      <c r="I321" s="191" t="s">
        <v>308</v>
      </c>
      <c r="J321" s="190" t="s">
        <v>308</v>
      </c>
      <c r="K321" s="191" t="s">
        <v>213</v>
      </c>
      <c r="L321" s="192" t="s">
        <v>205</v>
      </c>
      <c r="M321" s="190" t="s">
        <v>218</v>
      </c>
      <c r="N321" s="190">
        <v>41000</v>
      </c>
      <c r="O321" s="190">
        <v>11800</v>
      </c>
      <c r="P321" s="190">
        <v>2</v>
      </c>
      <c r="Q321" s="190">
        <v>2025</v>
      </c>
      <c r="R321" s="190">
        <v>1</v>
      </c>
    </row>
    <row r="322" spans="1:18" x14ac:dyDescent="0.2">
      <c r="A322" s="190" t="s">
        <v>48</v>
      </c>
      <c r="B322" s="191" t="s">
        <v>211</v>
      </c>
      <c r="C322" s="191" t="s">
        <v>187</v>
      </c>
      <c r="D322" s="191" t="s">
        <v>4</v>
      </c>
      <c r="E322" s="191" t="s">
        <v>217</v>
      </c>
      <c r="F322" s="190" t="s">
        <v>217</v>
      </c>
      <c r="G322" s="190" t="s">
        <v>203</v>
      </c>
      <c r="H322" s="190" t="s">
        <v>23</v>
      </c>
      <c r="I322" s="191" t="s">
        <v>483</v>
      </c>
      <c r="J322" s="190" t="s">
        <v>217</v>
      </c>
      <c r="K322" s="191" t="s">
        <v>213</v>
      </c>
      <c r="L322" s="192" t="s">
        <v>205</v>
      </c>
      <c r="M322" s="190" t="s">
        <v>218</v>
      </c>
      <c r="N322" s="190">
        <v>20650</v>
      </c>
      <c r="O322" s="190">
        <v>7800</v>
      </c>
      <c r="P322" s="190">
        <v>2</v>
      </c>
      <c r="Q322" s="190">
        <v>2023</v>
      </c>
      <c r="R322" s="190">
        <v>1</v>
      </c>
    </row>
    <row r="323" spans="1:18" x14ac:dyDescent="0.2">
      <c r="A323" s="190" t="s">
        <v>48</v>
      </c>
      <c r="B323" s="191" t="s">
        <v>211</v>
      </c>
      <c r="C323" s="191" t="s">
        <v>187</v>
      </c>
      <c r="D323" s="191" t="s">
        <v>4</v>
      </c>
      <c r="E323" s="191" t="s">
        <v>217</v>
      </c>
      <c r="F323" s="190" t="s">
        <v>217</v>
      </c>
      <c r="G323" s="190" t="s">
        <v>203</v>
      </c>
      <c r="H323" s="190" t="s">
        <v>72</v>
      </c>
      <c r="I323" s="191" t="s">
        <v>488</v>
      </c>
      <c r="J323" s="190" t="s">
        <v>333</v>
      </c>
      <c r="K323" s="191" t="s">
        <v>213</v>
      </c>
      <c r="L323" s="192" t="s">
        <v>205</v>
      </c>
      <c r="M323" s="190" t="s">
        <v>206</v>
      </c>
      <c r="N323" s="190">
        <v>41500</v>
      </c>
      <c r="O323" s="190">
        <v>9726</v>
      </c>
      <c r="P323" s="190">
        <v>2</v>
      </c>
      <c r="Q323" s="190">
        <v>2024</v>
      </c>
      <c r="R323" s="190">
        <v>1</v>
      </c>
    </row>
    <row r="324" spans="1:18" x14ac:dyDescent="0.2">
      <c r="A324" s="190" t="s">
        <v>48</v>
      </c>
      <c r="B324" s="191" t="s">
        <v>211</v>
      </c>
      <c r="C324" s="191" t="s">
        <v>187</v>
      </c>
      <c r="D324" s="191" t="s">
        <v>4</v>
      </c>
      <c r="E324" s="191" t="s">
        <v>217</v>
      </c>
      <c r="F324" s="190" t="s">
        <v>217</v>
      </c>
      <c r="G324" s="190" t="s">
        <v>203</v>
      </c>
      <c r="H324" s="190" t="s">
        <v>26</v>
      </c>
      <c r="I324" s="191" t="s">
        <v>385</v>
      </c>
      <c r="J324" s="190" t="s">
        <v>737</v>
      </c>
      <c r="K324" s="191" t="s">
        <v>237</v>
      </c>
      <c r="L324" s="192" t="s">
        <v>205</v>
      </c>
      <c r="M324" s="190" t="s">
        <v>206</v>
      </c>
      <c r="N324" s="190">
        <v>29937</v>
      </c>
      <c r="O324" s="190">
        <v>10800</v>
      </c>
      <c r="P324" s="190">
        <v>2</v>
      </c>
      <c r="Q324" s="190">
        <v>2025</v>
      </c>
      <c r="R324" s="190">
        <v>10</v>
      </c>
    </row>
    <row r="325" spans="1:18" x14ac:dyDescent="0.2">
      <c r="A325" s="190" t="s">
        <v>48</v>
      </c>
      <c r="B325" s="191" t="s">
        <v>211</v>
      </c>
      <c r="C325" s="191" t="s">
        <v>187</v>
      </c>
      <c r="D325" s="191" t="s">
        <v>4</v>
      </c>
      <c r="E325" s="191" t="s">
        <v>217</v>
      </c>
      <c r="F325" s="190" t="s">
        <v>217</v>
      </c>
      <c r="G325" s="190" t="s">
        <v>203</v>
      </c>
      <c r="H325" s="190" t="s">
        <v>31</v>
      </c>
      <c r="I325" s="191" t="s">
        <v>517</v>
      </c>
      <c r="J325" s="190" t="s">
        <v>412</v>
      </c>
      <c r="K325" s="191" t="s">
        <v>213</v>
      </c>
      <c r="L325" s="192" t="s">
        <v>205</v>
      </c>
      <c r="M325" s="190" t="s">
        <v>206</v>
      </c>
      <c r="N325" s="190">
        <v>41500</v>
      </c>
      <c r="O325" s="190">
        <v>10800</v>
      </c>
      <c r="P325" s="190">
        <v>2</v>
      </c>
      <c r="Q325" s="190">
        <v>2024</v>
      </c>
      <c r="R325" s="190">
        <v>1</v>
      </c>
    </row>
    <row r="326" spans="1:18" x14ac:dyDescent="0.2">
      <c r="A326" s="190" t="s">
        <v>48</v>
      </c>
      <c r="B326" s="191" t="s">
        <v>211</v>
      </c>
      <c r="C326" s="191" t="s">
        <v>187</v>
      </c>
      <c r="D326" s="191" t="s">
        <v>4</v>
      </c>
      <c r="E326" s="191" t="s">
        <v>217</v>
      </c>
      <c r="F326" s="190" t="s">
        <v>217</v>
      </c>
      <c r="G326" s="190" t="s">
        <v>203</v>
      </c>
      <c r="H326" s="190" t="s">
        <v>31</v>
      </c>
      <c r="I326" s="191" t="s">
        <v>517</v>
      </c>
      <c r="J326" s="190" t="s">
        <v>685</v>
      </c>
      <c r="K326" s="191" t="s">
        <v>213</v>
      </c>
      <c r="L326" s="192" t="s">
        <v>205</v>
      </c>
      <c r="M326" s="190" t="s">
        <v>206</v>
      </c>
      <c r="N326" s="190">
        <v>41500</v>
      </c>
      <c r="O326" s="190">
        <v>9726</v>
      </c>
      <c r="P326" s="190">
        <v>2</v>
      </c>
      <c r="Q326" s="190">
        <v>2024</v>
      </c>
      <c r="R326" s="190">
        <v>1</v>
      </c>
    </row>
    <row r="327" spans="1:18" x14ac:dyDescent="0.2">
      <c r="A327" s="190" t="s">
        <v>48</v>
      </c>
      <c r="B327" s="191" t="s">
        <v>211</v>
      </c>
      <c r="C327" s="191" t="s">
        <v>187</v>
      </c>
      <c r="D327" s="191" t="s">
        <v>4</v>
      </c>
      <c r="E327" s="191" t="s">
        <v>217</v>
      </c>
      <c r="F327" s="190" t="s">
        <v>217</v>
      </c>
      <c r="G327" s="190" t="s">
        <v>203</v>
      </c>
      <c r="H327" s="190" t="s">
        <v>31</v>
      </c>
      <c r="I327" s="191" t="s">
        <v>518</v>
      </c>
      <c r="J327" s="190" t="s">
        <v>674</v>
      </c>
      <c r="K327" s="191" t="s">
        <v>213</v>
      </c>
      <c r="L327" s="192" t="s">
        <v>205</v>
      </c>
      <c r="M327" s="190" t="s">
        <v>206</v>
      </c>
      <c r="N327" s="190">
        <v>41500</v>
      </c>
      <c r="O327" s="190">
        <v>10800</v>
      </c>
      <c r="P327" s="190">
        <v>2</v>
      </c>
      <c r="Q327" s="190">
        <v>2024</v>
      </c>
      <c r="R327" s="190">
        <v>1</v>
      </c>
    </row>
    <row r="328" spans="1:18" x14ac:dyDescent="0.2">
      <c r="A328" s="190" t="s">
        <v>48</v>
      </c>
      <c r="B328" s="191" t="s">
        <v>211</v>
      </c>
      <c r="C328" s="191" t="s">
        <v>187</v>
      </c>
      <c r="D328" s="191" t="s">
        <v>4</v>
      </c>
      <c r="E328" s="191" t="s">
        <v>217</v>
      </c>
      <c r="F328" s="190" t="s">
        <v>217</v>
      </c>
      <c r="G328" s="190" t="s">
        <v>203</v>
      </c>
      <c r="H328" s="190" t="s">
        <v>31</v>
      </c>
      <c r="I328" s="191" t="s">
        <v>434</v>
      </c>
      <c r="J328" s="190" t="s">
        <v>333</v>
      </c>
      <c r="K328" s="191" t="s">
        <v>213</v>
      </c>
      <c r="L328" s="192" t="s">
        <v>205</v>
      </c>
      <c r="M328" s="190" t="s">
        <v>218</v>
      </c>
      <c r="N328" s="190">
        <v>31000</v>
      </c>
      <c r="O328" s="190">
        <v>7800</v>
      </c>
      <c r="P328" s="190">
        <v>3</v>
      </c>
      <c r="Q328" s="190">
        <v>2022</v>
      </c>
      <c r="R328" s="190">
        <v>1</v>
      </c>
    </row>
    <row r="329" spans="1:18" x14ac:dyDescent="0.2">
      <c r="A329" s="190" t="s">
        <v>48</v>
      </c>
      <c r="B329" s="191" t="s">
        <v>211</v>
      </c>
      <c r="C329" s="191" t="s">
        <v>187</v>
      </c>
      <c r="D329" s="191" t="s">
        <v>4</v>
      </c>
      <c r="E329" s="191" t="s">
        <v>217</v>
      </c>
      <c r="F329" s="190" t="s">
        <v>217</v>
      </c>
      <c r="G329" s="190" t="s">
        <v>203</v>
      </c>
      <c r="H329" s="190" t="s">
        <v>34</v>
      </c>
      <c r="I329" s="191" t="s">
        <v>282</v>
      </c>
      <c r="J329" s="190" t="s">
        <v>290</v>
      </c>
      <c r="K329" s="191" t="s">
        <v>213</v>
      </c>
      <c r="L329" s="192" t="s">
        <v>205</v>
      </c>
      <c r="M329" s="190" t="s">
        <v>206</v>
      </c>
      <c r="N329" s="190">
        <v>41500</v>
      </c>
      <c r="O329" s="190">
        <v>10518</v>
      </c>
      <c r="P329" s="190">
        <v>2</v>
      </c>
      <c r="Q329" s="190">
        <v>2025</v>
      </c>
      <c r="R329" s="190">
        <v>3</v>
      </c>
    </row>
    <row r="330" spans="1:18" x14ac:dyDescent="0.2">
      <c r="A330" s="190" t="s">
        <v>48</v>
      </c>
      <c r="B330" s="191" t="s">
        <v>211</v>
      </c>
      <c r="C330" s="191" t="s">
        <v>187</v>
      </c>
      <c r="D330" s="191" t="s">
        <v>4</v>
      </c>
      <c r="E330" s="191" t="s">
        <v>217</v>
      </c>
      <c r="F330" s="190" t="s">
        <v>217</v>
      </c>
      <c r="G330" s="190" t="s">
        <v>203</v>
      </c>
      <c r="H330" s="190" t="s">
        <v>34</v>
      </c>
      <c r="I330" s="191" t="s">
        <v>526</v>
      </c>
      <c r="J330" s="190" t="s">
        <v>680</v>
      </c>
      <c r="K330" s="191" t="s">
        <v>213</v>
      </c>
      <c r="L330" s="192" t="s">
        <v>205</v>
      </c>
      <c r="M330" s="190" t="s">
        <v>206</v>
      </c>
      <c r="N330" s="190">
        <v>35000</v>
      </c>
      <c r="O330" s="190">
        <v>10518</v>
      </c>
      <c r="P330" s="190">
        <v>2</v>
      </c>
      <c r="Q330" s="190">
        <v>2024</v>
      </c>
      <c r="R330" s="190">
        <v>1</v>
      </c>
    </row>
    <row r="331" spans="1:18" x14ac:dyDescent="0.2">
      <c r="A331" s="190" t="s">
        <v>48</v>
      </c>
      <c r="B331" s="191" t="s">
        <v>211</v>
      </c>
      <c r="C331" s="191" t="s">
        <v>187</v>
      </c>
      <c r="D331" s="191" t="s">
        <v>4</v>
      </c>
      <c r="E331" s="191" t="s">
        <v>217</v>
      </c>
      <c r="F331" s="190" t="s">
        <v>217</v>
      </c>
      <c r="G331" s="190" t="s">
        <v>203</v>
      </c>
      <c r="H331" s="190" t="s">
        <v>34</v>
      </c>
      <c r="I331" s="191" t="s">
        <v>531</v>
      </c>
      <c r="J331" s="190" t="s">
        <v>686</v>
      </c>
      <c r="K331" s="191" t="s">
        <v>213</v>
      </c>
      <c r="L331" s="192" t="s">
        <v>205</v>
      </c>
      <c r="M331" s="190" t="s">
        <v>218</v>
      </c>
      <c r="N331" s="190">
        <v>31000</v>
      </c>
      <c r="O331" s="190">
        <v>7360</v>
      </c>
      <c r="P331" s="190">
        <v>2</v>
      </c>
      <c r="Q331" s="190">
        <v>2022</v>
      </c>
      <c r="R331" s="190">
        <v>1</v>
      </c>
    </row>
    <row r="332" spans="1:18" x14ac:dyDescent="0.2">
      <c r="A332" s="190" t="s">
        <v>48</v>
      </c>
      <c r="B332" s="191" t="s">
        <v>211</v>
      </c>
      <c r="C332" s="191" t="s">
        <v>187</v>
      </c>
      <c r="D332" s="191" t="s">
        <v>4</v>
      </c>
      <c r="E332" s="191" t="s">
        <v>217</v>
      </c>
      <c r="F332" s="190" t="s">
        <v>217</v>
      </c>
      <c r="G332" s="190" t="s">
        <v>203</v>
      </c>
      <c r="H332" s="190" t="s">
        <v>34</v>
      </c>
      <c r="I332" s="191" t="s">
        <v>534</v>
      </c>
      <c r="J332" s="190" t="s">
        <v>687</v>
      </c>
      <c r="K332" s="191" t="s">
        <v>213</v>
      </c>
      <c r="L332" s="192" t="s">
        <v>205</v>
      </c>
      <c r="M332" s="190" t="s">
        <v>206</v>
      </c>
      <c r="N332" s="190">
        <v>41500</v>
      </c>
      <c r="O332" s="190">
        <v>10518</v>
      </c>
      <c r="P332" s="190">
        <v>2</v>
      </c>
      <c r="Q332" s="190">
        <v>2024</v>
      </c>
      <c r="R332" s="190">
        <v>2</v>
      </c>
    </row>
    <row r="333" spans="1:18" x14ac:dyDescent="0.2">
      <c r="A333" s="190" t="s">
        <v>48</v>
      </c>
      <c r="B333" s="191" t="s">
        <v>211</v>
      </c>
      <c r="C333" s="191" t="s">
        <v>187</v>
      </c>
      <c r="D333" s="191" t="s">
        <v>4</v>
      </c>
      <c r="E333" s="191" t="s">
        <v>268</v>
      </c>
      <c r="F333" s="190" t="s">
        <v>268</v>
      </c>
      <c r="G333" s="190" t="s">
        <v>208</v>
      </c>
      <c r="H333" s="190" t="s">
        <v>39</v>
      </c>
      <c r="I333" s="191" t="s">
        <v>499</v>
      </c>
      <c r="J333" s="190" t="s">
        <v>688</v>
      </c>
      <c r="K333" s="191" t="s">
        <v>213</v>
      </c>
      <c r="L333" s="192" t="s">
        <v>205</v>
      </c>
      <c r="M333" s="190" t="s">
        <v>210</v>
      </c>
      <c r="N333" s="190">
        <v>3510</v>
      </c>
      <c r="O333" s="190">
        <v>2771</v>
      </c>
      <c r="P333" s="190">
        <v>3</v>
      </c>
      <c r="Q333" s="190">
        <v>2025</v>
      </c>
      <c r="R333" s="190">
        <v>1</v>
      </c>
    </row>
    <row r="334" spans="1:18" x14ac:dyDescent="0.2">
      <c r="A334" s="190" t="s">
        <v>48</v>
      </c>
      <c r="B334" s="191" t="s">
        <v>211</v>
      </c>
      <c r="C334" s="191" t="s">
        <v>187</v>
      </c>
      <c r="D334" s="191" t="s">
        <v>4</v>
      </c>
      <c r="E334" s="191" t="s">
        <v>372</v>
      </c>
      <c r="F334" s="190" t="s">
        <v>372</v>
      </c>
      <c r="G334" s="190" t="s">
        <v>208</v>
      </c>
      <c r="H334" s="190" t="s">
        <v>450</v>
      </c>
      <c r="I334" s="191" t="s">
        <v>465</v>
      </c>
      <c r="J334" s="190" t="s">
        <v>738</v>
      </c>
      <c r="K334" s="191" t="s">
        <v>373</v>
      </c>
      <c r="L334" s="192" t="s">
        <v>205</v>
      </c>
      <c r="M334" s="190" t="s">
        <v>234</v>
      </c>
      <c r="N334" s="190">
        <v>5443</v>
      </c>
      <c r="O334" s="190">
        <v>6700</v>
      </c>
      <c r="P334" s="190">
        <v>5</v>
      </c>
      <c r="Q334" s="190">
        <v>2024</v>
      </c>
      <c r="R334" s="190">
        <v>1</v>
      </c>
    </row>
    <row r="335" spans="1:18" x14ac:dyDescent="0.2">
      <c r="A335" s="190" t="s">
        <v>48</v>
      </c>
      <c r="B335" s="191" t="s">
        <v>211</v>
      </c>
      <c r="C335" s="191" t="s">
        <v>187</v>
      </c>
      <c r="D335" s="191" t="s">
        <v>4</v>
      </c>
      <c r="E335" s="191" t="s">
        <v>219</v>
      </c>
      <c r="F335" s="190" t="s">
        <v>636</v>
      </c>
      <c r="G335" s="190" t="s">
        <v>203</v>
      </c>
      <c r="H335" s="190" t="s">
        <v>23</v>
      </c>
      <c r="I335" s="191" t="s">
        <v>479</v>
      </c>
      <c r="J335" s="190" t="s">
        <v>479</v>
      </c>
      <c r="K335" s="191" t="s">
        <v>213</v>
      </c>
      <c r="L335" s="192" t="s">
        <v>205</v>
      </c>
      <c r="M335" s="190" t="s">
        <v>218</v>
      </c>
      <c r="N335" s="190">
        <v>48000</v>
      </c>
      <c r="O335" s="190">
        <v>11800</v>
      </c>
      <c r="P335" s="190">
        <v>2</v>
      </c>
      <c r="Q335" s="190">
        <v>2025</v>
      </c>
      <c r="R335" s="190">
        <v>1</v>
      </c>
    </row>
    <row r="336" spans="1:18" x14ac:dyDescent="0.2">
      <c r="A336" s="190" t="s">
        <v>48</v>
      </c>
      <c r="B336" s="191" t="s">
        <v>211</v>
      </c>
      <c r="C336" s="191" t="s">
        <v>187</v>
      </c>
      <c r="D336" s="191" t="s">
        <v>4</v>
      </c>
      <c r="E336" s="191" t="s">
        <v>219</v>
      </c>
      <c r="F336" s="190" t="s">
        <v>217</v>
      </c>
      <c r="G336" s="190" t="s">
        <v>203</v>
      </c>
      <c r="H336" s="190" t="s">
        <v>23</v>
      </c>
      <c r="I336" s="191" t="s">
        <v>96</v>
      </c>
      <c r="J336" s="190" t="s">
        <v>96</v>
      </c>
      <c r="K336" s="191" t="s">
        <v>213</v>
      </c>
      <c r="L336" s="192" t="s">
        <v>205</v>
      </c>
      <c r="M336" s="190" t="s">
        <v>206</v>
      </c>
      <c r="N336" s="190">
        <v>41000</v>
      </c>
      <c r="O336" s="190">
        <v>11800</v>
      </c>
      <c r="P336" s="190">
        <v>2</v>
      </c>
      <c r="Q336" s="190">
        <v>2025</v>
      </c>
      <c r="R336" s="190">
        <v>5</v>
      </c>
    </row>
    <row r="337" spans="1:18" x14ac:dyDescent="0.2">
      <c r="A337" s="190" t="s">
        <v>48</v>
      </c>
      <c r="B337" s="191" t="s">
        <v>211</v>
      </c>
      <c r="C337" s="191" t="s">
        <v>187</v>
      </c>
      <c r="D337" s="191" t="s">
        <v>4</v>
      </c>
      <c r="E337" s="191" t="s">
        <v>219</v>
      </c>
      <c r="F337" s="190" t="s">
        <v>646</v>
      </c>
      <c r="G337" s="190" t="s">
        <v>203</v>
      </c>
      <c r="H337" s="190" t="s">
        <v>23</v>
      </c>
      <c r="I337" s="191" t="s">
        <v>480</v>
      </c>
      <c r="J337" s="190" t="s">
        <v>480</v>
      </c>
      <c r="K337" s="191" t="s">
        <v>213</v>
      </c>
      <c r="L337" s="192" t="s">
        <v>205</v>
      </c>
      <c r="M337" s="190" t="s">
        <v>206</v>
      </c>
      <c r="N337" s="190">
        <v>41000</v>
      </c>
      <c r="O337" s="190">
        <v>11800</v>
      </c>
      <c r="P337" s="190">
        <v>2</v>
      </c>
      <c r="Q337" s="190">
        <v>2024</v>
      </c>
      <c r="R337" s="190">
        <v>1</v>
      </c>
    </row>
    <row r="338" spans="1:18" x14ac:dyDescent="0.2">
      <c r="A338" s="190" t="s">
        <v>48</v>
      </c>
      <c r="B338" s="191" t="s">
        <v>211</v>
      </c>
      <c r="C338" s="191" t="s">
        <v>187</v>
      </c>
      <c r="D338" s="191" t="s">
        <v>4</v>
      </c>
      <c r="E338" s="191" t="s">
        <v>219</v>
      </c>
      <c r="F338" s="190" t="s">
        <v>219</v>
      </c>
      <c r="G338" s="190" t="s">
        <v>208</v>
      </c>
      <c r="H338" s="190" t="s">
        <v>35</v>
      </c>
      <c r="I338" s="191" t="s">
        <v>91</v>
      </c>
      <c r="J338" s="190" t="s">
        <v>271</v>
      </c>
      <c r="K338" s="191" t="s">
        <v>213</v>
      </c>
      <c r="L338" s="192" t="s">
        <v>205</v>
      </c>
      <c r="M338" s="190" t="s">
        <v>210</v>
      </c>
      <c r="N338" s="190">
        <v>6240</v>
      </c>
      <c r="O338" s="190">
        <v>2771</v>
      </c>
      <c r="P338" s="190">
        <v>3</v>
      </c>
      <c r="Q338" s="190">
        <v>2025</v>
      </c>
      <c r="R338" s="190">
        <v>1</v>
      </c>
    </row>
    <row r="339" spans="1:18" x14ac:dyDescent="0.2">
      <c r="A339" s="190" t="s">
        <v>48</v>
      </c>
      <c r="B339" s="191" t="s">
        <v>211</v>
      </c>
      <c r="C339" s="191" t="s">
        <v>187</v>
      </c>
      <c r="D339" s="191" t="s">
        <v>4</v>
      </c>
      <c r="E339" s="191" t="s">
        <v>219</v>
      </c>
      <c r="F339" s="190" t="s">
        <v>219</v>
      </c>
      <c r="G339" s="190" t="s">
        <v>208</v>
      </c>
      <c r="H339" s="190" t="s">
        <v>34</v>
      </c>
      <c r="I339" s="191" t="s">
        <v>522</v>
      </c>
      <c r="J339" s="190" t="s">
        <v>626</v>
      </c>
      <c r="K339" s="191" t="s">
        <v>213</v>
      </c>
      <c r="L339" s="192" t="s">
        <v>205</v>
      </c>
      <c r="M339" s="190" t="s">
        <v>210</v>
      </c>
      <c r="N339" s="190">
        <v>7510</v>
      </c>
      <c r="O339" s="190">
        <v>2672</v>
      </c>
      <c r="P339" s="190">
        <v>3</v>
      </c>
      <c r="Q339" s="190">
        <v>2025</v>
      </c>
      <c r="R339" s="190">
        <v>2</v>
      </c>
    </row>
    <row r="340" spans="1:18" x14ac:dyDescent="0.2">
      <c r="A340" s="190" t="s">
        <v>48</v>
      </c>
      <c r="B340" s="191" t="s">
        <v>211</v>
      </c>
      <c r="C340" s="191" t="s">
        <v>187</v>
      </c>
      <c r="D340" s="191" t="s">
        <v>4</v>
      </c>
      <c r="E340" s="191" t="s">
        <v>219</v>
      </c>
      <c r="F340" s="190" t="s">
        <v>219</v>
      </c>
      <c r="G340" s="190" t="s">
        <v>208</v>
      </c>
      <c r="H340" s="190" t="s">
        <v>34</v>
      </c>
      <c r="I340" s="191" t="s">
        <v>400</v>
      </c>
      <c r="J340" s="190" t="s">
        <v>72</v>
      </c>
      <c r="K340" s="191" t="s">
        <v>213</v>
      </c>
      <c r="L340" s="192" t="s">
        <v>205</v>
      </c>
      <c r="M340" s="190" t="s">
        <v>210</v>
      </c>
      <c r="N340" s="190">
        <v>10530</v>
      </c>
      <c r="O340" s="190">
        <v>3298</v>
      </c>
      <c r="P340" s="190">
        <v>3</v>
      </c>
      <c r="Q340" s="190">
        <v>2025</v>
      </c>
      <c r="R340" s="190">
        <v>1</v>
      </c>
    </row>
    <row r="341" spans="1:18" x14ac:dyDescent="0.2">
      <c r="A341" s="190" t="s">
        <v>48</v>
      </c>
      <c r="B341" s="191" t="s">
        <v>211</v>
      </c>
      <c r="C341" s="191" t="s">
        <v>187</v>
      </c>
      <c r="D341" s="191" t="s">
        <v>4</v>
      </c>
      <c r="E341" s="191" t="s">
        <v>219</v>
      </c>
      <c r="F341" s="190" t="s">
        <v>219</v>
      </c>
      <c r="G341" s="190" t="s">
        <v>203</v>
      </c>
      <c r="H341" s="190" t="s">
        <v>40</v>
      </c>
      <c r="I341" s="191" t="s">
        <v>304</v>
      </c>
      <c r="J341" s="190" t="s">
        <v>423</v>
      </c>
      <c r="K341" s="191" t="s">
        <v>213</v>
      </c>
      <c r="L341" s="192" t="s">
        <v>205</v>
      </c>
      <c r="M341" s="190" t="s">
        <v>206</v>
      </c>
      <c r="N341" s="190">
        <v>41000</v>
      </c>
      <c r="O341" s="190">
        <v>11600</v>
      </c>
      <c r="P341" s="190">
        <v>2</v>
      </c>
      <c r="Q341" s="190">
        <v>2024</v>
      </c>
      <c r="R341" s="190">
        <v>3</v>
      </c>
    </row>
    <row r="342" spans="1:18" x14ac:dyDescent="0.2">
      <c r="A342" s="190" t="s">
        <v>48</v>
      </c>
      <c r="B342" s="191" t="s">
        <v>211</v>
      </c>
      <c r="C342" s="191" t="s">
        <v>187</v>
      </c>
      <c r="D342" s="191" t="s">
        <v>4</v>
      </c>
      <c r="E342" s="191" t="s">
        <v>219</v>
      </c>
      <c r="F342" s="190" t="s">
        <v>219</v>
      </c>
      <c r="G342" s="190" t="s">
        <v>203</v>
      </c>
      <c r="H342" s="190" t="s">
        <v>40</v>
      </c>
      <c r="I342" s="191" t="s">
        <v>304</v>
      </c>
      <c r="J342" s="190" t="s">
        <v>689</v>
      </c>
      <c r="K342" s="191" t="s">
        <v>213</v>
      </c>
      <c r="L342" s="192" t="s">
        <v>205</v>
      </c>
      <c r="M342" s="190" t="s">
        <v>206</v>
      </c>
      <c r="N342" s="190">
        <v>41000</v>
      </c>
      <c r="O342" s="190">
        <v>11600</v>
      </c>
      <c r="P342" s="190">
        <v>2</v>
      </c>
      <c r="Q342" s="190">
        <v>2024</v>
      </c>
      <c r="R342" s="190">
        <v>5</v>
      </c>
    </row>
    <row r="343" spans="1:18" x14ac:dyDescent="0.2">
      <c r="A343" s="190" t="s">
        <v>48</v>
      </c>
      <c r="B343" s="191" t="s">
        <v>211</v>
      </c>
      <c r="C343" s="191" t="s">
        <v>187</v>
      </c>
      <c r="D343" s="191" t="s">
        <v>4</v>
      </c>
      <c r="E343" s="191" t="s">
        <v>219</v>
      </c>
      <c r="F343" s="190" t="s">
        <v>219</v>
      </c>
      <c r="G343" s="190" t="s">
        <v>203</v>
      </c>
      <c r="H343" s="190" t="s">
        <v>40</v>
      </c>
      <c r="I343" s="191" t="s">
        <v>304</v>
      </c>
      <c r="J343" s="190" t="s">
        <v>625</v>
      </c>
      <c r="K343" s="191" t="s">
        <v>213</v>
      </c>
      <c r="L343" s="192" t="s">
        <v>205</v>
      </c>
      <c r="M343" s="190" t="s">
        <v>206</v>
      </c>
      <c r="N343" s="190">
        <v>41000</v>
      </c>
      <c r="O343" s="190">
        <v>11600</v>
      </c>
      <c r="P343" s="190">
        <v>2</v>
      </c>
      <c r="Q343" s="190">
        <v>2024</v>
      </c>
      <c r="R343" s="190">
        <v>1</v>
      </c>
    </row>
    <row r="344" spans="1:18" x14ac:dyDescent="0.2">
      <c r="A344" s="190" t="s">
        <v>48</v>
      </c>
      <c r="B344" s="191" t="s">
        <v>211</v>
      </c>
      <c r="C344" s="191" t="s">
        <v>187</v>
      </c>
      <c r="D344" s="191" t="s">
        <v>4</v>
      </c>
      <c r="E344" s="191" t="s">
        <v>219</v>
      </c>
      <c r="F344" s="190" t="s">
        <v>219</v>
      </c>
      <c r="G344" s="190" t="s">
        <v>203</v>
      </c>
      <c r="H344" s="190" t="s">
        <v>40</v>
      </c>
      <c r="I344" s="191" t="s">
        <v>304</v>
      </c>
      <c r="J344" s="190" t="s">
        <v>625</v>
      </c>
      <c r="K344" s="191" t="s">
        <v>213</v>
      </c>
      <c r="L344" s="192" t="s">
        <v>205</v>
      </c>
      <c r="M344" s="190" t="s">
        <v>206</v>
      </c>
      <c r="N344" s="190">
        <v>41000</v>
      </c>
      <c r="O344" s="190">
        <v>11600</v>
      </c>
      <c r="P344" s="190">
        <v>2</v>
      </c>
      <c r="Q344" s="190">
        <v>2025</v>
      </c>
      <c r="R344" s="190">
        <v>5</v>
      </c>
    </row>
    <row r="345" spans="1:18" x14ac:dyDescent="0.2">
      <c r="A345" s="190" t="s">
        <v>48</v>
      </c>
      <c r="B345" s="191" t="s">
        <v>211</v>
      </c>
      <c r="C345" s="191" t="s">
        <v>187</v>
      </c>
      <c r="D345" s="191" t="s">
        <v>4</v>
      </c>
      <c r="E345" s="191" t="s">
        <v>219</v>
      </c>
      <c r="F345" s="190" t="s">
        <v>219</v>
      </c>
      <c r="G345" s="190" t="s">
        <v>203</v>
      </c>
      <c r="H345" s="190" t="s">
        <v>35</v>
      </c>
      <c r="I345" s="191" t="s">
        <v>92</v>
      </c>
      <c r="J345" s="190" t="s">
        <v>273</v>
      </c>
      <c r="K345" s="191" t="s">
        <v>213</v>
      </c>
      <c r="L345" s="192" t="s">
        <v>205</v>
      </c>
      <c r="M345" s="190" t="s">
        <v>210</v>
      </c>
      <c r="N345" s="190">
        <v>16000</v>
      </c>
      <c r="O345" s="190">
        <v>3760</v>
      </c>
      <c r="P345" s="190">
        <v>3</v>
      </c>
      <c r="Q345" s="190">
        <v>2024</v>
      </c>
      <c r="R345" s="190">
        <v>1</v>
      </c>
    </row>
    <row r="346" spans="1:18" x14ac:dyDescent="0.2">
      <c r="A346" s="190" t="s">
        <v>48</v>
      </c>
      <c r="B346" s="191" t="s">
        <v>211</v>
      </c>
      <c r="C346" s="191" t="s">
        <v>187</v>
      </c>
      <c r="D346" s="191" t="s">
        <v>4</v>
      </c>
      <c r="E346" s="191" t="s">
        <v>219</v>
      </c>
      <c r="F346" s="190" t="s">
        <v>219</v>
      </c>
      <c r="G346" s="190" t="s">
        <v>203</v>
      </c>
      <c r="H346" s="190" t="s">
        <v>23</v>
      </c>
      <c r="I346" s="191" t="s">
        <v>96</v>
      </c>
      <c r="J346" s="190" t="s">
        <v>96</v>
      </c>
      <c r="K346" s="191" t="s">
        <v>213</v>
      </c>
      <c r="L346" s="192" t="s">
        <v>205</v>
      </c>
      <c r="M346" s="190" t="s">
        <v>206</v>
      </c>
      <c r="N346" s="190">
        <v>41000</v>
      </c>
      <c r="O346" s="190">
        <v>11800</v>
      </c>
      <c r="P346" s="190">
        <v>2</v>
      </c>
      <c r="Q346" s="190">
        <v>2025</v>
      </c>
      <c r="R346" s="190">
        <v>1</v>
      </c>
    </row>
    <row r="347" spans="1:18" x14ac:dyDescent="0.2">
      <c r="A347" s="190" t="s">
        <v>48</v>
      </c>
      <c r="B347" s="191" t="s">
        <v>211</v>
      </c>
      <c r="C347" s="191" t="s">
        <v>187</v>
      </c>
      <c r="D347" s="191" t="s">
        <v>4</v>
      </c>
      <c r="E347" s="191" t="s">
        <v>219</v>
      </c>
      <c r="F347" s="190" t="s">
        <v>219</v>
      </c>
      <c r="G347" s="190" t="s">
        <v>203</v>
      </c>
      <c r="H347" s="190" t="s">
        <v>23</v>
      </c>
      <c r="I347" s="191" t="s">
        <v>479</v>
      </c>
      <c r="J347" s="190" t="s">
        <v>479</v>
      </c>
      <c r="K347" s="191" t="s">
        <v>213</v>
      </c>
      <c r="L347" s="192" t="s">
        <v>205</v>
      </c>
      <c r="M347" s="190" t="s">
        <v>218</v>
      </c>
      <c r="N347" s="190">
        <v>48000</v>
      </c>
      <c r="O347" s="190">
        <v>11800</v>
      </c>
      <c r="P347" s="190">
        <v>2</v>
      </c>
      <c r="Q347" s="190">
        <v>2025</v>
      </c>
      <c r="R347" s="190">
        <v>1</v>
      </c>
    </row>
    <row r="348" spans="1:18" x14ac:dyDescent="0.2">
      <c r="A348" s="190" t="s">
        <v>48</v>
      </c>
      <c r="B348" s="191" t="s">
        <v>211</v>
      </c>
      <c r="C348" s="191" t="s">
        <v>187</v>
      </c>
      <c r="D348" s="191" t="s">
        <v>4</v>
      </c>
      <c r="E348" s="191" t="s">
        <v>219</v>
      </c>
      <c r="F348" s="190" t="s">
        <v>219</v>
      </c>
      <c r="G348" s="190" t="s">
        <v>203</v>
      </c>
      <c r="H348" s="190" t="s">
        <v>23</v>
      </c>
      <c r="I348" s="191" t="s">
        <v>480</v>
      </c>
      <c r="J348" s="190" t="s">
        <v>480</v>
      </c>
      <c r="K348" s="191" t="s">
        <v>213</v>
      </c>
      <c r="L348" s="192" t="s">
        <v>205</v>
      </c>
      <c r="M348" s="190" t="s">
        <v>206</v>
      </c>
      <c r="N348" s="190">
        <v>41000</v>
      </c>
      <c r="O348" s="190">
        <v>11800</v>
      </c>
      <c r="P348" s="190">
        <v>2</v>
      </c>
      <c r="Q348" s="190">
        <v>2025</v>
      </c>
      <c r="R348" s="190">
        <v>2</v>
      </c>
    </row>
    <row r="349" spans="1:18" x14ac:dyDescent="0.2">
      <c r="A349" s="190" t="s">
        <v>48</v>
      </c>
      <c r="B349" s="191" t="s">
        <v>211</v>
      </c>
      <c r="C349" s="191" t="s">
        <v>187</v>
      </c>
      <c r="D349" s="191" t="s">
        <v>4</v>
      </c>
      <c r="E349" s="191" t="s">
        <v>219</v>
      </c>
      <c r="F349" s="190" t="s">
        <v>219</v>
      </c>
      <c r="G349" s="190" t="s">
        <v>203</v>
      </c>
      <c r="H349" s="190" t="s">
        <v>72</v>
      </c>
      <c r="I349" s="191" t="s">
        <v>489</v>
      </c>
      <c r="J349" s="190" t="s">
        <v>333</v>
      </c>
      <c r="K349" s="191" t="s">
        <v>213</v>
      </c>
      <c r="L349" s="192" t="s">
        <v>205</v>
      </c>
      <c r="M349" s="190" t="s">
        <v>206</v>
      </c>
      <c r="N349" s="190">
        <v>41500</v>
      </c>
      <c r="O349" s="190">
        <v>12980</v>
      </c>
      <c r="P349" s="190">
        <v>2</v>
      </c>
      <c r="Q349" s="190">
        <v>2023</v>
      </c>
      <c r="R349" s="190">
        <v>1</v>
      </c>
    </row>
    <row r="350" spans="1:18" x14ac:dyDescent="0.2">
      <c r="A350" s="190" t="s">
        <v>48</v>
      </c>
      <c r="B350" s="191" t="s">
        <v>211</v>
      </c>
      <c r="C350" s="191" t="s">
        <v>187</v>
      </c>
      <c r="D350" s="191" t="s">
        <v>4</v>
      </c>
      <c r="E350" s="191" t="s">
        <v>219</v>
      </c>
      <c r="F350" s="190" t="s">
        <v>219</v>
      </c>
      <c r="G350" s="190" t="s">
        <v>203</v>
      </c>
      <c r="H350" s="190" t="s">
        <v>31</v>
      </c>
      <c r="I350" s="191" t="s">
        <v>515</v>
      </c>
      <c r="J350" s="190" t="s">
        <v>674</v>
      </c>
      <c r="K350" s="191" t="s">
        <v>213</v>
      </c>
      <c r="L350" s="192" t="s">
        <v>205</v>
      </c>
      <c r="M350" s="190" t="s">
        <v>218</v>
      </c>
      <c r="N350" s="190">
        <v>51000</v>
      </c>
      <c r="O350" s="190">
        <v>10824</v>
      </c>
      <c r="P350" s="190">
        <v>2</v>
      </c>
      <c r="Q350" s="190">
        <v>2022</v>
      </c>
      <c r="R350" s="190">
        <v>1</v>
      </c>
    </row>
    <row r="351" spans="1:18" x14ac:dyDescent="0.2">
      <c r="A351" s="190" t="s">
        <v>48</v>
      </c>
      <c r="B351" s="191" t="s">
        <v>211</v>
      </c>
      <c r="C351" s="191" t="s">
        <v>187</v>
      </c>
      <c r="D351" s="191" t="s">
        <v>4</v>
      </c>
      <c r="E351" s="191" t="s">
        <v>219</v>
      </c>
      <c r="F351" s="190" t="s">
        <v>219</v>
      </c>
      <c r="G351" s="190" t="s">
        <v>203</v>
      </c>
      <c r="H351" s="190" t="s">
        <v>31</v>
      </c>
      <c r="I351" s="191" t="s">
        <v>387</v>
      </c>
      <c r="J351" s="190" t="s">
        <v>412</v>
      </c>
      <c r="K351" s="191" t="s">
        <v>213</v>
      </c>
      <c r="L351" s="192" t="s">
        <v>205</v>
      </c>
      <c r="M351" s="190" t="s">
        <v>206</v>
      </c>
      <c r="N351" s="190">
        <v>25000</v>
      </c>
      <c r="O351" s="190">
        <v>10800</v>
      </c>
      <c r="P351" s="190">
        <v>2</v>
      </c>
      <c r="Q351" s="190">
        <v>2024</v>
      </c>
      <c r="R351" s="190">
        <v>1</v>
      </c>
    </row>
    <row r="352" spans="1:18" x14ac:dyDescent="0.2">
      <c r="A352" s="190" t="s">
        <v>48</v>
      </c>
      <c r="B352" s="191" t="s">
        <v>211</v>
      </c>
      <c r="C352" s="191" t="s">
        <v>187</v>
      </c>
      <c r="D352" s="191" t="s">
        <v>4</v>
      </c>
      <c r="E352" s="191" t="s">
        <v>219</v>
      </c>
      <c r="F352" s="190" t="s">
        <v>219</v>
      </c>
      <c r="G352" s="190" t="s">
        <v>203</v>
      </c>
      <c r="H352" s="190" t="s">
        <v>31</v>
      </c>
      <c r="I352" s="191" t="s">
        <v>317</v>
      </c>
      <c r="J352" s="190" t="s">
        <v>674</v>
      </c>
      <c r="K352" s="191" t="s">
        <v>213</v>
      </c>
      <c r="L352" s="192" t="s">
        <v>205</v>
      </c>
      <c r="M352" s="190" t="s">
        <v>206</v>
      </c>
      <c r="N352" s="190">
        <v>41500</v>
      </c>
      <c r="O352" s="190">
        <v>10800</v>
      </c>
      <c r="P352" s="190">
        <v>2</v>
      </c>
      <c r="Q352" s="190">
        <v>2024</v>
      </c>
      <c r="R352" s="190">
        <v>2</v>
      </c>
    </row>
    <row r="353" spans="1:18" x14ac:dyDescent="0.2">
      <c r="A353" s="190" t="s">
        <v>48</v>
      </c>
      <c r="B353" s="191" t="s">
        <v>211</v>
      </c>
      <c r="C353" s="191" t="s">
        <v>187</v>
      </c>
      <c r="D353" s="191" t="s">
        <v>4</v>
      </c>
      <c r="E353" s="191" t="s">
        <v>219</v>
      </c>
      <c r="F353" s="190" t="s">
        <v>219</v>
      </c>
      <c r="G353" s="190" t="s">
        <v>203</v>
      </c>
      <c r="H353" s="190" t="s">
        <v>31</v>
      </c>
      <c r="I353" s="191" t="s">
        <v>317</v>
      </c>
      <c r="J353" s="190" t="s">
        <v>412</v>
      </c>
      <c r="K353" s="191" t="s">
        <v>213</v>
      </c>
      <c r="L353" s="192" t="s">
        <v>205</v>
      </c>
      <c r="M353" s="190" t="s">
        <v>206</v>
      </c>
      <c r="N353" s="190">
        <v>41500</v>
      </c>
      <c r="O353" s="190">
        <v>10800</v>
      </c>
      <c r="P353" s="190">
        <v>2</v>
      </c>
      <c r="Q353" s="190">
        <v>2024</v>
      </c>
      <c r="R353" s="190">
        <v>1</v>
      </c>
    </row>
    <row r="354" spans="1:18" x14ac:dyDescent="0.2">
      <c r="A354" s="190" t="s">
        <v>48</v>
      </c>
      <c r="B354" s="191" t="s">
        <v>211</v>
      </c>
      <c r="C354" s="191" t="s">
        <v>187</v>
      </c>
      <c r="D354" s="191" t="s">
        <v>4</v>
      </c>
      <c r="E354" s="191" t="s">
        <v>219</v>
      </c>
      <c r="F354" s="190" t="s">
        <v>219</v>
      </c>
      <c r="G354" s="190" t="s">
        <v>203</v>
      </c>
      <c r="H354" s="190" t="s">
        <v>31</v>
      </c>
      <c r="I354" s="191" t="s">
        <v>318</v>
      </c>
      <c r="J354" s="190" t="s">
        <v>318</v>
      </c>
      <c r="K354" s="191" t="s">
        <v>213</v>
      </c>
      <c r="L354" s="192" t="s">
        <v>205</v>
      </c>
      <c r="M354" s="190" t="s">
        <v>218</v>
      </c>
      <c r="N354" s="190">
        <v>48000</v>
      </c>
      <c r="O354" s="190">
        <v>13000</v>
      </c>
      <c r="P354" s="190">
        <v>2</v>
      </c>
      <c r="Q354" s="190">
        <v>2024</v>
      </c>
      <c r="R354" s="190">
        <v>8</v>
      </c>
    </row>
    <row r="355" spans="1:18" x14ac:dyDescent="0.2">
      <c r="A355" s="190" t="s">
        <v>48</v>
      </c>
      <c r="B355" s="191" t="s">
        <v>211</v>
      </c>
      <c r="C355" s="191" t="s">
        <v>187</v>
      </c>
      <c r="D355" s="191" t="s">
        <v>4</v>
      </c>
      <c r="E355" s="191" t="s">
        <v>219</v>
      </c>
      <c r="F355" s="190" t="s">
        <v>219</v>
      </c>
      <c r="G355" s="190" t="s">
        <v>203</v>
      </c>
      <c r="H355" s="190" t="s">
        <v>31</v>
      </c>
      <c r="I355" s="191" t="s">
        <v>414</v>
      </c>
      <c r="J355" s="190" t="s">
        <v>674</v>
      </c>
      <c r="K355" s="191" t="s">
        <v>213</v>
      </c>
      <c r="L355" s="192" t="s">
        <v>205</v>
      </c>
      <c r="M355" s="190" t="s">
        <v>218</v>
      </c>
      <c r="N355" s="190">
        <v>51000</v>
      </c>
      <c r="O355" s="190">
        <v>10800</v>
      </c>
      <c r="P355" s="190">
        <v>2</v>
      </c>
      <c r="Q355" s="190">
        <v>2023</v>
      </c>
      <c r="R355" s="190">
        <v>1</v>
      </c>
    </row>
    <row r="356" spans="1:18" x14ac:dyDescent="0.2">
      <c r="A356" s="190" t="s">
        <v>48</v>
      </c>
      <c r="B356" s="191" t="s">
        <v>211</v>
      </c>
      <c r="C356" s="191" t="s">
        <v>187</v>
      </c>
      <c r="D356" s="191" t="s">
        <v>4</v>
      </c>
      <c r="E356" s="191" t="s">
        <v>219</v>
      </c>
      <c r="F356" s="190" t="s">
        <v>219</v>
      </c>
      <c r="G356" s="190" t="s">
        <v>203</v>
      </c>
      <c r="H356" s="190" t="s">
        <v>31</v>
      </c>
      <c r="I356" s="191" t="s">
        <v>414</v>
      </c>
      <c r="J356" s="190" t="s">
        <v>674</v>
      </c>
      <c r="K356" s="191" t="s">
        <v>213</v>
      </c>
      <c r="L356" s="192" t="s">
        <v>205</v>
      </c>
      <c r="M356" s="190" t="s">
        <v>218</v>
      </c>
      <c r="N356" s="190">
        <v>51000</v>
      </c>
      <c r="O356" s="190">
        <v>10800</v>
      </c>
      <c r="P356" s="190">
        <v>2</v>
      </c>
      <c r="Q356" s="190">
        <v>2024</v>
      </c>
      <c r="R356" s="190">
        <v>1</v>
      </c>
    </row>
    <row r="357" spans="1:18" x14ac:dyDescent="0.2">
      <c r="A357" s="190" t="s">
        <v>48</v>
      </c>
      <c r="B357" s="191" t="s">
        <v>211</v>
      </c>
      <c r="C357" s="191" t="s">
        <v>187</v>
      </c>
      <c r="D357" s="191" t="s">
        <v>4</v>
      </c>
      <c r="E357" s="191" t="s">
        <v>219</v>
      </c>
      <c r="F357" s="190" t="s">
        <v>219</v>
      </c>
      <c r="G357" s="190" t="s">
        <v>203</v>
      </c>
      <c r="H357" s="190" t="s">
        <v>31</v>
      </c>
      <c r="I357" s="191" t="s">
        <v>519</v>
      </c>
      <c r="J357" s="190" t="s">
        <v>674</v>
      </c>
      <c r="K357" s="191" t="s">
        <v>213</v>
      </c>
      <c r="L357" s="192" t="s">
        <v>205</v>
      </c>
      <c r="M357" s="190" t="s">
        <v>210</v>
      </c>
      <c r="N357" s="190">
        <v>16300</v>
      </c>
      <c r="O357" s="190">
        <v>6700</v>
      </c>
      <c r="P357" s="190">
        <v>2</v>
      </c>
      <c r="Q357" s="190">
        <v>2023</v>
      </c>
      <c r="R357" s="190">
        <v>1</v>
      </c>
    </row>
    <row r="358" spans="1:18" x14ac:dyDescent="0.2">
      <c r="A358" s="190" t="s">
        <v>48</v>
      </c>
      <c r="B358" s="191" t="s">
        <v>211</v>
      </c>
      <c r="C358" s="191" t="s">
        <v>187</v>
      </c>
      <c r="D358" s="191" t="s">
        <v>4</v>
      </c>
      <c r="E358" s="191" t="s">
        <v>219</v>
      </c>
      <c r="F358" s="190" t="s">
        <v>219</v>
      </c>
      <c r="G358" s="190" t="s">
        <v>203</v>
      </c>
      <c r="H358" s="190" t="s">
        <v>31</v>
      </c>
      <c r="I358" s="191" t="s">
        <v>520</v>
      </c>
      <c r="J358" s="190" t="s">
        <v>520</v>
      </c>
      <c r="K358" s="191" t="s">
        <v>213</v>
      </c>
      <c r="L358" s="192" t="s">
        <v>205</v>
      </c>
      <c r="M358" s="190" t="s">
        <v>206</v>
      </c>
      <c r="N358" s="190">
        <v>41500</v>
      </c>
      <c r="O358" s="190">
        <v>12500</v>
      </c>
      <c r="P358" s="190">
        <v>2</v>
      </c>
      <c r="Q358" s="190">
        <v>2024</v>
      </c>
      <c r="R358" s="190">
        <v>1</v>
      </c>
    </row>
    <row r="359" spans="1:18" x14ac:dyDescent="0.2">
      <c r="A359" s="190" t="s">
        <v>48</v>
      </c>
      <c r="B359" s="191" t="s">
        <v>211</v>
      </c>
      <c r="C359" s="191" t="s">
        <v>187</v>
      </c>
      <c r="D359" s="191" t="s">
        <v>4</v>
      </c>
      <c r="E359" s="191" t="s">
        <v>219</v>
      </c>
      <c r="F359" s="190" t="s">
        <v>219</v>
      </c>
      <c r="G359" s="190" t="s">
        <v>203</v>
      </c>
      <c r="H359" s="190" t="s">
        <v>31</v>
      </c>
      <c r="I359" s="191" t="s">
        <v>520</v>
      </c>
      <c r="J359" s="190" t="s">
        <v>739</v>
      </c>
      <c r="K359" s="191" t="s">
        <v>213</v>
      </c>
      <c r="L359" s="192" t="s">
        <v>205</v>
      </c>
      <c r="M359" s="190" t="s">
        <v>206</v>
      </c>
      <c r="N359" s="190">
        <v>41500</v>
      </c>
      <c r="O359" s="190">
        <v>12500</v>
      </c>
      <c r="P359" s="190">
        <v>2</v>
      </c>
      <c r="Q359" s="190">
        <v>2024</v>
      </c>
      <c r="R359" s="190">
        <v>1</v>
      </c>
    </row>
    <row r="360" spans="1:18" x14ac:dyDescent="0.2">
      <c r="A360" s="190" t="s">
        <v>48</v>
      </c>
      <c r="B360" s="191" t="s">
        <v>211</v>
      </c>
      <c r="C360" s="191" t="s">
        <v>187</v>
      </c>
      <c r="D360" s="191" t="s">
        <v>4</v>
      </c>
      <c r="E360" s="191" t="s">
        <v>219</v>
      </c>
      <c r="F360" s="190" t="s">
        <v>219</v>
      </c>
      <c r="G360" s="190" t="s">
        <v>203</v>
      </c>
      <c r="H360" s="190" t="s">
        <v>34</v>
      </c>
      <c r="I360" s="191" t="s">
        <v>523</v>
      </c>
      <c r="J360" s="190" t="s">
        <v>626</v>
      </c>
      <c r="K360" s="191" t="s">
        <v>213</v>
      </c>
      <c r="L360" s="192" t="s">
        <v>205</v>
      </c>
      <c r="M360" s="190" t="s">
        <v>210</v>
      </c>
      <c r="N360" s="190">
        <v>13820</v>
      </c>
      <c r="O360" s="190">
        <v>3760</v>
      </c>
      <c r="P360" s="190">
        <v>3</v>
      </c>
      <c r="Q360" s="190">
        <v>2022</v>
      </c>
      <c r="R360" s="190">
        <v>1</v>
      </c>
    </row>
    <row r="361" spans="1:18" x14ac:dyDescent="0.2">
      <c r="A361" s="190" t="s">
        <v>48</v>
      </c>
      <c r="B361" s="191" t="s">
        <v>211</v>
      </c>
      <c r="C361" s="191" t="s">
        <v>187</v>
      </c>
      <c r="D361" s="191" t="s">
        <v>4</v>
      </c>
      <c r="E361" s="191" t="s">
        <v>219</v>
      </c>
      <c r="F361" s="190" t="s">
        <v>219</v>
      </c>
      <c r="G361" s="190" t="s">
        <v>203</v>
      </c>
      <c r="H361" s="190" t="s">
        <v>34</v>
      </c>
      <c r="I361" s="191" t="s">
        <v>524</v>
      </c>
      <c r="J361" s="190" t="s">
        <v>432</v>
      </c>
      <c r="K361" s="191" t="s">
        <v>213</v>
      </c>
      <c r="L361" s="192" t="s">
        <v>205</v>
      </c>
      <c r="M361" s="190" t="s">
        <v>206</v>
      </c>
      <c r="N361" s="190">
        <v>41500</v>
      </c>
      <c r="O361" s="190">
        <v>10518</v>
      </c>
      <c r="P361" s="190">
        <v>2</v>
      </c>
      <c r="Q361" s="190">
        <v>2025</v>
      </c>
      <c r="R361" s="190">
        <v>3</v>
      </c>
    </row>
    <row r="362" spans="1:18" x14ac:dyDescent="0.2">
      <c r="A362" s="190" t="s">
        <v>48</v>
      </c>
      <c r="B362" s="191" t="s">
        <v>211</v>
      </c>
      <c r="C362" s="191" t="s">
        <v>187</v>
      </c>
      <c r="D362" s="191" t="s">
        <v>4</v>
      </c>
      <c r="E362" s="191" t="s">
        <v>219</v>
      </c>
      <c r="F362" s="190" t="s">
        <v>219</v>
      </c>
      <c r="G362" s="190" t="s">
        <v>203</v>
      </c>
      <c r="H362" s="190" t="s">
        <v>34</v>
      </c>
      <c r="I362" s="191" t="s">
        <v>428</v>
      </c>
      <c r="J362" s="190" t="s">
        <v>333</v>
      </c>
      <c r="K362" s="191" t="s">
        <v>213</v>
      </c>
      <c r="L362" s="192" t="s">
        <v>205</v>
      </c>
      <c r="M362" s="190" t="s">
        <v>206</v>
      </c>
      <c r="N362" s="190">
        <v>41500</v>
      </c>
      <c r="O362" s="190">
        <v>10518</v>
      </c>
      <c r="P362" s="190">
        <v>2</v>
      </c>
      <c r="Q362" s="190">
        <v>2025</v>
      </c>
      <c r="R362" s="190">
        <v>2</v>
      </c>
    </row>
    <row r="363" spans="1:18" x14ac:dyDescent="0.2">
      <c r="A363" s="190" t="s">
        <v>48</v>
      </c>
      <c r="B363" s="191" t="s">
        <v>211</v>
      </c>
      <c r="C363" s="191" t="s">
        <v>187</v>
      </c>
      <c r="D363" s="191" t="s">
        <v>4</v>
      </c>
      <c r="E363" s="191" t="s">
        <v>219</v>
      </c>
      <c r="F363" s="190" t="s">
        <v>219</v>
      </c>
      <c r="G363" s="190" t="s">
        <v>203</v>
      </c>
      <c r="H363" s="190" t="s">
        <v>34</v>
      </c>
      <c r="I363" s="191" t="s">
        <v>428</v>
      </c>
      <c r="J363" s="190" t="s">
        <v>295</v>
      </c>
      <c r="K363" s="191" t="s">
        <v>213</v>
      </c>
      <c r="L363" s="192" t="s">
        <v>205</v>
      </c>
      <c r="M363" s="190" t="s">
        <v>206</v>
      </c>
      <c r="N363" s="190">
        <v>41500</v>
      </c>
      <c r="O363" s="190">
        <v>10518</v>
      </c>
      <c r="P363" s="190">
        <v>2</v>
      </c>
      <c r="Q363" s="190">
        <v>2025</v>
      </c>
      <c r="R363" s="190">
        <v>1</v>
      </c>
    </row>
    <row r="364" spans="1:18" x14ac:dyDescent="0.2">
      <c r="A364" s="190" t="s">
        <v>48</v>
      </c>
      <c r="B364" s="191" t="s">
        <v>211</v>
      </c>
      <c r="C364" s="191" t="s">
        <v>187</v>
      </c>
      <c r="D364" s="191" t="s">
        <v>4</v>
      </c>
      <c r="E364" s="191" t="s">
        <v>219</v>
      </c>
      <c r="F364" s="190" t="s">
        <v>219</v>
      </c>
      <c r="G364" s="190" t="s">
        <v>203</v>
      </c>
      <c r="H364" s="190" t="s">
        <v>34</v>
      </c>
      <c r="I364" s="191" t="s">
        <v>428</v>
      </c>
      <c r="J364" s="190" t="s">
        <v>393</v>
      </c>
      <c r="K364" s="191" t="s">
        <v>213</v>
      </c>
      <c r="L364" s="192" t="s">
        <v>205</v>
      </c>
      <c r="M364" s="190" t="s">
        <v>206</v>
      </c>
      <c r="N364" s="190">
        <v>41500</v>
      </c>
      <c r="O364" s="190">
        <v>10518</v>
      </c>
      <c r="P364" s="190">
        <v>2</v>
      </c>
      <c r="Q364" s="190">
        <v>2025</v>
      </c>
      <c r="R364" s="190">
        <v>1</v>
      </c>
    </row>
    <row r="365" spans="1:18" x14ac:dyDescent="0.2">
      <c r="A365" s="190" t="s">
        <v>48</v>
      </c>
      <c r="B365" s="191" t="s">
        <v>211</v>
      </c>
      <c r="C365" s="191" t="s">
        <v>187</v>
      </c>
      <c r="D365" s="191" t="s">
        <v>4</v>
      </c>
      <c r="E365" s="191" t="s">
        <v>219</v>
      </c>
      <c r="F365" s="190" t="s">
        <v>219</v>
      </c>
      <c r="G365" s="190" t="s">
        <v>203</v>
      </c>
      <c r="H365" s="190" t="s">
        <v>34</v>
      </c>
      <c r="I365" s="191" t="s">
        <v>428</v>
      </c>
      <c r="J365" s="190" t="s">
        <v>691</v>
      </c>
      <c r="K365" s="191" t="s">
        <v>213</v>
      </c>
      <c r="L365" s="192" t="s">
        <v>205</v>
      </c>
      <c r="M365" s="190" t="s">
        <v>206</v>
      </c>
      <c r="N365" s="190">
        <v>41500</v>
      </c>
      <c r="O365" s="190">
        <v>10518</v>
      </c>
      <c r="P365" s="190">
        <v>2</v>
      </c>
      <c r="Q365" s="190">
        <v>2025</v>
      </c>
      <c r="R365" s="190">
        <v>1</v>
      </c>
    </row>
    <row r="366" spans="1:18" x14ac:dyDescent="0.2">
      <c r="A366" s="190" t="s">
        <v>48</v>
      </c>
      <c r="B366" s="191" t="s">
        <v>211</v>
      </c>
      <c r="C366" s="191" t="s">
        <v>187</v>
      </c>
      <c r="D366" s="191" t="s">
        <v>4</v>
      </c>
      <c r="E366" s="191" t="s">
        <v>219</v>
      </c>
      <c r="F366" s="190" t="s">
        <v>219</v>
      </c>
      <c r="G366" s="190" t="s">
        <v>203</v>
      </c>
      <c r="H366" s="190" t="s">
        <v>34</v>
      </c>
      <c r="I366" s="191" t="s">
        <v>319</v>
      </c>
      <c r="J366" s="190" t="s">
        <v>72</v>
      </c>
      <c r="K366" s="191" t="s">
        <v>213</v>
      </c>
      <c r="L366" s="192" t="s">
        <v>205</v>
      </c>
      <c r="M366" s="190" t="s">
        <v>210</v>
      </c>
      <c r="N366" s="190">
        <v>18000</v>
      </c>
      <c r="O366" s="190">
        <v>4088</v>
      </c>
      <c r="P366" s="190">
        <v>3</v>
      </c>
      <c r="Q366" s="190">
        <v>2025</v>
      </c>
      <c r="R366" s="190">
        <v>1</v>
      </c>
    </row>
    <row r="367" spans="1:18" x14ac:dyDescent="0.2">
      <c r="A367" s="190" t="s">
        <v>48</v>
      </c>
      <c r="B367" s="191" t="s">
        <v>211</v>
      </c>
      <c r="C367" s="191" t="s">
        <v>187</v>
      </c>
      <c r="D367" s="191" t="s">
        <v>4</v>
      </c>
      <c r="E367" s="191" t="s">
        <v>219</v>
      </c>
      <c r="F367" s="190" t="s">
        <v>219</v>
      </c>
      <c r="G367" s="190" t="s">
        <v>203</v>
      </c>
      <c r="H367" s="190" t="s">
        <v>34</v>
      </c>
      <c r="I367" s="191" t="s">
        <v>319</v>
      </c>
      <c r="J367" s="190" t="s">
        <v>72</v>
      </c>
      <c r="K367" s="191" t="s">
        <v>213</v>
      </c>
      <c r="L367" s="192" t="s">
        <v>205</v>
      </c>
      <c r="M367" s="190" t="s">
        <v>210</v>
      </c>
      <c r="N367" s="190">
        <v>18000</v>
      </c>
      <c r="O367" s="190">
        <v>4460</v>
      </c>
      <c r="P367" s="190">
        <v>3</v>
      </c>
      <c r="Q367" s="190">
        <v>2024</v>
      </c>
      <c r="R367" s="190">
        <v>3</v>
      </c>
    </row>
    <row r="368" spans="1:18" x14ac:dyDescent="0.2">
      <c r="A368" s="190" t="s">
        <v>48</v>
      </c>
      <c r="B368" s="191" t="s">
        <v>211</v>
      </c>
      <c r="C368" s="191" t="s">
        <v>187</v>
      </c>
      <c r="D368" s="191" t="s">
        <v>4</v>
      </c>
      <c r="E368" s="191" t="s">
        <v>219</v>
      </c>
      <c r="F368" s="190" t="s">
        <v>219</v>
      </c>
      <c r="G368" s="190" t="s">
        <v>203</v>
      </c>
      <c r="H368" s="190" t="s">
        <v>34</v>
      </c>
      <c r="I368" s="191" t="s">
        <v>319</v>
      </c>
      <c r="J368" s="190" t="s">
        <v>72</v>
      </c>
      <c r="K368" s="191" t="s">
        <v>213</v>
      </c>
      <c r="L368" s="192" t="s">
        <v>205</v>
      </c>
      <c r="M368" s="190" t="s">
        <v>210</v>
      </c>
      <c r="N368" s="190">
        <v>17735</v>
      </c>
      <c r="O368" s="190">
        <v>4500</v>
      </c>
      <c r="P368" s="190">
        <v>3</v>
      </c>
      <c r="Q368" s="190">
        <v>2025</v>
      </c>
      <c r="R368" s="190">
        <v>1</v>
      </c>
    </row>
    <row r="369" spans="1:18" x14ac:dyDescent="0.2">
      <c r="A369" s="190" t="s">
        <v>48</v>
      </c>
      <c r="B369" s="191" t="s">
        <v>211</v>
      </c>
      <c r="C369" s="191" t="s">
        <v>187</v>
      </c>
      <c r="D369" s="191" t="s">
        <v>4</v>
      </c>
      <c r="E369" s="191" t="s">
        <v>219</v>
      </c>
      <c r="F369" s="190" t="s">
        <v>219</v>
      </c>
      <c r="G369" s="190" t="s">
        <v>203</v>
      </c>
      <c r="H369" s="190" t="s">
        <v>34</v>
      </c>
      <c r="I369" s="191" t="s">
        <v>319</v>
      </c>
      <c r="J369" s="190" t="s">
        <v>72</v>
      </c>
      <c r="K369" s="191" t="s">
        <v>213</v>
      </c>
      <c r="L369" s="192" t="s">
        <v>205</v>
      </c>
      <c r="M369" s="190" t="s">
        <v>210</v>
      </c>
      <c r="N369" s="190">
        <v>17735</v>
      </c>
      <c r="O369" s="190">
        <v>4088</v>
      </c>
      <c r="P369" s="190">
        <v>3</v>
      </c>
      <c r="Q369" s="190">
        <v>2025</v>
      </c>
      <c r="R369" s="190">
        <v>1</v>
      </c>
    </row>
    <row r="370" spans="1:18" x14ac:dyDescent="0.2">
      <c r="A370" s="190" t="s">
        <v>48</v>
      </c>
      <c r="B370" s="191" t="s">
        <v>211</v>
      </c>
      <c r="C370" s="191" t="s">
        <v>187</v>
      </c>
      <c r="D370" s="191" t="s">
        <v>4</v>
      </c>
      <c r="E370" s="191" t="s">
        <v>219</v>
      </c>
      <c r="F370" s="190" t="s">
        <v>219</v>
      </c>
      <c r="G370" s="190" t="s">
        <v>203</v>
      </c>
      <c r="H370" s="190" t="s">
        <v>34</v>
      </c>
      <c r="I370" s="191" t="s">
        <v>319</v>
      </c>
      <c r="J370" s="190" t="s">
        <v>72</v>
      </c>
      <c r="K370" s="191" t="s">
        <v>213</v>
      </c>
      <c r="L370" s="192" t="s">
        <v>205</v>
      </c>
      <c r="M370" s="190" t="s">
        <v>210</v>
      </c>
      <c r="N370" s="190">
        <v>17935</v>
      </c>
      <c r="O370" s="190">
        <v>4088</v>
      </c>
      <c r="P370" s="190">
        <v>3</v>
      </c>
      <c r="Q370" s="190">
        <v>2025</v>
      </c>
      <c r="R370" s="190">
        <v>1</v>
      </c>
    </row>
    <row r="371" spans="1:18" x14ac:dyDescent="0.2">
      <c r="A371" s="190" t="s">
        <v>48</v>
      </c>
      <c r="B371" s="191" t="s">
        <v>211</v>
      </c>
      <c r="C371" s="191" t="s">
        <v>187</v>
      </c>
      <c r="D371" s="191" t="s">
        <v>4</v>
      </c>
      <c r="E371" s="191" t="s">
        <v>219</v>
      </c>
      <c r="F371" s="190" t="s">
        <v>219</v>
      </c>
      <c r="G371" s="190" t="s">
        <v>203</v>
      </c>
      <c r="H371" s="190" t="s">
        <v>34</v>
      </c>
      <c r="I371" s="191" t="s">
        <v>319</v>
      </c>
      <c r="J371" s="190" t="s">
        <v>424</v>
      </c>
      <c r="K371" s="191" t="s">
        <v>213</v>
      </c>
      <c r="L371" s="192" t="s">
        <v>205</v>
      </c>
      <c r="M371" s="190" t="s">
        <v>210</v>
      </c>
      <c r="N371" s="190">
        <v>18000</v>
      </c>
      <c r="O371" s="190">
        <v>4088</v>
      </c>
      <c r="P371" s="190">
        <v>3</v>
      </c>
      <c r="Q371" s="190">
        <v>2025</v>
      </c>
      <c r="R371" s="190">
        <v>1</v>
      </c>
    </row>
    <row r="372" spans="1:18" x14ac:dyDescent="0.2">
      <c r="A372" s="190" t="s">
        <v>48</v>
      </c>
      <c r="B372" s="191" t="s">
        <v>211</v>
      </c>
      <c r="C372" s="191" t="s">
        <v>187</v>
      </c>
      <c r="D372" s="191" t="s">
        <v>4</v>
      </c>
      <c r="E372" s="191" t="s">
        <v>219</v>
      </c>
      <c r="F372" s="190" t="s">
        <v>219</v>
      </c>
      <c r="G372" s="190" t="s">
        <v>203</v>
      </c>
      <c r="H372" s="190" t="s">
        <v>34</v>
      </c>
      <c r="I372" s="191" t="s">
        <v>364</v>
      </c>
      <c r="J372" s="190" t="s">
        <v>72</v>
      </c>
      <c r="K372" s="191" t="s">
        <v>213</v>
      </c>
      <c r="L372" s="192" t="s">
        <v>205</v>
      </c>
      <c r="M372" s="190" t="s">
        <v>210</v>
      </c>
      <c r="N372" s="190">
        <v>14100</v>
      </c>
      <c r="O372" s="190">
        <v>4088</v>
      </c>
      <c r="P372" s="190">
        <v>3</v>
      </c>
      <c r="Q372" s="190">
        <v>2024</v>
      </c>
      <c r="R372" s="190">
        <v>1</v>
      </c>
    </row>
    <row r="373" spans="1:18" x14ac:dyDescent="0.2">
      <c r="A373" s="190" t="s">
        <v>48</v>
      </c>
      <c r="B373" s="191" t="s">
        <v>211</v>
      </c>
      <c r="C373" s="191" t="s">
        <v>187</v>
      </c>
      <c r="D373" s="191" t="s">
        <v>4</v>
      </c>
      <c r="E373" s="191" t="s">
        <v>219</v>
      </c>
      <c r="F373" s="190" t="s">
        <v>219</v>
      </c>
      <c r="G373" s="190" t="s">
        <v>203</v>
      </c>
      <c r="H373" s="190" t="s">
        <v>34</v>
      </c>
      <c r="I373" s="191" t="s">
        <v>364</v>
      </c>
      <c r="J373" s="190" t="s">
        <v>72</v>
      </c>
      <c r="K373" s="191" t="s">
        <v>213</v>
      </c>
      <c r="L373" s="192" t="s">
        <v>205</v>
      </c>
      <c r="M373" s="190" t="s">
        <v>210</v>
      </c>
      <c r="N373" s="190">
        <v>14100</v>
      </c>
      <c r="O373" s="190">
        <v>4088</v>
      </c>
      <c r="P373" s="190">
        <v>3</v>
      </c>
      <c r="Q373" s="190">
        <v>2025</v>
      </c>
      <c r="R373" s="190">
        <v>1</v>
      </c>
    </row>
    <row r="374" spans="1:18" x14ac:dyDescent="0.2">
      <c r="A374" s="190" t="s">
        <v>48</v>
      </c>
      <c r="B374" s="191" t="s">
        <v>211</v>
      </c>
      <c r="C374" s="191" t="s">
        <v>187</v>
      </c>
      <c r="D374" s="191" t="s">
        <v>4</v>
      </c>
      <c r="E374" s="191" t="s">
        <v>219</v>
      </c>
      <c r="F374" s="190" t="s">
        <v>219</v>
      </c>
      <c r="G374" s="190" t="s">
        <v>203</v>
      </c>
      <c r="H374" s="190" t="s">
        <v>34</v>
      </c>
      <c r="I374" s="191" t="s">
        <v>364</v>
      </c>
      <c r="J374" s="190" t="s">
        <v>72</v>
      </c>
      <c r="K374" s="191" t="s">
        <v>213</v>
      </c>
      <c r="L374" s="192" t="s">
        <v>205</v>
      </c>
      <c r="M374" s="190" t="s">
        <v>210</v>
      </c>
      <c r="N374" s="190">
        <v>14120</v>
      </c>
      <c r="O374" s="190">
        <v>4088</v>
      </c>
      <c r="P374" s="190">
        <v>3</v>
      </c>
      <c r="Q374" s="190">
        <v>2025</v>
      </c>
      <c r="R374" s="190">
        <v>3</v>
      </c>
    </row>
    <row r="375" spans="1:18" x14ac:dyDescent="0.2">
      <c r="A375" s="190" t="s">
        <v>48</v>
      </c>
      <c r="B375" s="191" t="s">
        <v>211</v>
      </c>
      <c r="C375" s="191" t="s">
        <v>187</v>
      </c>
      <c r="D375" s="191" t="s">
        <v>4</v>
      </c>
      <c r="E375" s="191" t="s">
        <v>219</v>
      </c>
      <c r="F375" s="190" t="s">
        <v>219</v>
      </c>
      <c r="G375" s="190" t="s">
        <v>203</v>
      </c>
      <c r="H375" s="190" t="s">
        <v>34</v>
      </c>
      <c r="I375" s="191" t="s">
        <v>528</v>
      </c>
      <c r="J375" s="190" t="s">
        <v>272</v>
      </c>
      <c r="K375" s="191" t="s">
        <v>213</v>
      </c>
      <c r="L375" s="192" t="s">
        <v>205</v>
      </c>
      <c r="M375" s="190" t="s">
        <v>210</v>
      </c>
      <c r="N375" s="190">
        <v>17000</v>
      </c>
      <c r="O375" s="190">
        <v>4460</v>
      </c>
      <c r="P375" s="190">
        <v>2</v>
      </c>
      <c r="Q375" s="190">
        <v>2023</v>
      </c>
      <c r="R375" s="190">
        <v>1</v>
      </c>
    </row>
    <row r="376" spans="1:18" x14ac:dyDescent="0.2">
      <c r="A376" s="190" t="s">
        <v>48</v>
      </c>
      <c r="B376" s="191" t="s">
        <v>211</v>
      </c>
      <c r="C376" s="191" t="s">
        <v>187</v>
      </c>
      <c r="D376" s="191" t="s">
        <v>4</v>
      </c>
      <c r="E376" s="191" t="s">
        <v>219</v>
      </c>
      <c r="F376" s="190" t="s">
        <v>219</v>
      </c>
      <c r="G376" s="190" t="s">
        <v>203</v>
      </c>
      <c r="H376" s="190" t="s">
        <v>34</v>
      </c>
      <c r="I376" s="191" t="s">
        <v>528</v>
      </c>
      <c r="J376" s="190" t="s">
        <v>72</v>
      </c>
      <c r="K376" s="191" t="s">
        <v>213</v>
      </c>
      <c r="L376" s="192" t="s">
        <v>205</v>
      </c>
      <c r="M376" s="190" t="s">
        <v>210</v>
      </c>
      <c r="N376" s="190">
        <v>16000</v>
      </c>
      <c r="O376" s="190">
        <v>4460</v>
      </c>
      <c r="P376" s="190">
        <v>2</v>
      </c>
      <c r="Q376" s="190">
        <v>2023</v>
      </c>
      <c r="R376" s="190">
        <v>2</v>
      </c>
    </row>
    <row r="377" spans="1:18" x14ac:dyDescent="0.2">
      <c r="A377" s="190" t="s">
        <v>48</v>
      </c>
      <c r="B377" s="191" t="s">
        <v>211</v>
      </c>
      <c r="C377" s="191" t="s">
        <v>187</v>
      </c>
      <c r="D377" s="191" t="s">
        <v>4</v>
      </c>
      <c r="E377" s="191" t="s">
        <v>219</v>
      </c>
      <c r="F377" s="190" t="s">
        <v>219</v>
      </c>
      <c r="G377" s="190" t="s">
        <v>203</v>
      </c>
      <c r="H377" s="190" t="s">
        <v>34</v>
      </c>
      <c r="I377" s="191" t="s">
        <v>416</v>
      </c>
      <c r="J377" s="190" t="s">
        <v>290</v>
      </c>
      <c r="K377" s="191" t="s">
        <v>213</v>
      </c>
      <c r="L377" s="192" t="s">
        <v>205</v>
      </c>
      <c r="M377" s="190" t="s">
        <v>206</v>
      </c>
      <c r="N377" s="190">
        <v>41500</v>
      </c>
      <c r="O377" s="190">
        <v>10518</v>
      </c>
      <c r="P377" s="190">
        <v>2</v>
      </c>
      <c r="Q377" s="190">
        <v>2025</v>
      </c>
      <c r="R377" s="190">
        <v>4</v>
      </c>
    </row>
    <row r="378" spans="1:18" x14ac:dyDescent="0.2">
      <c r="A378" s="190" t="s">
        <v>48</v>
      </c>
      <c r="B378" s="191" t="s">
        <v>211</v>
      </c>
      <c r="C378" s="191" t="s">
        <v>187</v>
      </c>
      <c r="D378" s="191" t="s">
        <v>4</v>
      </c>
      <c r="E378" s="191" t="s">
        <v>219</v>
      </c>
      <c r="F378" s="190" t="s">
        <v>219</v>
      </c>
      <c r="G378" s="190" t="s">
        <v>203</v>
      </c>
      <c r="H378" s="190" t="s">
        <v>34</v>
      </c>
      <c r="I378" s="191" t="s">
        <v>416</v>
      </c>
      <c r="J378" s="190" t="s">
        <v>290</v>
      </c>
      <c r="K378" s="191" t="s">
        <v>213</v>
      </c>
      <c r="L378" s="192" t="s">
        <v>205</v>
      </c>
      <c r="M378" s="190" t="s">
        <v>206</v>
      </c>
      <c r="N378" s="190">
        <v>41500</v>
      </c>
      <c r="O378" s="190">
        <v>12419</v>
      </c>
      <c r="P378" s="190">
        <v>2</v>
      </c>
      <c r="Q378" s="190">
        <v>2025</v>
      </c>
      <c r="R378" s="190">
        <v>13</v>
      </c>
    </row>
    <row r="379" spans="1:18" x14ac:dyDescent="0.2">
      <c r="A379" s="190" t="s">
        <v>48</v>
      </c>
      <c r="B379" s="191" t="s">
        <v>211</v>
      </c>
      <c r="C379" s="191" t="s">
        <v>187</v>
      </c>
      <c r="D379" s="191" t="s">
        <v>4</v>
      </c>
      <c r="E379" s="191" t="s">
        <v>219</v>
      </c>
      <c r="F379" s="190" t="s">
        <v>219</v>
      </c>
      <c r="G379" s="190" t="s">
        <v>203</v>
      </c>
      <c r="H379" s="190" t="s">
        <v>34</v>
      </c>
      <c r="I379" s="191" t="s">
        <v>416</v>
      </c>
      <c r="J379" s="190" t="s">
        <v>693</v>
      </c>
      <c r="K379" s="191" t="s">
        <v>213</v>
      </c>
      <c r="L379" s="192" t="s">
        <v>205</v>
      </c>
      <c r="M379" s="190" t="s">
        <v>206</v>
      </c>
      <c r="N379" s="190">
        <v>41500</v>
      </c>
      <c r="O379" s="190">
        <v>10518</v>
      </c>
      <c r="P379" s="190">
        <v>2</v>
      </c>
      <c r="Q379" s="190">
        <v>2024</v>
      </c>
      <c r="R379" s="190">
        <v>2</v>
      </c>
    </row>
    <row r="380" spans="1:18" x14ac:dyDescent="0.2">
      <c r="A380" s="190" t="s">
        <v>48</v>
      </c>
      <c r="B380" s="191" t="s">
        <v>211</v>
      </c>
      <c r="C380" s="191" t="s">
        <v>187</v>
      </c>
      <c r="D380" s="191" t="s">
        <v>4</v>
      </c>
      <c r="E380" s="191" t="s">
        <v>219</v>
      </c>
      <c r="F380" s="190" t="s">
        <v>219</v>
      </c>
      <c r="G380" s="190" t="s">
        <v>203</v>
      </c>
      <c r="H380" s="190" t="s">
        <v>34</v>
      </c>
      <c r="I380" s="191" t="s">
        <v>416</v>
      </c>
      <c r="J380" s="190" t="s">
        <v>734</v>
      </c>
      <c r="K380" s="191" t="s">
        <v>213</v>
      </c>
      <c r="L380" s="192" t="s">
        <v>205</v>
      </c>
      <c r="M380" s="190" t="s">
        <v>206</v>
      </c>
      <c r="N380" s="190">
        <v>41500</v>
      </c>
      <c r="O380" s="190">
        <v>10518</v>
      </c>
      <c r="P380" s="190">
        <v>2</v>
      </c>
      <c r="Q380" s="190">
        <v>2024</v>
      </c>
      <c r="R380" s="190">
        <v>1</v>
      </c>
    </row>
    <row r="381" spans="1:18" x14ac:dyDescent="0.2">
      <c r="A381" s="190" t="s">
        <v>48</v>
      </c>
      <c r="B381" s="191" t="s">
        <v>211</v>
      </c>
      <c r="C381" s="191" t="s">
        <v>187</v>
      </c>
      <c r="D381" s="191" t="s">
        <v>4</v>
      </c>
      <c r="E381" s="191" t="s">
        <v>219</v>
      </c>
      <c r="F381" s="190" t="s">
        <v>219</v>
      </c>
      <c r="G381" s="190" t="s">
        <v>203</v>
      </c>
      <c r="H381" s="190" t="s">
        <v>34</v>
      </c>
      <c r="I381" s="191" t="s">
        <v>430</v>
      </c>
      <c r="J381" s="190" t="s">
        <v>290</v>
      </c>
      <c r="K381" s="191" t="s">
        <v>213</v>
      </c>
      <c r="L381" s="192" t="s">
        <v>205</v>
      </c>
      <c r="M381" s="190" t="s">
        <v>218</v>
      </c>
      <c r="N381" s="190">
        <v>51000</v>
      </c>
      <c r="O381" s="190">
        <v>12419</v>
      </c>
      <c r="P381" s="190">
        <v>2</v>
      </c>
      <c r="Q381" s="190">
        <v>2025</v>
      </c>
      <c r="R381" s="190">
        <v>8</v>
      </c>
    </row>
    <row r="382" spans="1:18" x14ac:dyDescent="0.2">
      <c r="A382" s="190" t="s">
        <v>48</v>
      </c>
      <c r="B382" s="191" t="s">
        <v>211</v>
      </c>
      <c r="C382" s="191" t="s">
        <v>187</v>
      </c>
      <c r="D382" s="191" t="s">
        <v>4</v>
      </c>
      <c r="E382" s="191" t="s">
        <v>219</v>
      </c>
      <c r="F382" s="190" t="s">
        <v>219</v>
      </c>
      <c r="G382" s="190" t="s">
        <v>203</v>
      </c>
      <c r="H382" s="190" t="s">
        <v>34</v>
      </c>
      <c r="I382" s="191" t="s">
        <v>532</v>
      </c>
      <c r="J382" s="190" t="s">
        <v>432</v>
      </c>
      <c r="K382" s="191" t="s">
        <v>213</v>
      </c>
      <c r="L382" s="192" t="s">
        <v>247</v>
      </c>
      <c r="M382" s="190" t="s">
        <v>218</v>
      </c>
      <c r="N382" s="190">
        <v>51000</v>
      </c>
      <c r="O382" s="190">
        <v>12419</v>
      </c>
      <c r="P382" s="190">
        <v>2</v>
      </c>
      <c r="Q382" s="190">
        <v>2025</v>
      </c>
      <c r="R382" s="190">
        <v>1</v>
      </c>
    </row>
    <row r="383" spans="1:18" x14ac:dyDescent="0.2">
      <c r="A383" s="190" t="s">
        <v>48</v>
      </c>
      <c r="B383" s="191" t="s">
        <v>211</v>
      </c>
      <c r="C383" s="191" t="s">
        <v>187</v>
      </c>
      <c r="D383" s="191" t="s">
        <v>4</v>
      </c>
      <c r="E383" s="191" t="s">
        <v>219</v>
      </c>
      <c r="F383" s="190" t="s">
        <v>219</v>
      </c>
      <c r="G383" s="190" t="s">
        <v>203</v>
      </c>
      <c r="H383" s="190" t="s">
        <v>34</v>
      </c>
      <c r="I383" s="191" t="s">
        <v>533</v>
      </c>
      <c r="J383" s="190" t="s">
        <v>740</v>
      </c>
      <c r="K383" s="191" t="s">
        <v>213</v>
      </c>
      <c r="L383" s="192" t="s">
        <v>205</v>
      </c>
      <c r="M383" s="190" t="s">
        <v>218</v>
      </c>
      <c r="N383" s="190">
        <v>48000</v>
      </c>
      <c r="O383" s="190">
        <v>12419</v>
      </c>
      <c r="P383" s="190">
        <v>2</v>
      </c>
      <c r="Q383" s="190">
        <v>2025</v>
      </c>
      <c r="R383" s="190">
        <v>1</v>
      </c>
    </row>
    <row r="384" spans="1:18" x14ac:dyDescent="0.2">
      <c r="A384" s="190" t="s">
        <v>48</v>
      </c>
      <c r="B384" s="191" t="s">
        <v>211</v>
      </c>
      <c r="C384" s="191" t="s">
        <v>187</v>
      </c>
      <c r="D384" s="191" t="s">
        <v>4</v>
      </c>
      <c r="E384" s="191" t="s">
        <v>202</v>
      </c>
      <c r="F384" s="190" t="s">
        <v>627</v>
      </c>
      <c r="G384" s="190" t="s">
        <v>208</v>
      </c>
      <c r="H384" s="190" t="s">
        <v>22</v>
      </c>
      <c r="I384" s="191" t="s">
        <v>106</v>
      </c>
      <c r="J384" s="190" t="s">
        <v>223</v>
      </c>
      <c r="K384" s="191" t="s">
        <v>221</v>
      </c>
      <c r="L384" s="192" t="s">
        <v>205</v>
      </c>
      <c r="M384" s="190" t="s">
        <v>210</v>
      </c>
      <c r="N384" s="190">
        <v>7500</v>
      </c>
      <c r="O384" s="190">
        <v>4009</v>
      </c>
      <c r="P384" s="190">
        <v>3</v>
      </c>
      <c r="Q384" s="190">
        <v>2025</v>
      </c>
      <c r="R384" s="190">
        <v>1</v>
      </c>
    </row>
    <row r="385" spans="1:18" x14ac:dyDescent="0.2">
      <c r="A385" s="190" t="s">
        <v>48</v>
      </c>
      <c r="B385" s="191" t="s">
        <v>211</v>
      </c>
      <c r="C385" s="191" t="s">
        <v>187</v>
      </c>
      <c r="D385" s="191" t="s">
        <v>4</v>
      </c>
      <c r="E385" s="191" t="s">
        <v>202</v>
      </c>
      <c r="F385" s="190" t="s">
        <v>627</v>
      </c>
      <c r="G385" s="190" t="s">
        <v>208</v>
      </c>
      <c r="H385" s="190" t="s">
        <v>21</v>
      </c>
      <c r="I385" s="191" t="s">
        <v>112</v>
      </c>
      <c r="J385" s="190" t="s">
        <v>229</v>
      </c>
      <c r="K385" s="191" t="s">
        <v>213</v>
      </c>
      <c r="L385" s="192" t="s">
        <v>205</v>
      </c>
      <c r="M385" s="190" t="s">
        <v>210</v>
      </c>
      <c r="N385" s="190">
        <v>6500</v>
      </c>
      <c r="O385" s="190">
        <v>2891</v>
      </c>
      <c r="P385" s="190">
        <v>3</v>
      </c>
      <c r="Q385" s="190">
        <v>2025</v>
      </c>
      <c r="R385" s="190">
        <v>1</v>
      </c>
    </row>
    <row r="386" spans="1:18" x14ac:dyDescent="0.2">
      <c r="A386" s="190" t="s">
        <v>48</v>
      </c>
      <c r="B386" s="191" t="s">
        <v>211</v>
      </c>
      <c r="C386" s="191" t="s">
        <v>187</v>
      </c>
      <c r="D386" s="191" t="s">
        <v>4</v>
      </c>
      <c r="E386" s="191" t="s">
        <v>202</v>
      </c>
      <c r="F386" s="190" t="s">
        <v>627</v>
      </c>
      <c r="G386" s="190" t="s">
        <v>208</v>
      </c>
      <c r="H386" s="190" t="s">
        <v>24</v>
      </c>
      <c r="I386" s="191" t="s">
        <v>119</v>
      </c>
      <c r="J386" s="190" t="s">
        <v>232</v>
      </c>
      <c r="K386" s="191" t="s">
        <v>221</v>
      </c>
      <c r="L386" s="192" t="s">
        <v>205</v>
      </c>
      <c r="M386" s="190" t="s">
        <v>210</v>
      </c>
      <c r="N386" s="190">
        <v>7000</v>
      </c>
      <c r="O386" s="190">
        <v>5193</v>
      </c>
      <c r="P386" s="190">
        <v>3</v>
      </c>
      <c r="Q386" s="190">
        <v>2025</v>
      </c>
      <c r="R386" s="190">
        <v>4</v>
      </c>
    </row>
    <row r="387" spans="1:18" x14ac:dyDescent="0.2">
      <c r="A387" s="190" t="s">
        <v>48</v>
      </c>
      <c r="B387" s="191" t="s">
        <v>211</v>
      </c>
      <c r="C387" s="191" t="s">
        <v>187</v>
      </c>
      <c r="D387" s="191" t="s">
        <v>4</v>
      </c>
      <c r="E387" s="191" t="s">
        <v>202</v>
      </c>
      <c r="F387" s="190" t="s">
        <v>212</v>
      </c>
      <c r="G387" s="190" t="s">
        <v>208</v>
      </c>
      <c r="H387" s="190" t="s">
        <v>23</v>
      </c>
      <c r="I387" s="191" t="s">
        <v>94</v>
      </c>
      <c r="J387" s="190" t="s">
        <v>94</v>
      </c>
      <c r="K387" s="191" t="s">
        <v>213</v>
      </c>
      <c r="L387" s="192" t="s">
        <v>205</v>
      </c>
      <c r="M387" s="190" t="s">
        <v>210</v>
      </c>
      <c r="N387" s="190">
        <v>6900</v>
      </c>
      <c r="O387" s="190">
        <v>2780</v>
      </c>
      <c r="P387" s="190">
        <v>3</v>
      </c>
      <c r="Q387" s="190">
        <v>2025</v>
      </c>
      <c r="R387" s="190">
        <v>2</v>
      </c>
    </row>
    <row r="388" spans="1:18" x14ac:dyDescent="0.2">
      <c r="A388" s="190" t="s">
        <v>48</v>
      </c>
      <c r="B388" s="191" t="s">
        <v>211</v>
      </c>
      <c r="C388" s="191" t="s">
        <v>187</v>
      </c>
      <c r="D388" s="191" t="s">
        <v>4</v>
      </c>
      <c r="E388" s="191" t="s">
        <v>202</v>
      </c>
      <c r="F388" s="190" t="s">
        <v>212</v>
      </c>
      <c r="G388" s="190" t="s">
        <v>208</v>
      </c>
      <c r="H388" s="190" t="s">
        <v>23</v>
      </c>
      <c r="I388" s="191" t="s">
        <v>355</v>
      </c>
      <c r="J388" s="190" t="s">
        <v>355</v>
      </c>
      <c r="K388" s="191" t="s">
        <v>213</v>
      </c>
      <c r="L388" s="192" t="s">
        <v>205</v>
      </c>
      <c r="M388" s="190" t="s">
        <v>210</v>
      </c>
      <c r="N388" s="190">
        <v>8850</v>
      </c>
      <c r="O388" s="190">
        <v>3760</v>
      </c>
      <c r="P388" s="190">
        <v>3</v>
      </c>
      <c r="Q388" s="190">
        <v>2025</v>
      </c>
      <c r="R388" s="190">
        <v>1</v>
      </c>
    </row>
    <row r="389" spans="1:18" x14ac:dyDescent="0.2">
      <c r="A389" s="190" t="s">
        <v>48</v>
      </c>
      <c r="B389" s="191" t="s">
        <v>211</v>
      </c>
      <c r="C389" s="191" t="s">
        <v>187</v>
      </c>
      <c r="D389" s="191" t="s">
        <v>4</v>
      </c>
      <c r="E389" s="191" t="s">
        <v>202</v>
      </c>
      <c r="F389" s="190" t="s">
        <v>212</v>
      </c>
      <c r="G389" s="190" t="s">
        <v>208</v>
      </c>
      <c r="H389" s="190" t="s">
        <v>23</v>
      </c>
      <c r="I389" s="191" t="s">
        <v>95</v>
      </c>
      <c r="J389" s="190" t="s">
        <v>95</v>
      </c>
      <c r="K389" s="191" t="s">
        <v>213</v>
      </c>
      <c r="L389" s="192" t="s">
        <v>205</v>
      </c>
      <c r="M389" s="190" t="s">
        <v>210</v>
      </c>
      <c r="N389" s="190">
        <v>10800</v>
      </c>
      <c r="O389" s="190">
        <v>3760</v>
      </c>
      <c r="P389" s="190">
        <v>3</v>
      </c>
      <c r="Q389" s="190">
        <v>2025</v>
      </c>
      <c r="R389" s="190">
        <v>1</v>
      </c>
    </row>
    <row r="390" spans="1:18" x14ac:dyDescent="0.2">
      <c r="A390" s="190" t="s">
        <v>48</v>
      </c>
      <c r="B390" s="191" t="s">
        <v>211</v>
      </c>
      <c r="C390" s="191" t="s">
        <v>187</v>
      </c>
      <c r="D390" s="191" t="s">
        <v>4</v>
      </c>
      <c r="E390" s="191" t="s">
        <v>202</v>
      </c>
      <c r="F390" s="190" t="s">
        <v>212</v>
      </c>
      <c r="G390" s="190" t="s">
        <v>208</v>
      </c>
      <c r="H390" s="190" t="s">
        <v>23</v>
      </c>
      <c r="I390" s="191" t="s">
        <v>306</v>
      </c>
      <c r="J390" s="190" t="s">
        <v>98</v>
      </c>
      <c r="K390" s="191" t="s">
        <v>213</v>
      </c>
      <c r="L390" s="192" t="s">
        <v>205</v>
      </c>
      <c r="M390" s="190" t="s">
        <v>210</v>
      </c>
      <c r="N390" s="190">
        <v>6500</v>
      </c>
      <c r="O390" s="190">
        <v>2771</v>
      </c>
      <c r="P390" s="190">
        <v>3</v>
      </c>
      <c r="Q390" s="190">
        <v>2025</v>
      </c>
      <c r="R390" s="190">
        <v>2</v>
      </c>
    </row>
    <row r="391" spans="1:18" x14ac:dyDescent="0.2">
      <c r="A391" s="190" t="s">
        <v>48</v>
      </c>
      <c r="B391" s="191" t="s">
        <v>211</v>
      </c>
      <c r="C391" s="191" t="s">
        <v>187</v>
      </c>
      <c r="D391" s="191" t="s">
        <v>4</v>
      </c>
      <c r="E391" s="191" t="s">
        <v>202</v>
      </c>
      <c r="F391" s="190" t="s">
        <v>212</v>
      </c>
      <c r="G391" s="190" t="s">
        <v>208</v>
      </c>
      <c r="H391" s="190" t="s">
        <v>23</v>
      </c>
      <c r="I391" s="191" t="s">
        <v>478</v>
      </c>
      <c r="J391" s="190" t="s">
        <v>478</v>
      </c>
      <c r="K391" s="191" t="s">
        <v>213</v>
      </c>
      <c r="L391" s="192" t="s">
        <v>205</v>
      </c>
      <c r="M391" s="190" t="s">
        <v>210</v>
      </c>
      <c r="N391" s="190">
        <v>10000</v>
      </c>
      <c r="O391" s="190">
        <v>3760</v>
      </c>
      <c r="P391" s="190">
        <v>3</v>
      </c>
      <c r="Q391" s="190">
        <v>2025</v>
      </c>
      <c r="R391" s="190">
        <v>2</v>
      </c>
    </row>
    <row r="392" spans="1:18" x14ac:dyDescent="0.2">
      <c r="A392" s="190" t="s">
        <v>48</v>
      </c>
      <c r="B392" s="191" t="s">
        <v>211</v>
      </c>
      <c r="C392" s="191" t="s">
        <v>187</v>
      </c>
      <c r="D392" s="191" t="s">
        <v>4</v>
      </c>
      <c r="E392" s="191" t="s">
        <v>202</v>
      </c>
      <c r="F392" s="190" t="s">
        <v>212</v>
      </c>
      <c r="G392" s="190" t="s">
        <v>208</v>
      </c>
      <c r="H392" s="190" t="s">
        <v>65</v>
      </c>
      <c r="I392" s="191" t="s">
        <v>101</v>
      </c>
      <c r="J392" s="190" t="s">
        <v>411</v>
      </c>
      <c r="K392" s="191" t="s">
        <v>221</v>
      </c>
      <c r="L392" s="192" t="s">
        <v>205</v>
      </c>
      <c r="M392" s="190" t="s">
        <v>210</v>
      </c>
      <c r="N392" s="190">
        <v>6499</v>
      </c>
      <c r="O392" s="190">
        <v>2998</v>
      </c>
      <c r="P392" s="190">
        <v>3</v>
      </c>
      <c r="Q392" s="190">
        <v>2025</v>
      </c>
      <c r="R392" s="190">
        <v>2</v>
      </c>
    </row>
    <row r="393" spans="1:18" x14ac:dyDescent="0.2">
      <c r="A393" s="190" t="s">
        <v>48</v>
      </c>
      <c r="B393" s="191" t="s">
        <v>211</v>
      </c>
      <c r="C393" s="191" t="s">
        <v>187</v>
      </c>
      <c r="D393" s="191" t="s">
        <v>4</v>
      </c>
      <c r="E393" s="191" t="s">
        <v>202</v>
      </c>
      <c r="F393" s="190" t="s">
        <v>212</v>
      </c>
      <c r="G393" s="190" t="s">
        <v>208</v>
      </c>
      <c r="H393" s="190" t="s">
        <v>65</v>
      </c>
      <c r="I393" s="191" t="s">
        <v>101</v>
      </c>
      <c r="J393" s="190" t="s">
        <v>409</v>
      </c>
      <c r="K393" s="191" t="s">
        <v>221</v>
      </c>
      <c r="L393" s="192" t="s">
        <v>205</v>
      </c>
      <c r="M393" s="190" t="s">
        <v>210</v>
      </c>
      <c r="N393" s="190">
        <v>7500</v>
      </c>
      <c r="O393" s="190">
        <v>2998</v>
      </c>
      <c r="P393" s="190">
        <v>3</v>
      </c>
      <c r="Q393" s="190">
        <v>2024</v>
      </c>
      <c r="R393" s="190">
        <v>4</v>
      </c>
    </row>
    <row r="394" spans="1:18" x14ac:dyDescent="0.2">
      <c r="A394" s="190" t="s">
        <v>48</v>
      </c>
      <c r="B394" s="191" t="s">
        <v>211</v>
      </c>
      <c r="C394" s="191" t="s">
        <v>187</v>
      </c>
      <c r="D394" s="191" t="s">
        <v>4</v>
      </c>
      <c r="E394" s="191" t="s">
        <v>202</v>
      </c>
      <c r="F394" s="190" t="s">
        <v>212</v>
      </c>
      <c r="G394" s="190" t="s">
        <v>208</v>
      </c>
      <c r="H394" s="190" t="s">
        <v>65</v>
      </c>
      <c r="I394" s="191" t="s">
        <v>101</v>
      </c>
      <c r="J394" s="190" t="s">
        <v>409</v>
      </c>
      <c r="K394" s="191" t="s">
        <v>221</v>
      </c>
      <c r="L394" s="192" t="s">
        <v>205</v>
      </c>
      <c r="M394" s="190" t="s">
        <v>210</v>
      </c>
      <c r="N394" s="190">
        <v>7500</v>
      </c>
      <c r="O394" s="190">
        <v>2998</v>
      </c>
      <c r="P394" s="190">
        <v>3</v>
      </c>
      <c r="Q394" s="190">
        <v>2025</v>
      </c>
      <c r="R394" s="190">
        <v>4</v>
      </c>
    </row>
    <row r="395" spans="1:18" x14ac:dyDescent="0.2">
      <c r="A395" s="190" t="s">
        <v>48</v>
      </c>
      <c r="B395" s="191" t="s">
        <v>211</v>
      </c>
      <c r="C395" s="191" t="s">
        <v>187</v>
      </c>
      <c r="D395" s="191" t="s">
        <v>4</v>
      </c>
      <c r="E395" s="191" t="s">
        <v>202</v>
      </c>
      <c r="F395" s="190" t="s">
        <v>212</v>
      </c>
      <c r="G395" s="190" t="s">
        <v>208</v>
      </c>
      <c r="H395" s="190" t="s">
        <v>65</v>
      </c>
      <c r="I395" s="191" t="s">
        <v>101</v>
      </c>
      <c r="J395" s="190" t="s">
        <v>415</v>
      </c>
      <c r="K395" s="191" t="s">
        <v>221</v>
      </c>
      <c r="L395" s="192" t="s">
        <v>205</v>
      </c>
      <c r="M395" s="190" t="s">
        <v>210</v>
      </c>
      <c r="N395" s="190">
        <v>8550</v>
      </c>
      <c r="O395" s="190">
        <v>2998</v>
      </c>
      <c r="P395" s="190">
        <v>3</v>
      </c>
      <c r="Q395" s="190">
        <v>2025</v>
      </c>
      <c r="R395" s="190">
        <v>2</v>
      </c>
    </row>
    <row r="396" spans="1:18" x14ac:dyDescent="0.2">
      <c r="A396" s="190" t="s">
        <v>48</v>
      </c>
      <c r="B396" s="191" t="s">
        <v>211</v>
      </c>
      <c r="C396" s="191" t="s">
        <v>187</v>
      </c>
      <c r="D396" s="191" t="s">
        <v>4</v>
      </c>
      <c r="E396" s="191" t="s">
        <v>202</v>
      </c>
      <c r="F396" s="190" t="s">
        <v>212</v>
      </c>
      <c r="G396" s="190" t="s">
        <v>208</v>
      </c>
      <c r="H396" s="190" t="s">
        <v>65</v>
      </c>
      <c r="I396" s="191" t="s">
        <v>101</v>
      </c>
      <c r="J396" s="190" t="s">
        <v>413</v>
      </c>
      <c r="K396" s="191" t="s">
        <v>221</v>
      </c>
      <c r="L396" s="192" t="s">
        <v>205</v>
      </c>
      <c r="M396" s="190" t="s">
        <v>210</v>
      </c>
      <c r="N396" s="190">
        <v>5700</v>
      </c>
      <c r="O396" s="190">
        <v>2998</v>
      </c>
      <c r="P396" s="190">
        <v>3</v>
      </c>
      <c r="Q396" s="190">
        <v>2025</v>
      </c>
      <c r="R396" s="190">
        <v>1</v>
      </c>
    </row>
    <row r="397" spans="1:18" x14ac:dyDescent="0.2">
      <c r="A397" s="190" t="s">
        <v>48</v>
      </c>
      <c r="B397" s="191" t="s">
        <v>211</v>
      </c>
      <c r="C397" s="191" t="s">
        <v>187</v>
      </c>
      <c r="D397" s="191" t="s">
        <v>4</v>
      </c>
      <c r="E397" s="191" t="s">
        <v>202</v>
      </c>
      <c r="F397" s="190" t="s">
        <v>212</v>
      </c>
      <c r="G397" s="190" t="s">
        <v>208</v>
      </c>
      <c r="H397" s="190" t="s">
        <v>65</v>
      </c>
      <c r="I397" s="191" t="s">
        <v>101</v>
      </c>
      <c r="J397" s="190" t="s">
        <v>341</v>
      </c>
      <c r="K397" s="191" t="s">
        <v>221</v>
      </c>
      <c r="L397" s="192" t="s">
        <v>205</v>
      </c>
      <c r="M397" s="190" t="s">
        <v>210</v>
      </c>
      <c r="N397" s="190">
        <v>6499</v>
      </c>
      <c r="O397" s="190">
        <v>2998</v>
      </c>
      <c r="P397" s="190">
        <v>7</v>
      </c>
      <c r="Q397" s="190">
        <v>2025</v>
      </c>
      <c r="R397" s="190">
        <v>1</v>
      </c>
    </row>
    <row r="398" spans="1:18" x14ac:dyDescent="0.2">
      <c r="A398" s="190" t="s">
        <v>48</v>
      </c>
      <c r="B398" s="191" t="s">
        <v>211</v>
      </c>
      <c r="C398" s="191" t="s">
        <v>187</v>
      </c>
      <c r="D398" s="191" t="s">
        <v>4</v>
      </c>
      <c r="E398" s="191" t="s">
        <v>202</v>
      </c>
      <c r="F398" s="190" t="s">
        <v>212</v>
      </c>
      <c r="G398" s="190" t="s">
        <v>208</v>
      </c>
      <c r="H398" s="190" t="s">
        <v>65</v>
      </c>
      <c r="I398" s="191" t="s">
        <v>101</v>
      </c>
      <c r="J398" s="190" t="s">
        <v>741</v>
      </c>
      <c r="K398" s="191" t="s">
        <v>221</v>
      </c>
      <c r="L398" s="192" t="s">
        <v>205</v>
      </c>
      <c r="M398" s="190" t="s">
        <v>210</v>
      </c>
      <c r="N398" s="190">
        <v>8550</v>
      </c>
      <c r="O398" s="190">
        <v>2998</v>
      </c>
      <c r="P398" s="190">
        <v>3</v>
      </c>
      <c r="Q398" s="190">
        <v>2025</v>
      </c>
      <c r="R398" s="190">
        <v>1</v>
      </c>
    </row>
    <row r="399" spans="1:18" x14ac:dyDescent="0.2">
      <c r="A399" s="190" t="s">
        <v>48</v>
      </c>
      <c r="B399" s="191" t="s">
        <v>211</v>
      </c>
      <c r="C399" s="191" t="s">
        <v>187</v>
      </c>
      <c r="D399" s="191" t="s">
        <v>4</v>
      </c>
      <c r="E399" s="191" t="s">
        <v>202</v>
      </c>
      <c r="F399" s="190" t="s">
        <v>212</v>
      </c>
      <c r="G399" s="190" t="s">
        <v>208</v>
      </c>
      <c r="H399" s="190" t="s">
        <v>65</v>
      </c>
      <c r="I399" s="191" t="s">
        <v>102</v>
      </c>
      <c r="J399" s="190" t="s">
        <v>421</v>
      </c>
      <c r="K399" s="191" t="s">
        <v>245</v>
      </c>
      <c r="L399" s="192" t="s">
        <v>205</v>
      </c>
      <c r="M399" s="190" t="s">
        <v>210</v>
      </c>
      <c r="N399" s="190">
        <v>11990</v>
      </c>
      <c r="O399" s="190">
        <v>3907</v>
      </c>
      <c r="P399" s="190">
        <v>3</v>
      </c>
      <c r="Q399" s="190">
        <v>2025</v>
      </c>
      <c r="R399" s="190">
        <v>1</v>
      </c>
    </row>
    <row r="400" spans="1:18" x14ac:dyDescent="0.2">
      <c r="A400" s="190" t="s">
        <v>48</v>
      </c>
      <c r="B400" s="191" t="s">
        <v>211</v>
      </c>
      <c r="C400" s="191" t="s">
        <v>187</v>
      </c>
      <c r="D400" s="191" t="s">
        <v>4</v>
      </c>
      <c r="E400" s="191" t="s">
        <v>202</v>
      </c>
      <c r="F400" s="190" t="s">
        <v>212</v>
      </c>
      <c r="G400" s="190" t="s">
        <v>208</v>
      </c>
      <c r="H400" s="190" t="s">
        <v>65</v>
      </c>
      <c r="I400" s="191" t="s">
        <v>427</v>
      </c>
      <c r="J400" s="190" t="s">
        <v>383</v>
      </c>
      <c r="K400" s="191" t="s">
        <v>221</v>
      </c>
      <c r="L400" s="192" t="s">
        <v>205</v>
      </c>
      <c r="M400" s="190" t="s">
        <v>210</v>
      </c>
      <c r="N400" s="190">
        <v>10400</v>
      </c>
      <c r="O400" s="190">
        <v>7545</v>
      </c>
      <c r="P400" s="190">
        <v>3</v>
      </c>
      <c r="Q400" s="190">
        <v>2024</v>
      </c>
      <c r="R400" s="190">
        <v>1</v>
      </c>
    </row>
    <row r="401" spans="1:18" x14ac:dyDescent="0.2">
      <c r="A401" s="190" t="s">
        <v>48</v>
      </c>
      <c r="B401" s="191" t="s">
        <v>211</v>
      </c>
      <c r="C401" s="191" t="s">
        <v>187</v>
      </c>
      <c r="D401" s="191" t="s">
        <v>4</v>
      </c>
      <c r="E401" s="191" t="s">
        <v>202</v>
      </c>
      <c r="F401" s="190" t="s">
        <v>212</v>
      </c>
      <c r="G401" s="190" t="s">
        <v>208</v>
      </c>
      <c r="H401" s="190" t="s">
        <v>22</v>
      </c>
      <c r="I401" s="191" t="s">
        <v>106</v>
      </c>
      <c r="J401" s="190" t="s">
        <v>222</v>
      </c>
      <c r="K401" s="191" t="s">
        <v>221</v>
      </c>
      <c r="L401" s="192" t="s">
        <v>205</v>
      </c>
      <c r="M401" s="190" t="s">
        <v>210</v>
      </c>
      <c r="N401" s="190">
        <v>7500</v>
      </c>
      <c r="O401" s="190">
        <v>4009</v>
      </c>
      <c r="P401" s="190">
        <v>3</v>
      </c>
      <c r="Q401" s="190">
        <v>2025</v>
      </c>
      <c r="R401" s="190">
        <v>2</v>
      </c>
    </row>
    <row r="402" spans="1:18" x14ac:dyDescent="0.2">
      <c r="A402" s="190" t="s">
        <v>48</v>
      </c>
      <c r="B402" s="191" t="s">
        <v>211</v>
      </c>
      <c r="C402" s="191" t="s">
        <v>187</v>
      </c>
      <c r="D402" s="191" t="s">
        <v>4</v>
      </c>
      <c r="E402" s="191" t="s">
        <v>202</v>
      </c>
      <c r="F402" s="190" t="s">
        <v>212</v>
      </c>
      <c r="G402" s="190" t="s">
        <v>208</v>
      </c>
      <c r="H402" s="190" t="s">
        <v>22</v>
      </c>
      <c r="I402" s="191" t="s">
        <v>106</v>
      </c>
      <c r="J402" s="190" t="s">
        <v>223</v>
      </c>
      <c r="K402" s="191" t="s">
        <v>221</v>
      </c>
      <c r="L402" s="192" t="s">
        <v>205</v>
      </c>
      <c r="M402" s="190" t="s">
        <v>210</v>
      </c>
      <c r="N402" s="190">
        <v>8000</v>
      </c>
      <c r="O402" s="190">
        <v>4009</v>
      </c>
      <c r="P402" s="190">
        <v>3</v>
      </c>
      <c r="Q402" s="190">
        <v>2025</v>
      </c>
      <c r="R402" s="190">
        <v>1</v>
      </c>
    </row>
    <row r="403" spans="1:18" x14ac:dyDescent="0.2">
      <c r="A403" s="190" t="s">
        <v>48</v>
      </c>
      <c r="B403" s="191" t="s">
        <v>211</v>
      </c>
      <c r="C403" s="191" t="s">
        <v>187</v>
      </c>
      <c r="D403" s="191" t="s">
        <v>4</v>
      </c>
      <c r="E403" s="191" t="s">
        <v>202</v>
      </c>
      <c r="F403" s="190" t="s">
        <v>212</v>
      </c>
      <c r="G403" s="190" t="s">
        <v>208</v>
      </c>
      <c r="H403" s="190" t="s">
        <v>22</v>
      </c>
      <c r="I403" s="191" t="s">
        <v>106</v>
      </c>
      <c r="J403" s="190" t="s">
        <v>224</v>
      </c>
      <c r="K403" s="191" t="s">
        <v>221</v>
      </c>
      <c r="L403" s="192" t="s">
        <v>205</v>
      </c>
      <c r="M403" s="190" t="s">
        <v>210</v>
      </c>
      <c r="N403" s="190">
        <v>6000</v>
      </c>
      <c r="O403" s="190">
        <v>4009</v>
      </c>
      <c r="P403" s="190">
        <v>7</v>
      </c>
      <c r="Q403" s="190">
        <v>2025</v>
      </c>
      <c r="R403" s="190">
        <v>1</v>
      </c>
    </row>
    <row r="404" spans="1:18" x14ac:dyDescent="0.2">
      <c r="A404" s="190" t="s">
        <v>48</v>
      </c>
      <c r="B404" s="191" t="s">
        <v>211</v>
      </c>
      <c r="C404" s="191" t="s">
        <v>187</v>
      </c>
      <c r="D404" s="191" t="s">
        <v>4</v>
      </c>
      <c r="E404" s="191" t="s">
        <v>202</v>
      </c>
      <c r="F404" s="190" t="s">
        <v>212</v>
      </c>
      <c r="G404" s="190" t="s">
        <v>208</v>
      </c>
      <c r="H404" s="190" t="s">
        <v>22</v>
      </c>
      <c r="I404" s="191" t="s">
        <v>106</v>
      </c>
      <c r="J404" s="190" t="s">
        <v>274</v>
      </c>
      <c r="K404" s="191" t="s">
        <v>221</v>
      </c>
      <c r="L404" s="192" t="s">
        <v>205</v>
      </c>
      <c r="M404" s="190" t="s">
        <v>210</v>
      </c>
      <c r="N404" s="190">
        <v>7500</v>
      </c>
      <c r="O404" s="190">
        <v>4009</v>
      </c>
      <c r="P404" s="190">
        <v>3</v>
      </c>
      <c r="Q404" s="190">
        <v>2025</v>
      </c>
      <c r="R404" s="190">
        <v>1</v>
      </c>
    </row>
    <row r="405" spans="1:18" x14ac:dyDescent="0.2">
      <c r="A405" s="190" t="s">
        <v>48</v>
      </c>
      <c r="B405" s="191" t="s">
        <v>211</v>
      </c>
      <c r="C405" s="191" t="s">
        <v>187</v>
      </c>
      <c r="D405" s="191" t="s">
        <v>4</v>
      </c>
      <c r="E405" s="191" t="s">
        <v>202</v>
      </c>
      <c r="F405" s="190" t="s">
        <v>212</v>
      </c>
      <c r="G405" s="190" t="s">
        <v>208</v>
      </c>
      <c r="H405" s="190" t="s">
        <v>22</v>
      </c>
      <c r="I405" s="191" t="s">
        <v>109</v>
      </c>
      <c r="J405" s="190" t="s">
        <v>220</v>
      </c>
      <c r="K405" s="191" t="s">
        <v>221</v>
      </c>
      <c r="L405" s="192" t="s">
        <v>205</v>
      </c>
      <c r="M405" s="190" t="s">
        <v>210</v>
      </c>
      <c r="N405" s="190">
        <v>10500</v>
      </c>
      <c r="O405" s="190">
        <v>5123</v>
      </c>
      <c r="P405" s="190">
        <v>3</v>
      </c>
      <c r="Q405" s="190">
        <v>2025</v>
      </c>
      <c r="R405" s="190">
        <v>4</v>
      </c>
    </row>
    <row r="406" spans="1:18" x14ac:dyDescent="0.2">
      <c r="A406" s="190" t="s">
        <v>48</v>
      </c>
      <c r="B406" s="191" t="s">
        <v>211</v>
      </c>
      <c r="C406" s="191" t="s">
        <v>187</v>
      </c>
      <c r="D406" s="191" t="s">
        <v>4</v>
      </c>
      <c r="E406" s="191" t="s">
        <v>202</v>
      </c>
      <c r="F406" s="190" t="s">
        <v>212</v>
      </c>
      <c r="G406" s="190" t="s">
        <v>208</v>
      </c>
      <c r="H406" s="190" t="s">
        <v>21</v>
      </c>
      <c r="I406" s="191" t="s">
        <v>110</v>
      </c>
      <c r="J406" s="190" t="s">
        <v>226</v>
      </c>
      <c r="K406" s="191" t="s">
        <v>227</v>
      </c>
      <c r="L406" s="192" t="s">
        <v>205</v>
      </c>
      <c r="M406" s="190" t="s">
        <v>210</v>
      </c>
      <c r="N406" s="190">
        <v>9700</v>
      </c>
      <c r="O406" s="190">
        <v>3933</v>
      </c>
      <c r="P406" s="190">
        <v>3</v>
      </c>
      <c r="Q406" s="190">
        <v>2024</v>
      </c>
      <c r="R406" s="190">
        <v>3</v>
      </c>
    </row>
    <row r="407" spans="1:18" x14ac:dyDescent="0.2">
      <c r="A407" s="190" t="s">
        <v>48</v>
      </c>
      <c r="B407" s="191" t="s">
        <v>211</v>
      </c>
      <c r="C407" s="191" t="s">
        <v>187</v>
      </c>
      <c r="D407" s="191" t="s">
        <v>4</v>
      </c>
      <c r="E407" s="191" t="s">
        <v>202</v>
      </c>
      <c r="F407" s="190" t="s">
        <v>212</v>
      </c>
      <c r="G407" s="190" t="s">
        <v>208</v>
      </c>
      <c r="H407" s="190" t="s">
        <v>21</v>
      </c>
      <c r="I407" s="191" t="s">
        <v>110</v>
      </c>
      <c r="J407" s="190" t="s">
        <v>226</v>
      </c>
      <c r="K407" s="191" t="s">
        <v>227</v>
      </c>
      <c r="L407" s="192" t="s">
        <v>205</v>
      </c>
      <c r="M407" s="190" t="s">
        <v>210</v>
      </c>
      <c r="N407" s="190">
        <v>9700</v>
      </c>
      <c r="O407" s="190">
        <v>3933</v>
      </c>
      <c r="P407" s="190">
        <v>3</v>
      </c>
      <c r="Q407" s="190">
        <v>2025</v>
      </c>
      <c r="R407" s="190">
        <v>1</v>
      </c>
    </row>
    <row r="408" spans="1:18" x14ac:dyDescent="0.2">
      <c r="A408" s="190" t="s">
        <v>48</v>
      </c>
      <c r="B408" s="191" t="s">
        <v>211</v>
      </c>
      <c r="C408" s="191" t="s">
        <v>187</v>
      </c>
      <c r="D408" s="191" t="s">
        <v>4</v>
      </c>
      <c r="E408" s="191" t="s">
        <v>202</v>
      </c>
      <c r="F408" s="190" t="s">
        <v>212</v>
      </c>
      <c r="G408" s="190" t="s">
        <v>208</v>
      </c>
      <c r="H408" s="190" t="s">
        <v>21</v>
      </c>
      <c r="I408" s="191" t="s">
        <v>110</v>
      </c>
      <c r="J408" s="190" t="s">
        <v>226</v>
      </c>
      <c r="K408" s="191" t="s">
        <v>381</v>
      </c>
      <c r="L408" s="192" t="s">
        <v>205</v>
      </c>
      <c r="M408" s="190" t="s">
        <v>210</v>
      </c>
      <c r="N408" s="190">
        <v>9700</v>
      </c>
      <c r="O408" s="190">
        <v>3933</v>
      </c>
      <c r="P408" s="190">
        <v>3</v>
      </c>
      <c r="Q408" s="190">
        <v>2024</v>
      </c>
      <c r="R408" s="190">
        <v>1</v>
      </c>
    </row>
    <row r="409" spans="1:18" x14ac:dyDescent="0.2">
      <c r="A409" s="190" t="s">
        <v>48</v>
      </c>
      <c r="B409" s="191" t="s">
        <v>211</v>
      </c>
      <c r="C409" s="191" t="s">
        <v>187</v>
      </c>
      <c r="D409" s="191" t="s">
        <v>4</v>
      </c>
      <c r="E409" s="191" t="s">
        <v>202</v>
      </c>
      <c r="F409" s="190" t="s">
        <v>212</v>
      </c>
      <c r="G409" s="190" t="s">
        <v>208</v>
      </c>
      <c r="H409" s="190" t="s">
        <v>21</v>
      </c>
      <c r="I409" s="191" t="s">
        <v>110</v>
      </c>
      <c r="J409" s="190" t="s">
        <v>228</v>
      </c>
      <c r="K409" s="191" t="s">
        <v>227</v>
      </c>
      <c r="L409" s="192" t="s">
        <v>205</v>
      </c>
      <c r="M409" s="190" t="s">
        <v>210</v>
      </c>
      <c r="N409" s="190">
        <v>9700</v>
      </c>
      <c r="O409" s="190">
        <v>3933</v>
      </c>
      <c r="P409" s="190">
        <v>3</v>
      </c>
      <c r="Q409" s="190">
        <v>2024</v>
      </c>
      <c r="R409" s="190">
        <v>1</v>
      </c>
    </row>
    <row r="410" spans="1:18" x14ac:dyDescent="0.2">
      <c r="A410" s="190" t="s">
        <v>48</v>
      </c>
      <c r="B410" s="191" t="s">
        <v>211</v>
      </c>
      <c r="C410" s="191" t="s">
        <v>187</v>
      </c>
      <c r="D410" s="191" t="s">
        <v>4</v>
      </c>
      <c r="E410" s="191" t="s">
        <v>202</v>
      </c>
      <c r="F410" s="190" t="s">
        <v>212</v>
      </c>
      <c r="G410" s="190" t="s">
        <v>208</v>
      </c>
      <c r="H410" s="190" t="s">
        <v>21</v>
      </c>
      <c r="I410" s="191" t="s">
        <v>110</v>
      </c>
      <c r="J410" s="190" t="s">
        <v>228</v>
      </c>
      <c r="K410" s="191" t="s">
        <v>227</v>
      </c>
      <c r="L410" s="192" t="s">
        <v>205</v>
      </c>
      <c r="M410" s="190" t="s">
        <v>210</v>
      </c>
      <c r="N410" s="190">
        <v>9700</v>
      </c>
      <c r="O410" s="190">
        <v>3933</v>
      </c>
      <c r="P410" s="190">
        <v>3</v>
      </c>
      <c r="Q410" s="190">
        <v>2025</v>
      </c>
      <c r="R410" s="190">
        <v>1</v>
      </c>
    </row>
    <row r="411" spans="1:18" x14ac:dyDescent="0.2">
      <c r="A411" s="190" t="s">
        <v>48</v>
      </c>
      <c r="B411" s="191" t="s">
        <v>211</v>
      </c>
      <c r="C411" s="191" t="s">
        <v>187</v>
      </c>
      <c r="D411" s="191" t="s">
        <v>4</v>
      </c>
      <c r="E411" s="191" t="s">
        <v>202</v>
      </c>
      <c r="F411" s="190" t="s">
        <v>212</v>
      </c>
      <c r="G411" s="190" t="s">
        <v>208</v>
      </c>
      <c r="H411" s="190" t="s">
        <v>21</v>
      </c>
      <c r="I411" s="191" t="s">
        <v>112</v>
      </c>
      <c r="J411" s="190" t="s">
        <v>229</v>
      </c>
      <c r="K411" s="191" t="s">
        <v>213</v>
      </c>
      <c r="L411" s="192" t="s">
        <v>205</v>
      </c>
      <c r="M411" s="190" t="s">
        <v>210</v>
      </c>
      <c r="N411" s="190">
        <v>6500</v>
      </c>
      <c r="O411" s="190">
        <v>2891</v>
      </c>
      <c r="P411" s="190">
        <v>3</v>
      </c>
      <c r="Q411" s="190">
        <v>2025</v>
      </c>
      <c r="R411" s="190">
        <v>1</v>
      </c>
    </row>
    <row r="412" spans="1:18" x14ac:dyDescent="0.2">
      <c r="A412" s="190" t="s">
        <v>48</v>
      </c>
      <c r="B412" s="191" t="s">
        <v>211</v>
      </c>
      <c r="C412" s="191" t="s">
        <v>187</v>
      </c>
      <c r="D412" s="191" t="s">
        <v>4</v>
      </c>
      <c r="E412" s="191" t="s">
        <v>202</v>
      </c>
      <c r="F412" s="190" t="s">
        <v>212</v>
      </c>
      <c r="G412" s="190" t="s">
        <v>208</v>
      </c>
      <c r="H412" s="190" t="s">
        <v>21</v>
      </c>
      <c r="I412" s="191" t="s">
        <v>113</v>
      </c>
      <c r="J412" s="190" t="s">
        <v>220</v>
      </c>
      <c r="K412" s="191" t="s">
        <v>227</v>
      </c>
      <c r="L412" s="192" t="s">
        <v>205</v>
      </c>
      <c r="M412" s="190" t="s">
        <v>210</v>
      </c>
      <c r="N412" s="190">
        <v>7800</v>
      </c>
      <c r="O412" s="190">
        <v>2891</v>
      </c>
      <c r="P412" s="190">
        <v>3</v>
      </c>
      <c r="Q412" s="190">
        <v>2024</v>
      </c>
      <c r="R412" s="190">
        <v>1</v>
      </c>
    </row>
    <row r="413" spans="1:18" x14ac:dyDescent="0.2">
      <c r="A413" s="190" t="s">
        <v>48</v>
      </c>
      <c r="B413" s="191" t="s">
        <v>211</v>
      </c>
      <c r="C413" s="191" t="s">
        <v>187</v>
      </c>
      <c r="D413" s="191" t="s">
        <v>4</v>
      </c>
      <c r="E413" s="191" t="s">
        <v>202</v>
      </c>
      <c r="F413" s="190" t="s">
        <v>212</v>
      </c>
      <c r="G413" s="190" t="s">
        <v>208</v>
      </c>
      <c r="H413" s="190" t="s">
        <v>21</v>
      </c>
      <c r="I413" s="191" t="s">
        <v>113</v>
      </c>
      <c r="J413" s="190" t="s">
        <v>220</v>
      </c>
      <c r="K413" s="191" t="s">
        <v>227</v>
      </c>
      <c r="L413" s="192" t="s">
        <v>205</v>
      </c>
      <c r="M413" s="190" t="s">
        <v>210</v>
      </c>
      <c r="N413" s="190">
        <v>7800</v>
      </c>
      <c r="O413" s="190">
        <v>2891</v>
      </c>
      <c r="P413" s="190">
        <v>3</v>
      </c>
      <c r="Q413" s="190">
        <v>2025</v>
      </c>
      <c r="R413" s="190">
        <v>1</v>
      </c>
    </row>
    <row r="414" spans="1:18" x14ac:dyDescent="0.2">
      <c r="A414" s="190" t="s">
        <v>48</v>
      </c>
      <c r="B414" s="191" t="s">
        <v>211</v>
      </c>
      <c r="C414" s="191" t="s">
        <v>187</v>
      </c>
      <c r="D414" s="191" t="s">
        <v>4</v>
      </c>
      <c r="E414" s="191" t="s">
        <v>202</v>
      </c>
      <c r="F414" s="190" t="s">
        <v>212</v>
      </c>
      <c r="G414" s="190" t="s">
        <v>208</v>
      </c>
      <c r="H414" s="190" t="s">
        <v>24</v>
      </c>
      <c r="I414" s="191" t="s">
        <v>114</v>
      </c>
      <c r="J414" s="190" t="s">
        <v>230</v>
      </c>
      <c r="K414" s="191" t="s">
        <v>221</v>
      </c>
      <c r="L414" s="192" t="s">
        <v>205</v>
      </c>
      <c r="M414" s="190" t="s">
        <v>210</v>
      </c>
      <c r="N414" s="190">
        <v>10400</v>
      </c>
      <c r="O414" s="190">
        <v>5193</v>
      </c>
      <c r="P414" s="190">
        <v>3</v>
      </c>
      <c r="Q414" s="190">
        <v>2025</v>
      </c>
      <c r="R414" s="190">
        <v>6</v>
      </c>
    </row>
    <row r="415" spans="1:18" x14ac:dyDescent="0.2">
      <c r="A415" s="190" t="s">
        <v>48</v>
      </c>
      <c r="B415" s="191" t="s">
        <v>211</v>
      </c>
      <c r="C415" s="191" t="s">
        <v>187</v>
      </c>
      <c r="D415" s="191" t="s">
        <v>4</v>
      </c>
      <c r="E415" s="191" t="s">
        <v>202</v>
      </c>
      <c r="F415" s="190" t="s">
        <v>212</v>
      </c>
      <c r="G415" s="190" t="s">
        <v>208</v>
      </c>
      <c r="H415" s="190" t="s">
        <v>24</v>
      </c>
      <c r="I415" s="191" t="s">
        <v>118</v>
      </c>
      <c r="J415" s="190" t="s">
        <v>231</v>
      </c>
      <c r="K415" s="191" t="s">
        <v>221</v>
      </c>
      <c r="L415" s="192" t="s">
        <v>205</v>
      </c>
      <c r="M415" s="190" t="s">
        <v>210</v>
      </c>
      <c r="N415" s="190">
        <v>5045</v>
      </c>
      <c r="O415" s="190">
        <v>2999</v>
      </c>
      <c r="P415" s="190">
        <v>3</v>
      </c>
      <c r="Q415" s="190">
        <v>2025</v>
      </c>
      <c r="R415" s="190">
        <v>3</v>
      </c>
    </row>
    <row r="416" spans="1:18" x14ac:dyDescent="0.2">
      <c r="A416" s="190" t="s">
        <v>48</v>
      </c>
      <c r="B416" s="191" t="s">
        <v>211</v>
      </c>
      <c r="C416" s="191" t="s">
        <v>187</v>
      </c>
      <c r="D416" s="191" t="s">
        <v>4</v>
      </c>
      <c r="E416" s="191" t="s">
        <v>202</v>
      </c>
      <c r="F416" s="190" t="s">
        <v>212</v>
      </c>
      <c r="G416" s="190" t="s">
        <v>208</v>
      </c>
      <c r="H416" s="190" t="s">
        <v>24</v>
      </c>
      <c r="I416" s="191" t="s">
        <v>119</v>
      </c>
      <c r="J416" s="190" t="s">
        <v>232</v>
      </c>
      <c r="K416" s="191" t="s">
        <v>221</v>
      </c>
      <c r="L416" s="192" t="s">
        <v>205</v>
      </c>
      <c r="M416" s="190" t="s">
        <v>210</v>
      </c>
      <c r="N416" s="190">
        <v>7000</v>
      </c>
      <c r="O416" s="190">
        <v>5193</v>
      </c>
      <c r="P416" s="190">
        <v>3</v>
      </c>
      <c r="Q416" s="190">
        <v>2025</v>
      </c>
      <c r="R416" s="190">
        <v>2</v>
      </c>
    </row>
    <row r="417" spans="1:18" x14ac:dyDescent="0.2">
      <c r="A417" s="190" t="s">
        <v>48</v>
      </c>
      <c r="B417" s="191" t="s">
        <v>211</v>
      </c>
      <c r="C417" s="191" t="s">
        <v>187</v>
      </c>
      <c r="D417" s="191" t="s">
        <v>4</v>
      </c>
      <c r="E417" s="191" t="s">
        <v>202</v>
      </c>
      <c r="F417" s="190" t="s">
        <v>212</v>
      </c>
      <c r="G417" s="190" t="s">
        <v>208</v>
      </c>
      <c r="H417" s="190" t="s">
        <v>24</v>
      </c>
      <c r="I417" s="191" t="s">
        <v>120</v>
      </c>
      <c r="J417" s="190" t="s">
        <v>233</v>
      </c>
      <c r="K417" s="191" t="s">
        <v>221</v>
      </c>
      <c r="L417" s="192" t="s">
        <v>205</v>
      </c>
      <c r="M417" s="190" t="s">
        <v>210</v>
      </c>
      <c r="N417" s="190">
        <v>8000</v>
      </c>
      <c r="O417" s="190">
        <v>5193</v>
      </c>
      <c r="P417" s="190">
        <v>3</v>
      </c>
      <c r="Q417" s="190">
        <v>2025</v>
      </c>
      <c r="R417" s="190">
        <v>13</v>
      </c>
    </row>
    <row r="418" spans="1:18" x14ac:dyDescent="0.2">
      <c r="A418" s="190" t="s">
        <v>48</v>
      </c>
      <c r="B418" s="191" t="s">
        <v>211</v>
      </c>
      <c r="C418" s="191" t="s">
        <v>187</v>
      </c>
      <c r="D418" s="191" t="s">
        <v>4</v>
      </c>
      <c r="E418" s="191" t="s">
        <v>202</v>
      </c>
      <c r="F418" s="190" t="s">
        <v>212</v>
      </c>
      <c r="G418" s="190" t="s">
        <v>208</v>
      </c>
      <c r="H418" s="190" t="s">
        <v>24</v>
      </c>
      <c r="I418" s="191" t="s">
        <v>357</v>
      </c>
      <c r="J418" s="190" t="s">
        <v>374</v>
      </c>
      <c r="K418" s="191" t="s">
        <v>221</v>
      </c>
      <c r="L418" s="192" t="s">
        <v>205</v>
      </c>
      <c r="M418" s="190" t="s">
        <v>210</v>
      </c>
      <c r="N418" s="190">
        <v>7000</v>
      </c>
      <c r="O418" s="190">
        <v>5193</v>
      </c>
      <c r="P418" s="190">
        <v>7</v>
      </c>
      <c r="Q418" s="190">
        <v>2025</v>
      </c>
      <c r="R418" s="190">
        <v>1</v>
      </c>
    </row>
    <row r="419" spans="1:18" x14ac:dyDescent="0.2">
      <c r="A419" s="190" t="s">
        <v>48</v>
      </c>
      <c r="B419" s="191" t="s">
        <v>211</v>
      </c>
      <c r="C419" s="191" t="s">
        <v>187</v>
      </c>
      <c r="D419" s="191" t="s">
        <v>4</v>
      </c>
      <c r="E419" s="191" t="s">
        <v>202</v>
      </c>
      <c r="F419" s="190" t="s">
        <v>212</v>
      </c>
      <c r="G419" s="190" t="s">
        <v>208</v>
      </c>
      <c r="H419" s="190" t="s">
        <v>24</v>
      </c>
      <c r="I419" s="191" t="s">
        <v>121</v>
      </c>
      <c r="J419" s="190" t="s">
        <v>232</v>
      </c>
      <c r="K419" s="191" t="s">
        <v>221</v>
      </c>
      <c r="L419" s="192" t="s">
        <v>205</v>
      </c>
      <c r="M419" s="190" t="s">
        <v>234</v>
      </c>
      <c r="N419" s="190">
        <v>6960</v>
      </c>
      <c r="O419" s="190">
        <v>5193</v>
      </c>
      <c r="P419" s="190">
        <v>3</v>
      </c>
      <c r="Q419" s="190">
        <v>2025</v>
      </c>
      <c r="R419" s="190">
        <v>5</v>
      </c>
    </row>
    <row r="420" spans="1:18" x14ac:dyDescent="0.2">
      <c r="A420" s="190" t="s">
        <v>48</v>
      </c>
      <c r="B420" s="191" t="s">
        <v>211</v>
      </c>
      <c r="C420" s="191" t="s">
        <v>187</v>
      </c>
      <c r="D420" s="191" t="s">
        <v>4</v>
      </c>
      <c r="E420" s="191" t="s">
        <v>202</v>
      </c>
      <c r="F420" s="190" t="s">
        <v>212</v>
      </c>
      <c r="G420" s="190" t="s">
        <v>208</v>
      </c>
      <c r="H420" s="190" t="s">
        <v>24</v>
      </c>
      <c r="I420" s="191" t="s">
        <v>122</v>
      </c>
      <c r="J420" s="190" t="s">
        <v>336</v>
      </c>
      <c r="K420" s="191" t="s">
        <v>221</v>
      </c>
      <c r="L420" s="192" t="s">
        <v>205</v>
      </c>
      <c r="M420" s="190" t="s">
        <v>210</v>
      </c>
      <c r="N420" s="190">
        <v>9500</v>
      </c>
      <c r="O420" s="190">
        <v>5193</v>
      </c>
      <c r="P420" s="190">
        <v>3</v>
      </c>
      <c r="Q420" s="190">
        <v>2025</v>
      </c>
      <c r="R420" s="190">
        <v>7</v>
      </c>
    </row>
    <row r="421" spans="1:18" x14ac:dyDescent="0.2">
      <c r="A421" s="190" t="s">
        <v>48</v>
      </c>
      <c r="B421" s="191" t="s">
        <v>211</v>
      </c>
      <c r="C421" s="191" t="s">
        <v>187</v>
      </c>
      <c r="D421" s="191" t="s">
        <v>4</v>
      </c>
      <c r="E421" s="191" t="s">
        <v>202</v>
      </c>
      <c r="F421" s="190" t="s">
        <v>212</v>
      </c>
      <c r="G421" s="190" t="s">
        <v>208</v>
      </c>
      <c r="H421" s="190" t="s">
        <v>29</v>
      </c>
      <c r="I421" s="191" t="s">
        <v>123</v>
      </c>
      <c r="J421" s="190" t="s">
        <v>275</v>
      </c>
      <c r="K421" s="191" t="s">
        <v>213</v>
      </c>
      <c r="L421" s="192" t="s">
        <v>205</v>
      </c>
      <c r="M421" s="190" t="s">
        <v>210</v>
      </c>
      <c r="N421" s="190">
        <v>6160</v>
      </c>
      <c r="O421" s="190">
        <v>2746</v>
      </c>
      <c r="P421" s="190">
        <v>3</v>
      </c>
      <c r="Q421" s="190">
        <v>2025</v>
      </c>
      <c r="R421" s="190">
        <v>2</v>
      </c>
    </row>
    <row r="422" spans="1:18" x14ac:dyDescent="0.2">
      <c r="A422" s="190" t="s">
        <v>48</v>
      </c>
      <c r="B422" s="191" t="s">
        <v>211</v>
      </c>
      <c r="C422" s="191" t="s">
        <v>187</v>
      </c>
      <c r="D422" s="191" t="s">
        <v>4</v>
      </c>
      <c r="E422" s="191" t="s">
        <v>202</v>
      </c>
      <c r="F422" s="190" t="s">
        <v>212</v>
      </c>
      <c r="G422" s="190" t="s">
        <v>208</v>
      </c>
      <c r="H422" s="190" t="s">
        <v>29</v>
      </c>
      <c r="I422" s="191" t="s">
        <v>125</v>
      </c>
      <c r="J422" s="190" t="s">
        <v>367</v>
      </c>
      <c r="K422" s="191" t="s">
        <v>213</v>
      </c>
      <c r="L422" s="192" t="s">
        <v>205</v>
      </c>
      <c r="M422" s="190" t="s">
        <v>210</v>
      </c>
      <c r="N422" s="190">
        <v>9900</v>
      </c>
      <c r="O422" s="190">
        <v>3760</v>
      </c>
      <c r="P422" s="190">
        <v>3</v>
      </c>
      <c r="Q422" s="190">
        <v>2025</v>
      </c>
      <c r="R422" s="190">
        <v>1</v>
      </c>
    </row>
    <row r="423" spans="1:18" x14ac:dyDescent="0.2">
      <c r="A423" s="190" t="s">
        <v>48</v>
      </c>
      <c r="B423" s="191" t="s">
        <v>211</v>
      </c>
      <c r="C423" s="191" t="s">
        <v>187</v>
      </c>
      <c r="D423" s="191" t="s">
        <v>4</v>
      </c>
      <c r="E423" s="191" t="s">
        <v>202</v>
      </c>
      <c r="F423" s="190" t="s">
        <v>212</v>
      </c>
      <c r="G423" s="190" t="s">
        <v>208</v>
      </c>
      <c r="H423" s="190" t="s">
        <v>39</v>
      </c>
      <c r="I423" s="191" t="s">
        <v>285</v>
      </c>
      <c r="J423" s="190" t="s">
        <v>631</v>
      </c>
      <c r="K423" s="191" t="s">
        <v>213</v>
      </c>
      <c r="L423" s="192" t="s">
        <v>205</v>
      </c>
      <c r="M423" s="190" t="s">
        <v>210</v>
      </c>
      <c r="N423" s="190">
        <v>6361</v>
      </c>
      <c r="O423" s="190">
        <v>2771</v>
      </c>
      <c r="P423" s="190">
        <v>3</v>
      </c>
      <c r="Q423" s="190">
        <v>2025</v>
      </c>
      <c r="R423" s="190">
        <v>3</v>
      </c>
    </row>
    <row r="424" spans="1:18" x14ac:dyDescent="0.2">
      <c r="A424" s="190" t="s">
        <v>48</v>
      </c>
      <c r="B424" s="191" t="s">
        <v>211</v>
      </c>
      <c r="C424" s="191" t="s">
        <v>187</v>
      </c>
      <c r="D424" s="191" t="s">
        <v>4</v>
      </c>
      <c r="E424" s="191" t="s">
        <v>202</v>
      </c>
      <c r="F424" s="190" t="s">
        <v>212</v>
      </c>
      <c r="G424" s="190" t="s">
        <v>203</v>
      </c>
      <c r="H424" s="190" t="s">
        <v>65</v>
      </c>
      <c r="I424" s="191" t="s">
        <v>103</v>
      </c>
      <c r="J424" s="190" t="s">
        <v>375</v>
      </c>
      <c r="K424" s="191" t="s">
        <v>245</v>
      </c>
      <c r="L424" s="192" t="s">
        <v>205</v>
      </c>
      <c r="M424" s="190" t="s">
        <v>210</v>
      </c>
      <c r="N424" s="190">
        <v>18000</v>
      </c>
      <c r="O424" s="190">
        <v>6372</v>
      </c>
      <c r="P424" s="190">
        <v>3</v>
      </c>
      <c r="Q424" s="190">
        <v>2025</v>
      </c>
      <c r="R424" s="190">
        <v>1</v>
      </c>
    </row>
    <row r="425" spans="1:18" x14ac:dyDescent="0.2">
      <c r="A425" s="190" t="s">
        <v>48</v>
      </c>
      <c r="B425" s="191" t="s">
        <v>211</v>
      </c>
      <c r="C425" s="191" t="s">
        <v>187</v>
      </c>
      <c r="D425" s="191" t="s">
        <v>4</v>
      </c>
      <c r="E425" s="191" t="s">
        <v>202</v>
      </c>
      <c r="F425" s="190" t="s">
        <v>212</v>
      </c>
      <c r="G425" s="190" t="s">
        <v>203</v>
      </c>
      <c r="H425" s="190" t="s">
        <v>22</v>
      </c>
      <c r="I425" s="191" t="s">
        <v>107</v>
      </c>
      <c r="J425" s="190" t="s">
        <v>220</v>
      </c>
      <c r="K425" s="191" t="s">
        <v>221</v>
      </c>
      <c r="L425" s="192" t="s">
        <v>205</v>
      </c>
      <c r="M425" s="190" t="s">
        <v>210</v>
      </c>
      <c r="N425" s="190">
        <v>12500</v>
      </c>
      <c r="O425" s="190">
        <v>7684</v>
      </c>
      <c r="P425" s="190">
        <v>3</v>
      </c>
      <c r="Q425" s="190">
        <v>2025</v>
      </c>
      <c r="R425" s="190">
        <v>7</v>
      </c>
    </row>
    <row r="426" spans="1:18" x14ac:dyDescent="0.2">
      <c r="A426" s="190" t="s">
        <v>48</v>
      </c>
      <c r="B426" s="191" t="s">
        <v>211</v>
      </c>
      <c r="C426" s="191" t="s">
        <v>187</v>
      </c>
      <c r="D426" s="191" t="s">
        <v>4</v>
      </c>
      <c r="E426" s="191" t="s">
        <v>202</v>
      </c>
      <c r="F426" s="190" t="s">
        <v>212</v>
      </c>
      <c r="G426" s="190" t="s">
        <v>203</v>
      </c>
      <c r="H426" s="190" t="s">
        <v>22</v>
      </c>
      <c r="I426" s="191" t="s">
        <v>105</v>
      </c>
      <c r="J426" s="190" t="s">
        <v>235</v>
      </c>
      <c r="K426" s="191" t="s">
        <v>221</v>
      </c>
      <c r="L426" s="192" t="s">
        <v>205</v>
      </c>
      <c r="M426" s="190" t="s">
        <v>206</v>
      </c>
      <c r="N426" s="190">
        <v>28000</v>
      </c>
      <c r="O426" s="190">
        <v>8866</v>
      </c>
      <c r="P426" s="190">
        <v>3</v>
      </c>
      <c r="Q426" s="190">
        <v>2025</v>
      </c>
      <c r="R426" s="190">
        <v>3</v>
      </c>
    </row>
    <row r="427" spans="1:18" x14ac:dyDescent="0.2">
      <c r="A427" s="190" t="s">
        <v>48</v>
      </c>
      <c r="B427" s="191" t="s">
        <v>211</v>
      </c>
      <c r="C427" s="191" t="s">
        <v>187</v>
      </c>
      <c r="D427" s="191" t="s">
        <v>4</v>
      </c>
      <c r="E427" s="191" t="s">
        <v>202</v>
      </c>
      <c r="F427" s="190" t="s">
        <v>212</v>
      </c>
      <c r="G427" s="190" t="s">
        <v>203</v>
      </c>
      <c r="H427" s="190" t="s">
        <v>22</v>
      </c>
      <c r="I427" s="191" t="s">
        <v>108</v>
      </c>
      <c r="J427" s="190" t="s">
        <v>260</v>
      </c>
      <c r="K427" s="191" t="s">
        <v>221</v>
      </c>
      <c r="L427" s="192" t="s">
        <v>205</v>
      </c>
      <c r="M427" s="190" t="s">
        <v>210</v>
      </c>
      <c r="N427" s="190">
        <v>17800</v>
      </c>
      <c r="O427" s="190">
        <v>7684</v>
      </c>
      <c r="P427" s="190">
        <v>3</v>
      </c>
      <c r="Q427" s="190">
        <v>2025</v>
      </c>
      <c r="R427" s="190">
        <v>1</v>
      </c>
    </row>
    <row r="428" spans="1:18" x14ac:dyDescent="0.2">
      <c r="A428" s="190" t="s">
        <v>48</v>
      </c>
      <c r="B428" s="191" t="s">
        <v>211</v>
      </c>
      <c r="C428" s="191" t="s">
        <v>187</v>
      </c>
      <c r="D428" s="191" t="s">
        <v>4</v>
      </c>
      <c r="E428" s="191" t="s">
        <v>202</v>
      </c>
      <c r="F428" s="190" t="s">
        <v>212</v>
      </c>
      <c r="G428" s="190" t="s">
        <v>203</v>
      </c>
      <c r="H428" s="190" t="s">
        <v>26</v>
      </c>
      <c r="I428" s="191" t="s">
        <v>385</v>
      </c>
      <c r="J428" s="190" t="s">
        <v>236</v>
      </c>
      <c r="K428" s="191" t="s">
        <v>237</v>
      </c>
      <c r="L428" s="192" t="s">
        <v>205</v>
      </c>
      <c r="M428" s="190" t="s">
        <v>206</v>
      </c>
      <c r="N428" s="190">
        <v>29937</v>
      </c>
      <c r="O428" s="190">
        <v>10800</v>
      </c>
      <c r="P428" s="190">
        <v>3</v>
      </c>
      <c r="Q428" s="190">
        <v>2024</v>
      </c>
      <c r="R428" s="190">
        <v>1</v>
      </c>
    </row>
    <row r="429" spans="1:18" x14ac:dyDescent="0.2">
      <c r="A429" s="190" t="s">
        <v>48</v>
      </c>
      <c r="B429" s="191" t="s">
        <v>211</v>
      </c>
      <c r="C429" s="191" t="s">
        <v>187</v>
      </c>
      <c r="D429" s="191" t="s">
        <v>4</v>
      </c>
      <c r="E429" s="191" t="s">
        <v>202</v>
      </c>
      <c r="F429" s="190" t="s">
        <v>212</v>
      </c>
      <c r="G429" s="190" t="s">
        <v>203</v>
      </c>
      <c r="H429" s="190" t="s">
        <v>24</v>
      </c>
      <c r="I429" s="191" t="s">
        <v>115</v>
      </c>
      <c r="J429" s="190" t="s">
        <v>238</v>
      </c>
      <c r="K429" s="191" t="s">
        <v>221</v>
      </c>
      <c r="L429" s="192" t="s">
        <v>205</v>
      </c>
      <c r="M429" s="190" t="s">
        <v>210</v>
      </c>
      <c r="N429" s="190">
        <v>15295</v>
      </c>
      <c r="O429" s="190">
        <v>7790</v>
      </c>
      <c r="P429" s="190">
        <v>3</v>
      </c>
      <c r="Q429" s="190">
        <v>2025</v>
      </c>
      <c r="R429" s="190">
        <v>2</v>
      </c>
    </row>
    <row r="430" spans="1:18" x14ac:dyDescent="0.2">
      <c r="A430" s="190" t="s">
        <v>48</v>
      </c>
      <c r="B430" s="191" t="s">
        <v>211</v>
      </c>
      <c r="C430" s="191" t="s">
        <v>187</v>
      </c>
      <c r="D430" s="191" t="s">
        <v>4</v>
      </c>
      <c r="E430" s="191" t="s">
        <v>202</v>
      </c>
      <c r="F430" s="190" t="s">
        <v>212</v>
      </c>
      <c r="G430" s="190" t="s">
        <v>203</v>
      </c>
      <c r="H430" s="190" t="s">
        <v>24</v>
      </c>
      <c r="I430" s="191" t="s">
        <v>116</v>
      </c>
      <c r="J430" s="190" t="s">
        <v>239</v>
      </c>
      <c r="K430" s="191" t="s">
        <v>221</v>
      </c>
      <c r="L430" s="192" t="s">
        <v>205</v>
      </c>
      <c r="M430" s="190" t="s">
        <v>210</v>
      </c>
      <c r="N430" s="190">
        <v>18630</v>
      </c>
      <c r="O430" s="190">
        <v>7790</v>
      </c>
      <c r="P430" s="190">
        <v>3</v>
      </c>
      <c r="Q430" s="190">
        <v>2024</v>
      </c>
      <c r="R430" s="190">
        <v>2</v>
      </c>
    </row>
    <row r="431" spans="1:18" x14ac:dyDescent="0.2">
      <c r="A431" s="190" t="s">
        <v>48</v>
      </c>
      <c r="B431" s="191" t="s">
        <v>211</v>
      </c>
      <c r="C431" s="191" t="s">
        <v>187</v>
      </c>
      <c r="D431" s="191" t="s">
        <v>4</v>
      </c>
      <c r="E431" s="191" t="s">
        <v>202</v>
      </c>
      <c r="F431" s="190" t="s">
        <v>212</v>
      </c>
      <c r="G431" s="190" t="s">
        <v>203</v>
      </c>
      <c r="H431" s="190" t="s">
        <v>29</v>
      </c>
      <c r="I431" s="191" t="s">
        <v>493</v>
      </c>
      <c r="J431" s="190" t="s">
        <v>632</v>
      </c>
      <c r="K431" s="191" t="s">
        <v>213</v>
      </c>
      <c r="L431" s="192" t="s">
        <v>205</v>
      </c>
      <c r="M431" s="190" t="s">
        <v>210</v>
      </c>
      <c r="N431" s="190">
        <v>15325</v>
      </c>
      <c r="O431" s="190">
        <v>4500</v>
      </c>
      <c r="P431" s="190">
        <v>3</v>
      </c>
      <c r="Q431" s="190">
        <v>2025</v>
      </c>
      <c r="R431" s="190">
        <v>1</v>
      </c>
    </row>
    <row r="432" spans="1:18" x14ac:dyDescent="0.2">
      <c r="A432" s="190" t="s">
        <v>48</v>
      </c>
      <c r="B432" s="191" t="s">
        <v>211</v>
      </c>
      <c r="C432" s="191" t="s">
        <v>187</v>
      </c>
      <c r="D432" s="191" t="s">
        <v>4</v>
      </c>
      <c r="E432" s="191" t="s">
        <v>202</v>
      </c>
      <c r="F432" s="190" t="s">
        <v>212</v>
      </c>
      <c r="G432" s="190" t="s">
        <v>203</v>
      </c>
      <c r="H432" s="190" t="s">
        <v>19</v>
      </c>
      <c r="I432" s="191" t="s">
        <v>131</v>
      </c>
      <c r="J432" s="190" t="s">
        <v>270</v>
      </c>
      <c r="K432" s="191" t="s">
        <v>204</v>
      </c>
      <c r="L432" s="192" t="s">
        <v>205</v>
      </c>
      <c r="M432" s="190" t="s">
        <v>210</v>
      </c>
      <c r="N432" s="190">
        <v>14300</v>
      </c>
      <c r="O432" s="190">
        <v>4801</v>
      </c>
      <c r="P432" s="190">
        <v>2</v>
      </c>
      <c r="Q432" s="190">
        <v>2024</v>
      </c>
      <c r="R432" s="190">
        <v>1</v>
      </c>
    </row>
    <row r="433" spans="1:18" x14ac:dyDescent="0.2">
      <c r="A433" s="190" t="s">
        <v>48</v>
      </c>
      <c r="B433" s="191" t="s">
        <v>211</v>
      </c>
      <c r="C433" s="191" t="s">
        <v>187</v>
      </c>
      <c r="D433" s="191" t="s">
        <v>4</v>
      </c>
      <c r="E433" s="191" t="s">
        <v>202</v>
      </c>
      <c r="F433" s="190" t="s">
        <v>212</v>
      </c>
      <c r="G433" s="190" t="s">
        <v>203</v>
      </c>
      <c r="H433" s="190" t="s">
        <v>19</v>
      </c>
      <c r="I433" s="191" t="s">
        <v>314</v>
      </c>
      <c r="J433" s="190" t="s">
        <v>634</v>
      </c>
      <c r="K433" s="191" t="s">
        <v>204</v>
      </c>
      <c r="L433" s="192" t="s">
        <v>205</v>
      </c>
      <c r="M433" s="190" t="s">
        <v>210</v>
      </c>
      <c r="N433" s="190">
        <v>17500</v>
      </c>
      <c r="O433" s="190">
        <v>7201</v>
      </c>
      <c r="P433" s="190">
        <v>2</v>
      </c>
      <c r="Q433" s="190">
        <v>2025</v>
      </c>
      <c r="R433" s="190">
        <v>1</v>
      </c>
    </row>
    <row r="434" spans="1:18" x14ac:dyDescent="0.2">
      <c r="A434" s="190" t="s">
        <v>48</v>
      </c>
      <c r="B434" s="191" t="s">
        <v>211</v>
      </c>
      <c r="C434" s="191" t="s">
        <v>187</v>
      </c>
      <c r="D434" s="191" t="s">
        <v>4</v>
      </c>
      <c r="E434" s="191" t="s">
        <v>202</v>
      </c>
      <c r="F434" s="190" t="s">
        <v>212</v>
      </c>
      <c r="G434" s="190" t="s">
        <v>203</v>
      </c>
      <c r="H434" s="190" t="s">
        <v>19</v>
      </c>
      <c r="I434" s="191" t="s">
        <v>132</v>
      </c>
      <c r="J434" s="190" t="s">
        <v>276</v>
      </c>
      <c r="K434" s="191" t="s">
        <v>204</v>
      </c>
      <c r="L434" s="192" t="s">
        <v>205</v>
      </c>
      <c r="M434" s="190" t="s">
        <v>241</v>
      </c>
      <c r="N434" s="190">
        <v>31100</v>
      </c>
      <c r="O434" s="190">
        <v>7200</v>
      </c>
      <c r="P434" s="190">
        <v>2</v>
      </c>
      <c r="Q434" s="190">
        <v>2025</v>
      </c>
      <c r="R434" s="190">
        <v>1</v>
      </c>
    </row>
    <row r="435" spans="1:18" x14ac:dyDescent="0.2">
      <c r="A435" s="190" t="s">
        <v>48</v>
      </c>
      <c r="B435" s="191" t="s">
        <v>211</v>
      </c>
      <c r="C435" s="191" t="s">
        <v>187</v>
      </c>
      <c r="D435" s="191" t="s">
        <v>4</v>
      </c>
      <c r="E435" s="191" t="s">
        <v>202</v>
      </c>
      <c r="F435" s="190" t="s">
        <v>212</v>
      </c>
      <c r="G435" s="190" t="s">
        <v>203</v>
      </c>
      <c r="H435" s="190" t="s">
        <v>19</v>
      </c>
      <c r="I435" s="191" t="s">
        <v>134</v>
      </c>
      <c r="J435" s="190" t="s">
        <v>277</v>
      </c>
      <c r="K435" s="191" t="s">
        <v>204</v>
      </c>
      <c r="L435" s="192" t="s">
        <v>205</v>
      </c>
      <c r="M435" s="190" t="s">
        <v>242</v>
      </c>
      <c r="N435" s="190">
        <v>24500</v>
      </c>
      <c r="O435" s="190">
        <v>7200</v>
      </c>
      <c r="P435" s="190">
        <v>2</v>
      </c>
      <c r="Q435" s="190">
        <v>2025</v>
      </c>
      <c r="R435" s="190">
        <v>2</v>
      </c>
    </row>
    <row r="436" spans="1:18" x14ac:dyDescent="0.2">
      <c r="A436" s="190" t="s">
        <v>48</v>
      </c>
      <c r="B436" s="191" t="s">
        <v>211</v>
      </c>
      <c r="C436" s="191" t="s">
        <v>187</v>
      </c>
      <c r="D436" s="191" t="s">
        <v>4</v>
      </c>
      <c r="E436" s="191" t="s">
        <v>202</v>
      </c>
      <c r="F436" s="190" t="s">
        <v>212</v>
      </c>
      <c r="G436" s="190" t="s">
        <v>203</v>
      </c>
      <c r="H436" s="190" t="s">
        <v>19</v>
      </c>
      <c r="I436" s="191" t="s">
        <v>316</v>
      </c>
      <c r="J436" s="190" t="s">
        <v>334</v>
      </c>
      <c r="K436" s="191" t="s">
        <v>204</v>
      </c>
      <c r="L436" s="192" t="s">
        <v>205</v>
      </c>
      <c r="M436" s="190" t="s">
        <v>210</v>
      </c>
      <c r="N436" s="190">
        <v>16300</v>
      </c>
      <c r="O436" s="190">
        <v>4800</v>
      </c>
      <c r="P436" s="190">
        <v>2</v>
      </c>
      <c r="Q436" s="190">
        <v>2025</v>
      </c>
      <c r="R436" s="190">
        <v>1</v>
      </c>
    </row>
    <row r="437" spans="1:18" x14ac:dyDescent="0.2">
      <c r="A437" s="190" t="s">
        <v>48</v>
      </c>
      <c r="B437" s="191" t="s">
        <v>211</v>
      </c>
      <c r="C437" s="191" t="s">
        <v>187</v>
      </c>
      <c r="D437" s="191" t="s">
        <v>4</v>
      </c>
      <c r="E437" s="191" t="s">
        <v>202</v>
      </c>
      <c r="F437" s="190" t="s">
        <v>212</v>
      </c>
      <c r="G437" s="190" t="s">
        <v>203</v>
      </c>
      <c r="H437" s="190" t="s">
        <v>25</v>
      </c>
      <c r="I437" s="191" t="s">
        <v>509</v>
      </c>
      <c r="J437" s="190" t="s">
        <v>701</v>
      </c>
      <c r="K437" s="191" t="s">
        <v>204</v>
      </c>
      <c r="L437" s="192" t="s">
        <v>205</v>
      </c>
      <c r="M437" s="190" t="s">
        <v>206</v>
      </c>
      <c r="N437" s="190">
        <v>28500</v>
      </c>
      <c r="O437" s="190">
        <v>9300</v>
      </c>
      <c r="P437" s="190">
        <v>2</v>
      </c>
      <c r="Q437" s="190">
        <v>2025</v>
      </c>
      <c r="R437" s="190">
        <v>1</v>
      </c>
    </row>
    <row r="438" spans="1:18" x14ac:dyDescent="0.2">
      <c r="A438" s="190" t="s">
        <v>48</v>
      </c>
      <c r="B438" s="191" t="s">
        <v>211</v>
      </c>
      <c r="C438" s="191" t="s">
        <v>187</v>
      </c>
      <c r="D438" s="191" t="s">
        <v>4</v>
      </c>
      <c r="E438" s="191" t="s">
        <v>202</v>
      </c>
      <c r="F438" s="190" t="s">
        <v>212</v>
      </c>
      <c r="G438" s="190" t="s">
        <v>203</v>
      </c>
      <c r="H438" s="190" t="s">
        <v>25</v>
      </c>
      <c r="I438" s="191" t="s">
        <v>509</v>
      </c>
      <c r="J438" s="190" t="s">
        <v>697</v>
      </c>
      <c r="K438" s="191" t="s">
        <v>204</v>
      </c>
      <c r="L438" s="192" t="s">
        <v>205</v>
      </c>
      <c r="M438" s="190" t="s">
        <v>206</v>
      </c>
      <c r="N438" s="190">
        <v>29000</v>
      </c>
      <c r="O438" s="190">
        <v>9300</v>
      </c>
      <c r="P438" s="190">
        <v>2</v>
      </c>
      <c r="Q438" s="190">
        <v>2025</v>
      </c>
      <c r="R438" s="190">
        <v>1</v>
      </c>
    </row>
    <row r="439" spans="1:18" x14ac:dyDescent="0.2">
      <c r="A439" s="190" t="s">
        <v>48</v>
      </c>
      <c r="B439" s="191" t="s">
        <v>211</v>
      </c>
      <c r="C439" s="191" t="s">
        <v>187</v>
      </c>
      <c r="D439" s="191" t="s">
        <v>4</v>
      </c>
      <c r="E439" s="191" t="s">
        <v>202</v>
      </c>
      <c r="F439" s="190" t="s">
        <v>212</v>
      </c>
      <c r="G439" s="190" t="s">
        <v>203</v>
      </c>
      <c r="H439" s="190" t="s">
        <v>25</v>
      </c>
      <c r="I439" s="191" t="s">
        <v>362</v>
      </c>
      <c r="J439" s="190" t="s">
        <v>378</v>
      </c>
      <c r="K439" s="191" t="s">
        <v>204</v>
      </c>
      <c r="L439" s="192" t="s">
        <v>205</v>
      </c>
      <c r="M439" s="190" t="s">
        <v>242</v>
      </c>
      <c r="N439" s="190">
        <v>26500</v>
      </c>
      <c r="O439" s="190">
        <v>9300</v>
      </c>
      <c r="P439" s="190">
        <v>2</v>
      </c>
      <c r="Q439" s="190">
        <v>2025</v>
      </c>
      <c r="R439" s="190">
        <v>2</v>
      </c>
    </row>
    <row r="440" spans="1:18" x14ac:dyDescent="0.2">
      <c r="A440" s="190" t="s">
        <v>48</v>
      </c>
      <c r="B440" s="191" t="s">
        <v>211</v>
      </c>
      <c r="C440" s="191" t="s">
        <v>187</v>
      </c>
      <c r="D440" s="191" t="s">
        <v>4</v>
      </c>
      <c r="E440" s="191" t="s">
        <v>202</v>
      </c>
      <c r="F440" s="190" t="s">
        <v>212</v>
      </c>
      <c r="G440" s="190" t="s">
        <v>203</v>
      </c>
      <c r="H440" s="190" t="s">
        <v>25</v>
      </c>
      <c r="I440" s="191" t="s">
        <v>508</v>
      </c>
      <c r="J440" s="190" t="s">
        <v>698</v>
      </c>
      <c r="K440" s="191" t="s">
        <v>204</v>
      </c>
      <c r="L440" s="192" t="s">
        <v>205</v>
      </c>
      <c r="M440" s="190" t="s">
        <v>242</v>
      </c>
      <c r="N440" s="190">
        <v>26500</v>
      </c>
      <c r="O440" s="190">
        <v>9300</v>
      </c>
      <c r="P440" s="190">
        <v>2</v>
      </c>
      <c r="Q440" s="190">
        <v>2025</v>
      </c>
      <c r="R440" s="190">
        <v>2</v>
      </c>
    </row>
    <row r="441" spans="1:18" x14ac:dyDescent="0.2">
      <c r="A441" s="190" t="s">
        <v>48</v>
      </c>
      <c r="B441" s="191" t="s">
        <v>211</v>
      </c>
      <c r="C441" s="191" t="s">
        <v>187</v>
      </c>
      <c r="D441" s="191" t="s">
        <v>4</v>
      </c>
      <c r="E441" s="191" t="s">
        <v>202</v>
      </c>
      <c r="F441" s="190" t="s">
        <v>212</v>
      </c>
      <c r="G441" s="190" t="s">
        <v>203</v>
      </c>
      <c r="H441" s="190" t="s">
        <v>25</v>
      </c>
      <c r="I441" s="191" t="s">
        <v>513</v>
      </c>
      <c r="J441" s="190" t="s">
        <v>699</v>
      </c>
      <c r="K441" s="191" t="s">
        <v>204</v>
      </c>
      <c r="L441" s="192" t="s">
        <v>205</v>
      </c>
      <c r="M441" s="190" t="s">
        <v>242</v>
      </c>
      <c r="N441" s="190">
        <v>26500</v>
      </c>
      <c r="O441" s="190">
        <v>9300</v>
      </c>
      <c r="P441" s="190">
        <v>2</v>
      </c>
      <c r="Q441" s="190">
        <v>2025</v>
      </c>
      <c r="R441" s="190">
        <v>1</v>
      </c>
    </row>
    <row r="442" spans="1:18" x14ac:dyDescent="0.2">
      <c r="A442" s="190" t="s">
        <v>48</v>
      </c>
      <c r="B442" s="191" t="s">
        <v>211</v>
      </c>
      <c r="C442" s="191" t="s">
        <v>187</v>
      </c>
      <c r="D442" s="191" t="s">
        <v>4</v>
      </c>
      <c r="E442" s="191" t="s">
        <v>202</v>
      </c>
      <c r="F442" s="190" t="s">
        <v>212</v>
      </c>
      <c r="G442" s="190" t="s">
        <v>203</v>
      </c>
      <c r="H442" s="190" t="s">
        <v>20</v>
      </c>
      <c r="I442" s="191" t="s">
        <v>141</v>
      </c>
      <c r="J442" s="190" t="s">
        <v>141</v>
      </c>
      <c r="K442" s="191" t="s">
        <v>204</v>
      </c>
      <c r="L442" s="192" t="s">
        <v>205</v>
      </c>
      <c r="M442" s="190" t="s">
        <v>206</v>
      </c>
      <c r="N442" s="190">
        <v>36000</v>
      </c>
      <c r="O442" s="190">
        <v>12800</v>
      </c>
      <c r="P442" s="190">
        <v>2</v>
      </c>
      <c r="Q442" s="190">
        <v>2025</v>
      </c>
      <c r="R442" s="190">
        <v>1</v>
      </c>
    </row>
    <row r="443" spans="1:18" x14ac:dyDescent="0.2">
      <c r="A443" s="190" t="s">
        <v>48</v>
      </c>
      <c r="B443" s="191" t="s">
        <v>211</v>
      </c>
      <c r="C443" s="191" t="s">
        <v>187</v>
      </c>
      <c r="D443" s="191" t="s">
        <v>4</v>
      </c>
      <c r="E443" s="191" t="s">
        <v>202</v>
      </c>
      <c r="F443" s="190" t="s">
        <v>212</v>
      </c>
      <c r="G443" s="190" t="s">
        <v>203</v>
      </c>
      <c r="H443" s="190" t="s">
        <v>20</v>
      </c>
      <c r="I443" s="191" t="s">
        <v>145</v>
      </c>
      <c r="J443" s="190" t="s">
        <v>145</v>
      </c>
      <c r="K443" s="191" t="s">
        <v>204</v>
      </c>
      <c r="L443" s="192" t="s">
        <v>205</v>
      </c>
      <c r="M443" s="190" t="s">
        <v>206</v>
      </c>
      <c r="N443" s="190">
        <v>34000</v>
      </c>
      <c r="O443" s="190">
        <v>7700</v>
      </c>
      <c r="P443" s="190">
        <v>2</v>
      </c>
      <c r="Q443" s="190">
        <v>2025</v>
      </c>
      <c r="R443" s="190">
        <v>1</v>
      </c>
    </row>
    <row r="444" spans="1:18" x14ac:dyDescent="0.2">
      <c r="A444" s="190" t="s">
        <v>48</v>
      </c>
      <c r="B444" s="191" t="s">
        <v>211</v>
      </c>
      <c r="C444" s="191" t="s">
        <v>187</v>
      </c>
      <c r="D444" s="191" t="s">
        <v>4</v>
      </c>
      <c r="E444" s="191" t="s">
        <v>202</v>
      </c>
      <c r="F444" s="190" t="s">
        <v>618</v>
      </c>
      <c r="G444" s="190" t="s">
        <v>208</v>
      </c>
      <c r="H444" s="190" t="s">
        <v>27</v>
      </c>
      <c r="I444" s="191" t="s">
        <v>140</v>
      </c>
      <c r="J444" s="190" t="s">
        <v>202</v>
      </c>
      <c r="K444" s="191" t="s">
        <v>204</v>
      </c>
      <c r="L444" s="192" t="s">
        <v>205</v>
      </c>
      <c r="M444" s="190" t="s">
        <v>210</v>
      </c>
      <c r="N444" s="190">
        <v>8800</v>
      </c>
      <c r="O444" s="190">
        <v>3800</v>
      </c>
      <c r="P444" s="190">
        <v>3</v>
      </c>
      <c r="Q444" s="190">
        <v>2024</v>
      </c>
      <c r="R444" s="190">
        <v>2</v>
      </c>
    </row>
    <row r="445" spans="1:18" x14ac:dyDescent="0.2">
      <c r="A445" s="190" t="s">
        <v>48</v>
      </c>
      <c r="B445" s="191" t="s">
        <v>211</v>
      </c>
      <c r="C445" s="191" t="s">
        <v>187</v>
      </c>
      <c r="D445" s="191" t="s">
        <v>4</v>
      </c>
      <c r="E445" s="191" t="s">
        <v>202</v>
      </c>
      <c r="F445" s="190" t="s">
        <v>618</v>
      </c>
      <c r="G445" s="190" t="s">
        <v>203</v>
      </c>
      <c r="H445" s="190" t="s">
        <v>19</v>
      </c>
      <c r="I445" s="191" t="s">
        <v>315</v>
      </c>
      <c r="J445" s="190" t="s">
        <v>265</v>
      </c>
      <c r="K445" s="191" t="s">
        <v>204</v>
      </c>
      <c r="L445" s="192" t="s">
        <v>205</v>
      </c>
      <c r="M445" s="190" t="s">
        <v>206</v>
      </c>
      <c r="N445" s="190">
        <v>33500</v>
      </c>
      <c r="O445" s="190">
        <v>11900</v>
      </c>
      <c r="P445" s="190">
        <v>2</v>
      </c>
      <c r="Q445" s="190">
        <v>2025</v>
      </c>
      <c r="R445" s="190">
        <v>1</v>
      </c>
    </row>
    <row r="446" spans="1:18" x14ac:dyDescent="0.2">
      <c r="A446" s="190" t="s">
        <v>48</v>
      </c>
      <c r="B446" s="191" t="s">
        <v>211</v>
      </c>
      <c r="C446" s="191" t="s">
        <v>187</v>
      </c>
      <c r="D446" s="191" t="s">
        <v>4</v>
      </c>
      <c r="E446" s="191" t="s">
        <v>202</v>
      </c>
      <c r="F446" s="190" t="s">
        <v>636</v>
      </c>
      <c r="G446" s="190" t="s">
        <v>208</v>
      </c>
      <c r="H446" s="190" t="s">
        <v>23</v>
      </c>
      <c r="I446" s="191" t="s">
        <v>95</v>
      </c>
      <c r="J446" s="190" t="s">
        <v>95</v>
      </c>
      <c r="K446" s="191" t="s">
        <v>213</v>
      </c>
      <c r="L446" s="192" t="s">
        <v>205</v>
      </c>
      <c r="M446" s="190" t="s">
        <v>210</v>
      </c>
      <c r="N446" s="190">
        <v>10800</v>
      </c>
      <c r="O446" s="190">
        <v>3760</v>
      </c>
      <c r="P446" s="190">
        <v>3</v>
      </c>
      <c r="Q446" s="190">
        <v>2025</v>
      </c>
      <c r="R446" s="190">
        <v>4</v>
      </c>
    </row>
    <row r="447" spans="1:18" x14ac:dyDescent="0.2">
      <c r="A447" s="190" t="s">
        <v>48</v>
      </c>
      <c r="B447" s="191" t="s">
        <v>211</v>
      </c>
      <c r="C447" s="191" t="s">
        <v>187</v>
      </c>
      <c r="D447" s="191" t="s">
        <v>4</v>
      </c>
      <c r="E447" s="191" t="s">
        <v>202</v>
      </c>
      <c r="F447" s="190" t="s">
        <v>636</v>
      </c>
      <c r="G447" s="190" t="s">
        <v>208</v>
      </c>
      <c r="H447" s="190" t="s">
        <v>22</v>
      </c>
      <c r="I447" s="191" t="s">
        <v>106</v>
      </c>
      <c r="J447" s="190" t="s">
        <v>223</v>
      </c>
      <c r="K447" s="191" t="s">
        <v>221</v>
      </c>
      <c r="L447" s="192" t="s">
        <v>205</v>
      </c>
      <c r="M447" s="190" t="s">
        <v>210</v>
      </c>
      <c r="N447" s="190">
        <v>8000</v>
      </c>
      <c r="O447" s="190">
        <v>4009</v>
      </c>
      <c r="P447" s="190">
        <v>3</v>
      </c>
      <c r="Q447" s="190">
        <v>2025</v>
      </c>
      <c r="R447" s="190">
        <v>1</v>
      </c>
    </row>
    <row r="448" spans="1:18" x14ac:dyDescent="0.2">
      <c r="A448" s="190" t="s">
        <v>48</v>
      </c>
      <c r="B448" s="191" t="s">
        <v>211</v>
      </c>
      <c r="C448" s="191" t="s">
        <v>187</v>
      </c>
      <c r="D448" s="191" t="s">
        <v>4</v>
      </c>
      <c r="E448" s="191" t="s">
        <v>202</v>
      </c>
      <c r="F448" s="190" t="s">
        <v>636</v>
      </c>
      <c r="G448" s="190" t="s">
        <v>208</v>
      </c>
      <c r="H448" s="190" t="s">
        <v>19</v>
      </c>
      <c r="I448" s="191" t="s">
        <v>130</v>
      </c>
      <c r="J448" s="190" t="s">
        <v>209</v>
      </c>
      <c r="K448" s="191" t="s">
        <v>204</v>
      </c>
      <c r="L448" s="192" t="s">
        <v>205</v>
      </c>
      <c r="M448" s="190" t="s">
        <v>210</v>
      </c>
      <c r="N448" s="190">
        <v>9100</v>
      </c>
      <c r="O448" s="190">
        <v>4800</v>
      </c>
      <c r="P448" s="190">
        <v>3</v>
      </c>
      <c r="Q448" s="190">
        <v>2022</v>
      </c>
      <c r="R448" s="190">
        <v>1</v>
      </c>
    </row>
    <row r="449" spans="1:18" x14ac:dyDescent="0.2">
      <c r="A449" s="190" t="s">
        <v>48</v>
      </c>
      <c r="B449" s="191" t="s">
        <v>211</v>
      </c>
      <c r="C449" s="191" t="s">
        <v>187</v>
      </c>
      <c r="D449" s="191" t="s">
        <v>4</v>
      </c>
      <c r="E449" s="191" t="s">
        <v>202</v>
      </c>
      <c r="F449" s="190" t="s">
        <v>636</v>
      </c>
      <c r="G449" s="190" t="s">
        <v>203</v>
      </c>
      <c r="H449" s="190" t="s">
        <v>26</v>
      </c>
      <c r="I449" s="191" t="s">
        <v>385</v>
      </c>
      <c r="J449" s="190" t="s">
        <v>236</v>
      </c>
      <c r="K449" s="191" t="s">
        <v>237</v>
      </c>
      <c r="L449" s="192" t="s">
        <v>205</v>
      </c>
      <c r="M449" s="190" t="s">
        <v>206</v>
      </c>
      <c r="N449" s="190">
        <v>29937</v>
      </c>
      <c r="O449" s="190">
        <v>10800</v>
      </c>
      <c r="P449" s="190">
        <v>3</v>
      </c>
      <c r="Q449" s="190">
        <v>2024</v>
      </c>
      <c r="R449" s="190">
        <v>1</v>
      </c>
    </row>
    <row r="450" spans="1:18" x14ac:dyDescent="0.2">
      <c r="A450" s="190" t="s">
        <v>48</v>
      </c>
      <c r="B450" s="191" t="s">
        <v>211</v>
      </c>
      <c r="C450" s="191" t="s">
        <v>187</v>
      </c>
      <c r="D450" s="191" t="s">
        <v>4</v>
      </c>
      <c r="E450" s="191" t="s">
        <v>202</v>
      </c>
      <c r="F450" s="190" t="s">
        <v>636</v>
      </c>
      <c r="G450" s="190" t="s">
        <v>203</v>
      </c>
      <c r="H450" s="190" t="s">
        <v>24</v>
      </c>
      <c r="I450" s="191" t="s">
        <v>117</v>
      </c>
      <c r="J450" s="190" t="s">
        <v>264</v>
      </c>
      <c r="K450" s="191" t="s">
        <v>221</v>
      </c>
      <c r="L450" s="192" t="s">
        <v>205</v>
      </c>
      <c r="M450" s="190" t="s">
        <v>206</v>
      </c>
      <c r="N450" s="190">
        <v>27300</v>
      </c>
      <c r="O450" s="190">
        <v>7790</v>
      </c>
      <c r="P450" s="190">
        <v>3</v>
      </c>
      <c r="Q450" s="190">
        <v>2025</v>
      </c>
      <c r="R450" s="190">
        <v>1</v>
      </c>
    </row>
    <row r="451" spans="1:18" x14ac:dyDescent="0.2">
      <c r="A451" s="190" t="s">
        <v>48</v>
      </c>
      <c r="B451" s="191" t="s">
        <v>211</v>
      </c>
      <c r="C451" s="191" t="s">
        <v>187</v>
      </c>
      <c r="D451" s="191" t="s">
        <v>4</v>
      </c>
      <c r="E451" s="191" t="s">
        <v>202</v>
      </c>
      <c r="F451" s="190" t="s">
        <v>636</v>
      </c>
      <c r="G451" s="190" t="s">
        <v>203</v>
      </c>
      <c r="H451" s="190" t="s">
        <v>19</v>
      </c>
      <c r="I451" s="191" t="s">
        <v>129</v>
      </c>
      <c r="J451" s="190" t="s">
        <v>265</v>
      </c>
      <c r="K451" s="191" t="s">
        <v>204</v>
      </c>
      <c r="L451" s="192" t="s">
        <v>205</v>
      </c>
      <c r="M451" s="190" t="s">
        <v>206</v>
      </c>
      <c r="N451" s="190">
        <v>33500</v>
      </c>
      <c r="O451" s="190">
        <v>7201</v>
      </c>
      <c r="P451" s="190">
        <v>2</v>
      </c>
      <c r="Q451" s="190">
        <v>2025</v>
      </c>
      <c r="R451" s="190">
        <v>1</v>
      </c>
    </row>
    <row r="452" spans="1:18" x14ac:dyDescent="0.2">
      <c r="A452" s="190" t="s">
        <v>48</v>
      </c>
      <c r="B452" s="191" t="s">
        <v>211</v>
      </c>
      <c r="C452" s="191" t="s">
        <v>187</v>
      </c>
      <c r="D452" s="191" t="s">
        <v>4</v>
      </c>
      <c r="E452" s="191" t="s">
        <v>202</v>
      </c>
      <c r="F452" s="190" t="s">
        <v>636</v>
      </c>
      <c r="G452" s="190" t="s">
        <v>203</v>
      </c>
      <c r="H452" s="190" t="s">
        <v>19</v>
      </c>
      <c r="I452" s="191" t="s">
        <v>314</v>
      </c>
      <c r="J452" s="190" t="s">
        <v>634</v>
      </c>
      <c r="K452" s="191" t="s">
        <v>204</v>
      </c>
      <c r="L452" s="192" t="s">
        <v>205</v>
      </c>
      <c r="M452" s="190" t="s">
        <v>210</v>
      </c>
      <c r="N452" s="190">
        <v>17500</v>
      </c>
      <c r="O452" s="190">
        <v>7201</v>
      </c>
      <c r="P452" s="190">
        <v>2</v>
      </c>
      <c r="Q452" s="190">
        <v>2025</v>
      </c>
      <c r="R452" s="190">
        <v>1</v>
      </c>
    </row>
    <row r="453" spans="1:18" x14ac:dyDescent="0.2">
      <c r="A453" s="190" t="s">
        <v>48</v>
      </c>
      <c r="B453" s="191" t="s">
        <v>211</v>
      </c>
      <c r="C453" s="191" t="s">
        <v>187</v>
      </c>
      <c r="D453" s="191" t="s">
        <v>4</v>
      </c>
      <c r="E453" s="191" t="s">
        <v>202</v>
      </c>
      <c r="F453" s="190" t="s">
        <v>636</v>
      </c>
      <c r="G453" s="190" t="s">
        <v>203</v>
      </c>
      <c r="H453" s="190" t="s">
        <v>19</v>
      </c>
      <c r="I453" s="191" t="s">
        <v>503</v>
      </c>
      <c r="J453" s="190" t="s">
        <v>503</v>
      </c>
      <c r="K453" s="191" t="s">
        <v>240</v>
      </c>
      <c r="L453" s="192" t="s">
        <v>205</v>
      </c>
      <c r="M453" s="190" t="s">
        <v>218</v>
      </c>
      <c r="N453" s="190">
        <v>44000</v>
      </c>
      <c r="O453" s="190">
        <v>12809</v>
      </c>
      <c r="P453" s="190">
        <v>2</v>
      </c>
      <c r="Q453" s="190">
        <v>2024</v>
      </c>
      <c r="R453" s="190">
        <v>1</v>
      </c>
    </row>
    <row r="454" spans="1:18" x14ac:dyDescent="0.2">
      <c r="A454" s="190" t="s">
        <v>48</v>
      </c>
      <c r="B454" s="191" t="s">
        <v>211</v>
      </c>
      <c r="C454" s="191" t="s">
        <v>187</v>
      </c>
      <c r="D454" s="191" t="s">
        <v>4</v>
      </c>
      <c r="E454" s="191" t="s">
        <v>202</v>
      </c>
      <c r="F454" s="190" t="s">
        <v>636</v>
      </c>
      <c r="G454" s="190" t="s">
        <v>203</v>
      </c>
      <c r="H454" s="190" t="s">
        <v>25</v>
      </c>
      <c r="I454" s="191" t="s">
        <v>135</v>
      </c>
      <c r="J454" s="190" t="s">
        <v>278</v>
      </c>
      <c r="K454" s="191" t="s">
        <v>204</v>
      </c>
      <c r="L454" s="192" t="s">
        <v>205</v>
      </c>
      <c r="M454" s="190" t="s">
        <v>218</v>
      </c>
      <c r="N454" s="190">
        <v>50000</v>
      </c>
      <c r="O454" s="190">
        <v>12700</v>
      </c>
      <c r="P454" s="190">
        <v>2</v>
      </c>
      <c r="Q454" s="190">
        <v>2025</v>
      </c>
      <c r="R454" s="190">
        <v>3</v>
      </c>
    </row>
    <row r="455" spans="1:18" x14ac:dyDescent="0.2">
      <c r="A455" s="190" t="s">
        <v>48</v>
      </c>
      <c r="B455" s="191" t="s">
        <v>211</v>
      </c>
      <c r="C455" s="191" t="s">
        <v>187</v>
      </c>
      <c r="D455" s="191" t="s">
        <v>4</v>
      </c>
      <c r="E455" s="191" t="s">
        <v>202</v>
      </c>
      <c r="F455" s="190" t="s">
        <v>636</v>
      </c>
      <c r="G455" s="190" t="s">
        <v>203</v>
      </c>
      <c r="H455" s="190" t="s">
        <v>25</v>
      </c>
      <c r="I455" s="191" t="s">
        <v>511</v>
      </c>
      <c r="J455" s="190" t="s">
        <v>639</v>
      </c>
      <c r="K455" s="191" t="s">
        <v>204</v>
      </c>
      <c r="L455" s="192" t="s">
        <v>205</v>
      </c>
      <c r="M455" s="190" t="s">
        <v>218</v>
      </c>
      <c r="N455" s="190">
        <v>50000</v>
      </c>
      <c r="O455" s="190">
        <v>12700</v>
      </c>
      <c r="P455" s="190">
        <v>2</v>
      </c>
      <c r="Q455" s="190">
        <v>2025</v>
      </c>
      <c r="R455" s="190">
        <v>3</v>
      </c>
    </row>
    <row r="456" spans="1:18" x14ac:dyDescent="0.2">
      <c r="A456" s="190" t="s">
        <v>48</v>
      </c>
      <c r="B456" s="191" t="s">
        <v>211</v>
      </c>
      <c r="C456" s="191" t="s">
        <v>187</v>
      </c>
      <c r="D456" s="191" t="s">
        <v>4</v>
      </c>
      <c r="E456" s="191" t="s">
        <v>202</v>
      </c>
      <c r="F456" s="190" t="s">
        <v>636</v>
      </c>
      <c r="G456" s="190" t="s">
        <v>203</v>
      </c>
      <c r="H456" s="190" t="s">
        <v>31</v>
      </c>
      <c r="I456" s="191" t="s">
        <v>386</v>
      </c>
      <c r="J456" s="190" t="s">
        <v>674</v>
      </c>
      <c r="K456" s="191" t="s">
        <v>213</v>
      </c>
      <c r="L456" s="192" t="s">
        <v>205</v>
      </c>
      <c r="M456" s="190" t="s">
        <v>206</v>
      </c>
      <c r="N456" s="190">
        <v>33500</v>
      </c>
      <c r="O456" s="190">
        <v>8900</v>
      </c>
      <c r="P456" s="190">
        <v>2</v>
      </c>
      <c r="Q456" s="190">
        <v>2024</v>
      </c>
      <c r="R456" s="190">
        <v>1</v>
      </c>
    </row>
    <row r="457" spans="1:18" x14ac:dyDescent="0.2">
      <c r="A457" s="190" t="s">
        <v>48</v>
      </c>
      <c r="B457" s="191" t="s">
        <v>211</v>
      </c>
      <c r="C457" s="191" t="s">
        <v>187</v>
      </c>
      <c r="D457" s="191" t="s">
        <v>4</v>
      </c>
      <c r="E457" s="191" t="s">
        <v>202</v>
      </c>
      <c r="F457" s="190" t="s">
        <v>636</v>
      </c>
      <c r="G457" s="190" t="s">
        <v>203</v>
      </c>
      <c r="H457" s="190" t="s">
        <v>34</v>
      </c>
      <c r="I457" s="191" t="s">
        <v>320</v>
      </c>
      <c r="J457" s="190" t="s">
        <v>407</v>
      </c>
      <c r="K457" s="191" t="s">
        <v>213</v>
      </c>
      <c r="L457" s="192" t="s">
        <v>205</v>
      </c>
      <c r="M457" s="190" t="s">
        <v>210</v>
      </c>
      <c r="N457" s="190">
        <v>13750</v>
      </c>
      <c r="O457" s="190">
        <v>4580</v>
      </c>
      <c r="P457" s="190">
        <v>3</v>
      </c>
      <c r="Q457" s="190">
        <v>2024</v>
      </c>
      <c r="R457" s="190">
        <v>1</v>
      </c>
    </row>
    <row r="458" spans="1:18" x14ac:dyDescent="0.2">
      <c r="A458" s="190" t="s">
        <v>48</v>
      </c>
      <c r="B458" s="191" t="s">
        <v>211</v>
      </c>
      <c r="C458" s="191" t="s">
        <v>187</v>
      </c>
      <c r="D458" s="191" t="s">
        <v>4</v>
      </c>
      <c r="E458" s="191" t="s">
        <v>202</v>
      </c>
      <c r="F458" s="190" t="s">
        <v>636</v>
      </c>
      <c r="G458" s="190" t="s">
        <v>203</v>
      </c>
      <c r="H458" s="190" t="s">
        <v>27</v>
      </c>
      <c r="I458" s="191" t="s">
        <v>136</v>
      </c>
      <c r="J458" s="190" t="s">
        <v>202</v>
      </c>
      <c r="K458" s="191" t="s">
        <v>204</v>
      </c>
      <c r="L458" s="192" t="s">
        <v>205</v>
      </c>
      <c r="M458" s="190" t="s">
        <v>210</v>
      </c>
      <c r="N458" s="190">
        <v>17100</v>
      </c>
      <c r="O458" s="190">
        <v>6871</v>
      </c>
      <c r="P458" s="190">
        <v>2</v>
      </c>
      <c r="Q458" s="190">
        <v>2025</v>
      </c>
      <c r="R458" s="190">
        <v>1</v>
      </c>
    </row>
    <row r="459" spans="1:18" x14ac:dyDescent="0.2">
      <c r="A459" s="190" t="s">
        <v>48</v>
      </c>
      <c r="B459" s="191" t="s">
        <v>211</v>
      </c>
      <c r="C459" s="191" t="s">
        <v>187</v>
      </c>
      <c r="D459" s="191" t="s">
        <v>4</v>
      </c>
      <c r="E459" s="191" t="s">
        <v>202</v>
      </c>
      <c r="F459" s="190" t="s">
        <v>636</v>
      </c>
      <c r="G459" s="190" t="s">
        <v>203</v>
      </c>
      <c r="H459" s="190" t="s">
        <v>20</v>
      </c>
      <c r="I459" s="191" t="s">
        <v>142</v>
      </c>
      <c r="J459" s="190" t="s">
        <v>142</v>
      </c>
      <c r="K459" s="191" t="s">
        <v>204</v>
      </c>
      <c r="L459" s="192" t="s">
        <v>205</v>
      </c>
      <c r="M459" s="190" t="s">
        <v>218</v>
      </c>
      <c r="N459" s="190">
        <v>46000</v>
      </c>
      <c r="O459" s="190">
        <v>12800</v>
      </c>
      <c r="P459" s="190">
        <v>2</v>
      </c>
      <c r="Q459" s="190">
        <v>2025</v>
      </c>
      <c r="R459" s="190">
        <v>1</v>
      </c>
    </row>
    <row r="460" spans="1:18" x14ac:dyDescent="0.2">
      <c r="A460" s="190" t="s">
        <v>48</v>
      </c>
      <c r="B460" s="191" t="s">
        <v>211</v>
      </c>
      <c r="C460" s="191" t="s">
        <v>187</v>
      </c>
      <c r="D460" s="191" t="s">
        <v>4</v>
      </c>
      <c r="E460" s="191" t="s">
        <v>202</v>
      </c>
      <c r="F460" s="190" t="s">
        <v>636</v>
      </c>
      <c r="G460" s="190" t="s">
        <v>203</v>
      </c>
      <c r="H460" s="190" t="s">
        <v>20</v>
      </c>
      <c r="I460" s="191" t="s">
        <v>146</v>
      </c>
      <c r="J460" s="190" t="s">
        <v>146</v>
      </c>
      <c r="K460" s="191" t="s">
        <v>204</v>
      </c>
      <c r="L460" s="192" t="s">
        <v>205</v>
      </c>
      <c r="M460" s="190" t="s">
        <v>218</v>
      </c>
      <c r="N460" s="190">
        <v>33400</v>
      </c>
      <c r="O460" s="190">
        <v>7700</v>
      </c>
      <c r="P460" s="190">
        <v>2</v>
      </c>
      <c r="Q460" s="190">
        <v>2025</v>
      </c>
      <c r="R460" s="190">
        <v>3</v>
      </c>
    </row>
    <row r="461" spans="1:18" x14ac:dyDescent="0.2">
      <c r="A461" s="190" t="s">
        <v>48</v>
      </c>
      <c r="B461" s="191" t="s">
        <v>211</v>
      </c>
      <c r="C461" s="191" t="s">
        <v>187</v>
      </c>
      <c r="D461" s="191" t="s">
        <v>4</v>
      </c>
      <c r="E461" s="191" t="s">
        <v>202</v>
      </c>
      <c r="F461" s="190" t="s">
        <v>269</v>
      </c>
      <c r="G461" s="190" t="s">
        <v>208</v>
      </c>
      <c r="H461" s="190" t="s">
        <v>22</v>
      </c>
      <c r="I461" s="191" t="s">
        <v>106</v>
      </c>
      <c r="J461" s="190" t="s">
        <v>223</v>
      </c>
      <c r="K461" s="191" t="s">
        <v>221</v>
      </c>
      <c r="L461" s="192" t="s">
        <v>205</v>
      </c>
      <c r="M461" s="190" t="s">
        <v>210</v>
      </c>
      <c r="N461" s="190">
        <v>7500</v>
      </c>
      <c r="O461" s="190">
        <v>4009</v>
      </c>
      <c r="P461" s="190">
        <v>3</v>
      </c>
      <c r="Q461" s="190">
        <v>2025</v>
      </c>
      <c r="R461" s="190">
        <v>1</v>
      </c>
    </row>
    <row r="462" spans="1:18" x14ac:dyDescent="0.2">
      <c r="A462" s="190" t="s">
        <v>48</v>
      </c>
      <c r="B462" s="191" t="s">
        <v>211</v>
      </c>
      <c r="C462" s="191" t="s">
        <v>187</v>
      </c>
      <c r="D462" s="191" t="s">
        <v>4</v>
      </c>
      <c r="E462" s="191" t="s">
        <v>202</v>
      </c>
      <c r="F462" s="190" t="s">
        <v>269</v>
      </c>
      <c r="G462" s="190" t="s">
        <v>208</v>
      </c>
      <c r="H462" s="190" t="s">
        <v>22</v>
      </c>
      <c r="I462" s="191" t="s">
        <v>106</v>
      </c>
      <c r="J462" s="190" t="s">
        <v>223</v>
      </c>
      <c r="K462" s="191" t="s">
        <v>221</v>
      </c>
      <c r="L462" s="192" t="s">
        <v>205</v>
      </c>
      <c r="M462" s="190" t="s">
        <v>210</v>
      </c>
      <c r="N462" s="190">
        <v>8000</v>
      </c>
      <c r="O462" s="190">
        <v>4009</v>
      </c>
      <c r="P462" s="190">
        <v>3</v>
      </c>
      <c r="Q462" s="190">
        <v>2025</v>
      </c>
      <c r="R462" s="190">
        <v>1</v>
      </c>
    </row>
    <row r="463" spans="1:18" x14ac:dyDescent="0.2">
      <c r="A463" s="190" t="s">
        <v>48</v>
      </c>
      <c r="B463" s="191" t="s">
        <v>211</v>
      </c>
      <c r="C463" s="191" t="s">
        <v>187</v>
      </c>
      <c r="D463" s="191" t="s">
        <v>4</v>
      </c>
      <c r="E463" s="191" t="s">
        <v>202</v>
      </c>
      <c r="F463" s="190" t="s">
        <v>269</v>
      </c>
      <c r="G463" s="190" t="s">
        <v>208</v>
      </c>
      <c r="H463" s="190" t="s">
        <v>21</v>
      </c>
      <c r="I463" s="191" t="s">
        <v>110</v>
      </c>
      <c r="J463" s="190" t="s">
        <v>228</v>
      </c>
      <c r="K463" s="191" t="s">
        <v>227</v>
      </c>
      <c r="L463" s="192" t="s">
        <v>205</v>
      </c>
      <c r="M463" s="190" t="s">
        <v>210</v>
      </c>
      <c r="N463" s="190">
        <v>9700</v>
      </c>
      <c r="O463" s="190">
        <v>3933</v>
      </c>
      <c r="P463" s="190">
        <v>3</v>
      </c>
      <c r="Q463" s="190">
        <v>2025</v>
      </c>
      <c r="R463" s="190">
        <v>1</v>
      </c>
    </row>
    <row r="464" spans="1:18" x14ac:dyDescent="0.2">
      <c r="A464" s="190" t="s">
        <v>48</v>
      </c>
      <c r="B464" s="191" t="s">
        <v>211</v>
      </c>
      <c r="C464" s="191" t="s">
        <v>187</v>
      </c>
      <c r="D464" s="191" t="s">
        <v>4</v>
      </c>
      <c r="E464" s="191" t="s">
        <v>202</v>
      </c>
      <c r="F464" s="190" t="s">
        <v>269</v>
      </c>
      <c r="G464" s="190" t="s">
        <v>208</v>
      </c>
      <c r="H464" s="190" t="s">
        <v>27</v>
      </c>
      <c r="I464" s="191" t="s">
        <v>540</v>
      </c>
      <c r="J464" s="190" t="s">
        <v>202</v>
      </c>
      <c r="K464" s="191" t="s">
        <v>204</v>
      </c>
      <c r="L464" s="192" t="s">
        <v>205</v>
      </c>
      <c r="M464" s="190" t="s">
        <v>234</v>
      </c>
      <c r="N464" s="190">
        <v>10700</v>
      </c>
      <c r="O464" s="190">
        <v>3800</v>
      </c>
      <c r="P464" s="190">
        <v>3</v>
      </c>
      <c r="Q464" s="190">
        <v>2025</v>
      </c>
      <c r="R464" s="190">
        <v>2</v>
      </c>
    </row>
    <row r="465" spans="1:18" x14ac:dyDescent="0.2">
      <c r="A465" s="190" t="s">
        <v>48</v>
      </c>
      <c r="B465" s="191" t="s">
        <v>211</v>
      </c>
      <c r="C465" s="191" t="s">
        <v>187</v>
      </c>
      <c r="D465" s="191" t="s">
        <v>4</v>
      </c>
      <c r="E465" s="191" t="s">
        <v>202</v>
      </c>
      <c r="F465" s="190" t="s">
        <v>269</v>
      </c>
      <c r="G465" s="190" t="s">
        <v>203</v>
      </c>
      <c r="H465" s="190" t="s">
        <v>30</v>
      </c>
      <c r="I465" s="191" t="s">
        <v>460</v>
      </c>
      <c r="J465" s="190" t="s">
        <v>664</v>
      </c>
      <c r="K465" s="191" t="s">
        <v>213</v>
      </c>
      <c r="L465" s="192" t="s">
        <v>205</v>
      </c>
      <c r="M465" s="190" t="s">
        <v>210</v>
      </c>
      <c r="N465" s="190">
        <v>20000</v>
      </c>
      <c r="O465" s="190">
        <v>5900</v>
      </c>
      <c r="P465" s="190">
        <v>3</v>
      </c>
      <c r="Q465" s="190">
        <v>2025</v>
      </c>
      <c r="R465" s="190">
        <v>1</v>
      </c>
    </row>
    <row r="466" spans="1:18" x14ac:dyDescent="0.2">
      <c r="A466" s="190" t="s">
        <v>48</v>
      </c>
      <c r="B466" s="191" t="s">
        <v>211</v>
      </c>
      <c r="C466" s="191" t="s">
        <v>187</v>
      </c>
      <c r="D466" s="191" t="s">
        <v>4</v>
      </c>
      <c r="E466" s="191" t="s">
        <v>202</v>
      </c>
      <c r="F466" s="190" t="s">
        <v>269</v>
      </c>
      <c r="G466" s="190" t="s">
        <v>203</v>
      </c>
      <c r="H466" s="190" t="s">
        <v>23</v>
      </c>
      <c r="I466" s="191" t="s">
        <v>476</v>
      </c>
      <c r="J466" s="190" t="s">
        <v>476</v>
      </c>
      <c r="K466" s="191" t="s">
        <v>213</v>
      </c>
      <c r="L466" s="192" t="s">
        <v>205</v>
      </c>
      <c r="M466" s="190" t="s">
        <v>206</v>
      </c>
      <c r="N466" s="190">
        <v>41000</v>
      </c>
      <c r="O466" s="190">
        <v>11800</v>
      </c>
      <c r="P466" s="190">
        <v>2</v>
      </c>
      <c r="Q466" s="190">
        <v>2025</v>
      </c>
      <c r="R466" s="190">
        <v>2</v>
      </c>
    </row>
    <row r="467" spans="1:18" x14ac:dyDescent="0.2">
      <c r="A467" s="190" t="s">
        <v>48</v>
      </c>
      <c r="B467" s="191" t="s">
        <v>211</v>
      </c>
      <c r="C467" s="191" t="s">
        <v>187</v>
      </c>
      <c r="D467" s="191" t="s">
        <v>4</v>
      </c>
      <c r="E467" s="191" t="s">
        <v>202</v>
      </c>
      <c r="F467" s="190" t="s">
        <v>269</v>
      </c>
      <c r="G467" s="190" t="s">
        <v>203</v>
      </c>
      <c r="H467" s="190" t="s">
        <v>72</v>
      </c>
      <c r="I467" s="191" t="s">
        <v>486</v>
      </c>
      <c r="J467" s="190">
        <v>2023</v>
      </c>
      <c r="K467" s="191" t="s">
        <v>213</v>
      </c>
      <c r="L467" s="192" t="s">
        <v>205</v>
      </c>
      <c r="M467" s="190" t="s">
        <v>210</v>
      </c>
      <c r="N467" s="190">
        <v>12200</v>
      </c>
      <c r="O467" s="190">
        <v>4460</v>
      </c>
      <c r="P467" s="190">
        <v>2</v>
      </c>
      <c r="Q467" s="190">
        <v>2023</v>
      </c>
      <c r="R467" s="190">
        <v>1</v>
      </c>
    </row>
    <row r="468" spans="1:18" x14ac:dyDescent="0.2">
      <c r="A468" s="190" t="s">
        <v>48</v>
      </c>
      <c r="B468" s="191" t="s">
        <v>211</v>
      </c>
      <c r="C468" s="191" t="s">
        <v>187</v>
      </c>
      <c r="D468" s="191" t="s">
        <v>4</v>
      </c>
      <c r="E468" s="191" t="s">
        <v>202</v>
      </c>
      <c r="F468" s="190" t="s">
        <v>269</v>
      </c>
      <c r="G468" s="190" t="s">
        <v>203</v>
      </c>
      <c r="H468" s="190" t="s">
        <v>19</v>
      </c>
      <c r="I468" s="191" t="s">
        <v>129</v>
      </c>
      <c r="J468" s="190" t="s">
        <v>265</v>
      </c>
      <c r="K468" s="191" t="s">
        <v>204</v>
      </c>
      <c r="L468" s="192" t="s">
        <v>205</v>
      </c>
      <c r="M468" s="190" t="s">
        <v>206</v>
      </c>
      <c r="N468" s="190">
        <v>33500</v>
      </c>
      <c r="O468" s="190">
        <v>7201</v>
      </c>
      <c r="P468" s="190">
        <v>2</v>
      </c>
      <c r="Q468" s="190">
        <v>2025</v>
      </c>
      <c r="R468" s="190">
        <v>4</v>
      </c>
    </row>
    <row r="469" spans="1:18" x14ac:dyDescent="0.2">
      <c r="A469" s="190" t="s">
        <v>48</v>
      </c>
      <c r="B469" s="191" t="s">
        <v>211</v>
      </c>
      <c r="C469" s="191" t="s">
        <v>187</v>
      </c>
      <c r="D469" s="191" t="s">
        <v>4</v>
      </c>
      <c r="E469" s="191" t="s">
        <v>202</v>
      </c>
      <c r="F469" s="190" t="s">
        <v>269</v>
      </c>
      <c r="G469" s="190" t="s">
        <v>203</v>
      </c>
      <c r="H469" s="190" t="s">
        <v>19</v>
      </c>
      <c r="I469" s="191" t="s">
        <v>505</v>
      </c>
      <c r="J469" s="190" t="s">
        <v>505</v>
      </c>
      <c r="K469" s="191" t="s">
        <v>240</v>
      </c>
      <c r="L469" s="192" t="s">
        <v>205</v>
      </c>
      <c r="M469" s="190" t="s">
        <v>218</v>
      </c>
      <c r="N469" s="190">
        <v>48000</v>
      </c>
      <c r="O469" s="190">
        <v>12800</v>
      </c>
      <c r="P469" s="190">
        <v>2</v>
      </c>
      <c r="Q469" s="190">
        <v>2025</v>
      </c>
      <c r="R469" s="190">
        <v>1</v>
      </c>
    </row>
    <row r="470" spans="1:18" x14ac:dyDescent="0.2">
      <c r="A470" s="190" t="s">
        <v>48</v>
      </c>
      <c r="B470" s="191" t="s">
        <v>211</v>
      </c>
      <c r="C470" s="191" t="s">
        <v>187</v>
      </c>
      <c r="D470" s="191" t="s">
        <v>4</v>
      </c>
      <c r="E470" s="191" t="s">
        <v>202</v>
      </c>
      <c r="F470" s="190" t="s">
        <v>269</v>
      </c>
      <c r="G470" s="190" t="s">
        <v>203</v>
      </c>
      <c r="H470" s="190" t="s">
        <v>19</v>
      </c>
      <c r="I470" s="191" t="s">
        <v>505</v>
      </c>
      <c r="J470" s="190" t="s">
        <v>648</v>
      </c>
      <c r="K470" s="191" t="s">
        <v>240</v>
      </c>
      <c r="L470" s="192" t="s">
        <v>205</v>
      </c>
      <c r="M470" s="190" t="s">
        <v>218</v>
      </c>
      <c r="N470" s="190">
        <v>48000</v>
      </c>
      <c r="O470" s="190">
        <v>12800</v>
      </c>
      <c r="P470" s="190">
        <v>2</v>
      </c>
      <c r="Q470" s="190">
        <v>2025</v>
      </c>
      <c r="R470" s="190">
        <v>5</v>
      </c>
    </row>
    <row r="471" spans="1:18" x14ac:dyDescent="0.2">
      <c r="A471" s="190" t="s">
        <v>48</v>
      </c>
      <c r="B471" s="191" t="s">
        <v>211</v>
      </c>
      <c r="C471" s="191" t="s">
        <v>187</v>
      </c>
      <c r="D471" s="191" t="s">
        <v>4</v>
      </c>
      <c r="E471" s="191" t="s">
        <v>202</v>
      </c>
      <c r="F471" s="190" t="s">
        <v>269</v>
      </c>
      <c r="G471" s="190" t="s">
        <v>203</v>
      </c>
      <c r="H471" s="190" t="s">
        <v>31</v>
      </c>
      <c r="I471" s="191" t="s">
        <v>386</v>
      </c>
      <c r="J471" s="190" t="s">
        <v>386</v>
      </c>
      <c r="K471" s="191" t="s">
        <v>213</v>
      </c>
      <c r="L471" s="192" t="s">
        <v>205</v>
      </c>
      <c r="M471" s="190" t="s">
        <v>206</v>
      </c>
      <c r="N471" s="190">
        <v>35000</v>
      </c>
      <c r="O471" s="190">
        <v>8900</v>
      </c>
      <c r="P471" s="190">
        <v>2</v>
      </c>
      <c r="Q471" s="190">
        <v>2024</v>
      </c>
      <c r="R471" s="190">
        <v>1</v>
      </c>
    </row>
    <row r="472" spans="1:18" x14ac:dyDescent="0.2">
      <c r="A472" s="190" t="s">
        <v>48</v>
      </c>
      <c r="B472" s="191" t="s">
        <v>211</v>
      </c>
      <c r="C472" s="191" t="s">
        <v>187</v>
      </c>
      <c r="D472" s="191" t="s">
        <v>4</v>
      </c>
      <c r="E472" s="191" t="s">
        <v>202</v>
      </c>
      <c r="F472" s="190" t="s">
        <v>269</v>
      </c>
      <c r="G472" s="190" t="s">
        <v>203</v>
      </c>
      <c r="H472" s="190" t="s">
        <v>31</v>
      </c>
      <c r="I472" s="191" t="s">
        <v>516</v>
      </c>
      <c r="J472" s="190" t="s">
        <v>674</v>
      </c>
      <c r="K472" s="191" t="s">
        <v>213</v>
      </c>
      <c r="L472" s="192" t="s">
        <v>205</v>
      </c>
      <c r="M472" s="190" t="s">
        <v>206</v>
      </c>
      <c r="N472" s="190">
        <v>33500</v>
      </c>
      <c r="O472" s="190">
        <v>10800</v>
      </c>
      <c r="P472" s="190">
        <v>2</v>
      </c>
      <c r="Q472" s="190">
        <v>2024</v>
      </c>
      <c r="R472" s="190">
        <v>3</v>
      </c>
    </row>
    <row r="473" spans="1:18" x14ac:dyDescent="0.2">
      <c r="A473" s="190" t="s">
        <v>48</v>
      </c>
      <c r="B473" s="191" t="s">
        <v>211</v>
      </c>
      <c r="C473" s="191" t="s">
        <v>187</v>
      </c>
      <c r="D473" s="191" t="s">
        <v>4</v>
      </c>
      <c r="E473" s="191" t="s">
        <v>202</v>
      </c>
      <c r="F473" s="190" t="s">
        <v>269</v>
      </c>
      <c r="G473" s="190" t="s">
        <v>203</v>
      </c>
      <c r="H473" s="190" t="s">
        <v>27</v>
      </c>
      <c r="I473" s="191" t="s">
        <v>136</v>
      </c>
      <c r="J473" s="190" t="s">
        <v>202</v>
      </c>
      <c r="K473" s="191" t="s">
        <v>204</v>
      </c>
      <c r="L473" s="192" t="s">
        <v>205</v>
      </c>
      <c r="M473" s="190" t="s">
        <v>210</v>
      </c>
      <c r="N473" s="190">
        <v>17100</v>
      </c>
      <c r="O473" s="190">
        <v>6871</v>
      </c>
      <c r="P473" s="190">
        <v>2</v>
      </c>
      <c r="Q473" s="190">
        <v>2025</v>
      </c>
      <c r="R473" s="190">
        <v>1</v>
      </c>
    </row>
    <row r="474" spans="1:18" x14ac:dyDescent="0.2">
      <c r="A474" s="190" t="s">
        <v>48</v>
      </c>
      <c r="B474" s="191" t="s">
        <v>211</v>
      </c>
      <c r="C474" s="191" t="s">
        <v>187</v>
      </c>
      <c r="D474" s="191" t="s">
        <v>4</v>
      </c>
      <c r="E474" s="191" t="s">
        <v>202</v>
      </c>
      <c r="F474" s="190" t="s">
        <v>269</v>
      </c>
      <c r="G474" s="190" t="s">
        <v>203</v>
      </c>
      <c r="H474" s="190" t="s">
        <v>27</v>
      </c>
      <c r="I474" s="191" t="s">
        <v>139</v>
      </c>
      <c r="J474" s="190" t="s">
        <v>202</v>
      </c>
      <c r="K474" s="191" t="s">
        <v>204</v>
      </c>
      <c r="L474" s="192" t="s">
        <v>205</v>
      </c>
      <c r="M474" s="190" t="s">
        <v>206</v>
      </c>
      <c r="N474" s="190">
        <v>30500</v>
      </c>
      <c r="O474" s="190">
        <v>8900</v>
      </c>
      <c r="P474" s="190">
        <v>2</v>
      </c>
      <c r="Q474" s="190">
        <v>2025</v>
      </c>
      <c r="R474" s="190">
        <v>1</v>
      </c>
    </row>
    <row r="475" spans="1:18" x14ac:dyDescent="0.2">
      <c r="A475" s="190" t="s">
        <v>48</v>
      </c>
      <c r="B475" s="191" t="s">
        <v>211</v>
      </c>
      <c r="C475" s="191" t="s">
        <v>187</v>
      </c>
      <c r="D475" s="191" t="s">
        <v>4</v>
      </c>
      <c r="E475" s="191" t="s">
        <v>202</v>
      </c>
      <c r="F475" s="190" t="s">
        <v>269</v>
      </c>
      <c r="G475" s="190" t="s">
        <v>203</v>
      </c>
      <c r="H475" s="190" t="s">
        <v>20</v>
      </c>
      <c r="I475" s="191" t="s">
        <v>141</v>
      </c>
      <c r="J475" s="190" t="s">
        <v>141</v>
      </c>
      <c r="K475" s="191" t="s">
        <v>204</v>
      </c>
      <c r="L475" s="192" t="s">
        <v>205</v>
      </c>
      <c r="M475" s="190" t="s">
        <v>206</v>
      </c>
      <c r="N475" s="190">
        <v>36000</v>
      </c>
      <c r="O475" s="190">
        <v>12800</v>
      </c>
      <c r="P475" s="190">
        <v>2</v>
      </c>
      <c r="Q475" s="190">
        <v>2025</v>
      </c>
      <c r="R475" s="190">
        <v>1</v>
      </c>
    </row>
    <row r="476" spans="1:18" x14ac:dyDescent="0.2">
      <c r="A476" s="190" t="s">
        <v>48</v>
      </c>
      <c r="B476" s="191" t="s">
        <v>211</v>
      </c>
      <c r="C476" s="191" t="s">
        <v>187</v>
      </c>
      <c r="D476" s="191" t="s">
        <v>4</v>
      </c>
      <c r="E476" s="191" t="s">
        <v>202</v>
      </c>
      <c r="F476" s="190" t="s">
        <v>269</v>
      </c>
      <c r="G476" s="190" t="s">
        <v>203</v>
      </c>
      <c r="H476" s="190" t="s">
        <v>20</v>
      </c>
      <c r="I476" s="191" t="s">
        <v>141</v>
      </c>
      <c r="J476" s="190" t="s">
        <v>141</v>
      </c>
      <c r="K476" s="191" t="s">
        <v>204</v>
      </c>
      <c r="L476" s="192" t="s">
        <v>205</v>
      </c>
      <c r="M476" s="190" t="s">
        <v>206</v>
      </c>
      <c r="N476" s="190">
        <v>44000</v>
      </c>
      <c r="O476" s="190">
        <v>12800</v>
      </c>
      <c r="P476" s="190">
        <v>2</v>
      </c>
      <c r="Q476" s="190">
        <v>2025</v>
      </c>
      <c r="R476" s="190">
        <v>1</v>
      </c>
    </row>
    <row r="477" spans="1:18" x14ac:dyDescent="0.2">
      <c r="A477" s="190" t="s">
        <v>48</v>
      </c>
      <c r="B477" s="191" t="s">
        <v>211</v>
      </c>
      <c r="C477" s="191" t="s">
        <v>187</v>
      </c>
      <c r="D477" s="191" t="s">
        <v>4</v>
      </c>
      <c r="E477" s="191" t="s">
        <v>202</v>
      </c>
      <c r="F477" s="190" t="s">
        <v>269</v>
      </c>
      <c r="G477" s="190" t="s">
        <v>203</v>
      </c>
      <c r="H477" s="190" t="s">
        <v>20</v>
      </c>
      <c r="I477" s="191" t="s">
        <v>145</v>
      </c>
      <c r="J477" s="190" t="s">
        <v>145</v>
      </c>
      <c r="K477" s="191" t="s">
        <v>204</v>
      </c>
      <c r="L477" s="192" t="s">
        <v>205</v>
      </c>
      <c r="M477" s="190" t="s">
        <v>206</v>
      </c>
      <c r="N477" s="190">
        <v>34000</v>
      </c>
      <c r="O477" s="190">
        <v>7700</v>
      </c>
      <c r="P477" s="190">
        <v>2</v>
      </c>
      <c r="Q477" s="190">
        <v>2025</v>
      </c>
      <c r="R477" s="190">
        <v>3</v>
      </c>
    </row>
    <row r="478" spans="1:18" x14ac:dyDescent="0.2">
      <c r="A478" s="190" t="s">
        <v>48</v>
      </c>
      <c r="B478" s="191" t="s">
        <v>211</v>
      </c>
      <c r="C478" s="191" t="s">
        <v>187</v>
      </c>
      <c r="D478" s="191" t="s">
        <v>4</v>
      </c>
      <c r="E478" s="191" t="s">
        <v>202</v>
      </c>
      <c r="F478" s="190" t="s">
        <v>622</v>
      </c>
      <c r="G478" s="190" t="s">
        <v>208</v>
      </c>
      <c r="H478" s="190" t="s">
        <v>21</v>
      </c>
      <c r="I478" s="191" t="s">
        <v>113</v>
      </c>
      <c r="J478" s="190" t="s">
        <v>220</v>
      </c>
      <c r="K478" s="191" t="s">
        <v>227</v>
      </c>
      <c r="L478" s="192" t="s">
        <v>205</v>
      </c>
      <c r="M478" s="190" t="s">
        <v>210</v>
      </c>
      <c r="N478" s="190">
        <v>7800</v>
      </c>
      <c r="O478" s="190">
        <v>2891</v>
      </c>
      <c r="P478" s="190">
        <v>3</v>
      </c>
      <c r="Q478" s="190">
        <v>2024</v>
      </c>
      <c r="R478" s="190">
        <v>1</v>
      </c>
    </row>
    <row r="479" spans="1:18" x14ac:dyDescent="0.2">
      <c r="A479" s="190" t="s">
        <v>48</v>
      </c>
      <c r="B479" s="191" t="s">
        <v>211</v>
      </c>
      <c r="C479" s="191" t="s">
        <v>187</v>
      </c>
      <c r="D479" s="191" t="s">
        <v>4</v>
      </c>
      <c r="E479" s="191" t="s">
        <v>202</v>
      </c>
      <c r="F479" s="190" t="s">
        <v>622</v>
      </c>
      <c r="G479" s="190" t="s">
        <v>208</v>
      </c>
      <c r="H479" s="190" t="s">
        <v>21</v>
      </c>
      <c r="I479" s="191" t="s">
        <v>310</v>
      </c>
      <c r="J479" s="190" t="s">
        <v>226</v>
      </c>
      <c r="K479" s="191" t="s">
        <v>227</v>
      </c>
      <c r="L479" s="192" t="s">
        <v>205</v>
      </c>
      <c r="M479" s="190" t="s">
        <v>210</v>
      </c>
      <c r="N479" s="190">
        <v>10300</v>
      </c>
      <c r="O479" s="190">
        <v>3933</v>
      </c>
      <c r="P479" s="190">
        <v>3</v>
      </c>
      <c r="Q479" s="190">
        <v>2023</v>
      </c>
      <c r="R479" s="190">
        <v>1</v>
      </c>
    </row>
    <row r="480" spans="1:18" x14ac:dyDescent="0.2">
      <c r="A480" s="190" t="s">
        <v>48</v>
      </c>
      <c r="B480" s="191" t="s">
        <v>211</v>
      </c>
      <c r="C480" s="191" t="s">
        <v>187</v>
      </c>
      <c r="D480" s="191" t="s">
        <v>4</v>
      </c>
      <c r="E480" s="191" t="s">
        <v>202</v>
      </c>
      <c r="F480" s="190" t="s">
        <v>622</v>
      </c>
      <c r="G480" s="190" t="s">
        <v>203</v>
      </c>
      <c r="H480" s="190" t="s">
        <v>35</v>
      </c>
      <c r="I480" s="191" t="s">
        <v>468</v>
      </c>
      <c r="J480" s="190" t="s">
        <v>660</v>
      </c>
      <c r="K480" s="191" t="s">
        <v>213</v>
      </c>
      <c r="L480" s="192" t="s">
        <v>205</v>
      </c>
      <c r="M480" s="190" t="s">
        <v>210</v>
      </c>
      <c r="N480" s="190">
        <v>15500</v>
      </c>
      <c r="O480" s="190">
        <v>4460</v>
      </c>
      <c r="P480" s="190">
        <v>3</v>
      </c>
      <c r="Q480" s="190">
        <v>2024</v>
      </c>
      <c r="R480" s="190">
        <v>1</v>
      </c>
    </row>
    <row r="481" spans="1:18" x14ac:dyDescent="0.2">
      <c r="A481" s="190" t="s">
        <v>48</v>
      </c>
      <c r="B481" s="191" t="s">
        <v>211</v>
      </c>
      <c r="C481" s="191" t="s">
        <v>187</v>
      </c>
      <c r="D481" s="191" t="s">
        <v>4</v>
      </c>
      <c r="E481" s="191" t="s">
        <v>202</v>
      </c>
      <c r="F481" s="190" t="s">
        <v>622</v>
      </c>
      <c r="G481" s="190" t="s">
        <v>203</v>
      </c>
      <c r="H481" s="190" t="s">
        <v>22</v>
      </c>
      <c r="I481" s="191" t="s">
        <v>107</v>
      </c>
      <c r="J481" s="190" t="s">
        <v>220</v>
      </c>
      <c r="K481" s="191" t="s">
        <v>221</v>
      </c>
      <c r="L481" s="192" t="s">
        <v>205</v>
      </c>
      <c r="M481" s="190" t="s">
        <v>210</v>
      </c>
      <c r="N481" s="190">
        <v>12500</v>
      </c>
      <c r="O481" s="190">
        <v>7684</v>
      </c>
      <c r="P481" s="190">
        <v>3</v>
      </c>
      <c r="Q481" s="190">
        <v>2025</v>
      </c>
      <c r="R481" s="190">
        <v>1</v>
      </c>
    </row>
    <row r="482" spans="1:18" x14ac:dyDescent="0.2">
      <c r="A482" s="190" t="s">
        <v>48</v>
      </c>
      <c r="B482" s="191" t="s">
        <v>211</v>
      </c>
      <c r="C482" s="191" t="s">
        <v>187</v>
      </c>
      <c r="D482" s="191" t="s">
        <v>4</v>
      </c>
      <c r="E482" s="191" t="s">
        <v>202</v>
      </c>
      <c r="F482" s="190" t="s">
        <v>622</v>
      </c>
      <c r="G482" s="190" t="s">
        <v>203</v>
      </c>
      <c r="H482" s="190" t="s">
        <v>22</v>
      </c>
      <c r="I482" s="191" t="s">
        <v>108</v>
      </c>
      <c r="J482" s="190" t="s">
        <v>371</v>
      </c>
      <c r="K482" s="191" t="s">
        <v>221</v>
      </c>
      <c r="L482" s="192" t="s">
        <v>205</v>
      </c>
      <c r="M482" s="190" t="s">
        <v>210</v>
      </c>
      <c r="N482" s="190">
        <v>17800</v>
      </c>
      <c r="O482" s="190">
        <v>7684</v>
      </c>
      <c r="P482" s="190">
        <v>3</v>
      </c>
      <c r="Q482" s="190">
        <v>2025</v>
      </c>
      <c r="R482" s="190">
        <v>1</v>
      </c>
    </row>
    <row r="483" spans="1:18" x14ac:dyDescent="0.2">
      <c r="A483" s="190" t="s">
        <v>48</v>
      </c>
      <c r="B483" s="191" t="s">
        <v>211</v>
      </c>
      <c r="C483" s="191" t="s">
        <v>187</v>
      </c>
      <c r="D483" s="191" t="s">
        <v>4</v>
      </c>
      <c r="E483" s="191" t="s">
        <v>202</v>
      </c>
      <c r="F483" s="190" t="s">
        <v>622</v>
      </c>
      <c r="G483" s="190" t="s">
        <v>203</v>
      </c>
      <c r="H483" s="190" t="s">
        <v>24</v>
      </c>
      <c r="I483" s="191" t="s">
        <v>116</v>
      </c>
      <c r="J483" s="190" t="s">
        <v>239</v>
      </c>
      <c r="K483" s="191" t="s">
        <v>221</v>
      </c>
      <c r="L483" s="192" t="s">
        <v>205</v>
      </c>
      <c r="M483" s="190" t="s">
        <v>210</v>
      </c>
      <c r="N483" s="190">
        <v>18630</v>
      </c>
      <c r="O483" s="190">
        <v>7790</v>
      </c>
      <c r="P483" s="190">
        <v>3</v>
      </c>
      <c r="Q483" s="190">
        <v>2025</v>
      </c>
      <c r="R483" s="190">
        <v>1</v>
      </c>
    </row>
    <row r="484" spans="1:18" x14ac:dyDescent="0.2">
      <c r="A484" s="190" t="s">
        <v>48</v>
      </c>
      <c r="B484" s="191" t="s">
        <v>211</v>
      </c>
      <c r="C484" s="191" t="s">
        <v>187</v>
      </c>
      <c r="D484" s="191" t="s">
        <v>4</v>
      </c>
      <c r="E484" s="191" t="s">
        <v>202</v>
      </c>
      <c r="F484" s="190" t="s">
        <v>622</v>
      </c>
      <c r="G484" s="190" t="s">
        <v>203</v>
      </c>
      <c r="H484" s="190" t="s">
        <v>37</v>
      </c>
      <c r="I484" s="191" t="s">
        <v>537</v>
      </c>
      <c r="J484" s="190" t="s">
        <v>537</v>
      </c>
      <c r="K484" s="191" t="s">
        <v>635</v>
      </c>
      <c r="L484" s="192" t="s">
        <v>205</v>
      </c>
      <c r="M484" s="190" t="s">
        <v>210</v>
      </c>
      <c r="N484" s="190">
        <v>14500</v>
      </c>
      <c r="O484" s="190">
        <v>5100</v>
      </c>
      <c r="P484" s="190">
        <v>3</v>
      </c>
      <c r="Q484" s="190">
        <v>2025</v>
      </c>
      <c r="R484" s="190">
        <v>1</v>
      </c>
    </row>
    <row r="485" spans="1:18" x14ac:dyDescent="0.2">
      <c r="A485" s="190" t="s">
        <v>48</v>
      </c>
      <c r="B485" s="191" t="s">
        <v>211</v>
      </c>
      <c r="C485" s="191" t="s">
        <v>187</v>
      </c>
      <c r="D485" s="191" t="s">
        <v>4</v>
      </c>
      <c r="E485" s="191" t="s">
        <v>202</v>
      </c>
      <c r="F485" s="190" t="s">
        <v>622</v>
      </c>
      <c r="G485" s="190" t="s">
        <v>203</v>
      </c>
      <c r="H485" s="190" t="s">
        <v>27</v>
      </c>
      <c r="I485" s="191" t="s">
        <v>365</v>
      </c>
      <c r="J485" s="190" t="s">
        <v>202</v>
      </c>
      <c r="K485" s="191" t="s">
        <v>204</v>
      </c>
      <c r="L485" s="192" t="s">
        <v>205</v>
      </c>
      <c r="M485" s="190" t="s">
        <v>206</v>
      </c>
      <c r="N485" s="190">
        <v>26300</v>
      </c>
      <c r="O485" s="190">
        <v>6871</v>
      </c>
      <c r="P485" s="190">
        <v>2</v>
      </c>
      <c r="Q485" s="190">
        <v>2025</v>
      </c>
      <c r="R485" s="190">
        <v>1</v>
      </c>
    </row>
    <row r="486" spans="1:18" x14ac:dyDescent="0.2">
      <c r="A486" s="190" t="s">
        <v>48</v>
      </c>
      <c r="B486" s="191" t="s">
        <v>211</v>
      </c>
      <c r="C486" s="191" t="s">
        <v>187</v>
      </c>
      <c r="D486" s="191" t="s">
        <v>4</v>
      </c>
      <c r="E486" s="191" t="s">
        <v>202</v>
      </c>
      <c r="F486" s="190" t="s">
        <v>622</v>
      </c>
      <c r="G486" s="190" t="s">
        <v>203</v>
      </c>
      <c r="H486" s="190" t="s">
        <v>20</v>
      </c>
      <c r="I486" s="191" t="s">
        <v>141</v>
      </c>
      <c r="J486" s="190" t="s">
        <v>141</v>
      </c>
      <c r="K486" s="191" t="s">
        <v>204</v>
      </c>
      <c r="L486" s="192" t="s">
        <v>205</v>
      </c>
      <c r="M486" s="190" t="s">
        <v>206</v>
      </c>
      <c r="N486" s="190">
        <v>36000</v>
      </c>
      <c r="O486" s="190">
        <v>12800</v>
      </c>
      <c r="P486" s="190">
        <v>2</v>
      </c>
      <c r="Q486" s="190">
        <v>2025</v>
      </c>
      <c r="R486" s="190">
        <v>3</v>
      </c>
    </row>
    <row r="487" spans="1:18" x14ac:dyDescent="0.2">
      <c r="A487" s="190" t="s">
        <v>48</v>
      </c>
      <c r="B487" s="191" t="s">
        <v>211</v>
      </c>
      <c r="C487" s="191" t="s">
        <v>187</v>
      </c>
      <c r="D487" s="191" t="s">
        <v>4</v>
      </c>
      <c r="E487" s="191" t="s">
        <v>202</v>
      </c>
      <c r="F487" s="190" t="s">
        <v>622</v>
      </c>
      <c r="G487" s="190" t="s">
        <v>203</v>
      </c>
      <c r="H487" s="190" t="s">
        <v>20</v>
      </c>
      <c r="I487" s="191" t="s">
        <v>143</v>
      </c>
      <c r="J487" s="190" t="s">
        <v>143</v>
      </c>
      <c r="K487" s="191" t="s">
        <v>204</v>
      </c>
      <c r="L487" s="192" t="s">
        <v>205</v>
      </c>
      <c r="M487" s="190" t="s">
        <v>210</v>
      </c>
      <c r="N487" s="190">
        <v>17700</v>
      </c>
      <c r="O487" s="190">
        <v>7700</v>
      </c>
      <c r="P487" s="190">
        <v>2</v>
      </c>
      <c r="Q487" s="190">
        <v>2025</v>
      </c>
      <c r="R487" s="190">
        <v>3</v>
      </c>
    </row>
    <row r="488" spans="1:18" x14ac:dyDescent="0.2">
      <c r="A488" s="190" t="s">
        <v>48</v>
      </c>
      <c r="B488" s="191" t="s">
        <v>211</v>
      </c>
      <c r="C488" s="191" t="s">
        <v>187</v>
      </c>
      <c r="D488" s="191" t="s">
        <v>4</v>
      </c>
      <c r="E488" s="191" t="s">
        <v>202</v>
      </c>
      <c r="F488" s="190" t="s">
        <v>622</v>
      </c>
      <c r="G488" s="190" t="s">
        <v>203</v>
      </c>
      <c r="H488" s="190" t="s">
        <v>20</v>
      </c>
      <c r="I488" s="191" t="s">
        <v>145</v>
      </c>
      <c r="J488" s="190" t="s">
        <v>145</v>
      </c>
      <c r="K488" s="191" t="s">
        <v>204</v>
      </c>
      <c r="L488" s="192" t="s">
        <v>205</v>
      </c>
      <c r="M488" s="190" t="s">
        <v>206</v>
      </c>
      <c r="N488" s="190">
        <v>34000</v>
      </c>
      <c r="O488" s="190">
        <v>7700</v>
      </c>
      <c r="P488" s="190">
        <v>3</v>
      </c>
      <c r="Q488" s="190">
        <v>2025</v>
      </c>
      <c r="R488" s="190">
        <v>1</v>
      </c>
    </row>
    <row r="489" spans="1:18" x14ac:dyDescent="0.2">
      <c r="A489" s="190" t="s">
        <v>48</v>
      </c>
      <c r="B489" s="191" t="s">
        <v>211</v>
      </c>
      <c r="C489" s="191" t="s">
        <v>187</v>
      </c>
      <c r="D489" s="191" t="s">
        <v>4</v>
      </c>
      <c r="E489" s="191" t="s">
        <v>202</v>
      </c>
      <c r="F489" s="190" t="s">
        <v>622</v>
      </c>
      <c r="G489" s="190" t="s">
        <v>203</v>
      </c>
      <c r="H489" s="190" t="s">
        <v>20</v>
      </c>
      <c r="I489" s="191" t="s">
        <v>146</v>
      </c>
      <c r="J489" s="190" t="s">
        <v>146</v>
      </c>
      <c r="K489" s="191" t="s">
        <v>204</v>
      </c>
      <c r="L489" s="192" t="s">
        <v>205</v>
      </c>
      <c r="M489" s="190" t="s">
        <v>218</v>
      </c>
      <c r="N489" s="190">
        <v>33400</v>
      </c>
      <c r="O489" s="190">
        <v>7700</v>
      </c>
      <c r="P489" s="190">
        <v>2</v>
      </c>
      <c r="Q489" s="190">
        <v>2025</v>
      </c>
      <c r="R489" s="190">
        <v>1</v>
      </c>
    </row>
    <row r="490" spans="1:18" x14ac:dyDescent="0.2">
      <c r="A490" s="190" t="s">
        <v>48</v>
      </c>
      <c r="B490" s="191" t="s">
        <v>211</v>
      </c>
      <c r="C490" s="191" t="s">
        <v>187</v>
      </c>
      <c r="D490" s="191" t="s">
        <v>4</v>
      </c>
      <c r="E490" s="191" t="s">
        <v>202</v>
      </c>
      <c r="F490" s="190" t="s">
        <v>613</v>
      </c>
      <c r="G490" s="190" t="s">
        <v>208</v>
      </c>
      <c r="H490" s="190" t="s">
        <v>22</v>
      </c>
      <c r="I490" s="191" t="s">
        <v>106</v>
      </c>
      <c r="J490" s="190" t="s">
        <v>224</v>
      </c>
      <c r="K490" s="191" t="s">
        <v>221</v>
      </c>
      <c r="L490" s="192" t="s">
        <v>205</v>
      </c>
      <c r="M490" s="190" t="s">
        <v>210</v>
      </c>
      <c r="N490" s="190">
        <v>7500</v>
      </c>
      <c r="O490" s="190">
        <v>4009</v>
      </c>
      <c r="P490" s="190">
        <v>7</v>
      </c>
      <c r="Q490" s="190">
        <v>2025</v>
      </c>
      <c r="R490" s="190">
        <v>1</v>
      </c>
    </row>
    <row r="491" spans="1:18" x14ac:dyDescent="0.2">
      <c r="A491" s="190" t="s">
        <v>48</v>
      </c>
      <c r="B491" s="191" t="s">
        <v>211</v>
      </c>
      <c r="C491" s="191" t="s">
        <v>187</v>
      </c>
      <c r="D491" s="191" t="s">
        <v>4</v>
      </c>
      <c r="E491" s="191" t="s">
        <v>202</v>
      </c>
      <c r="F491" s="190" t="s">
        <v>613</v>
      </c>
      <c r="G491" s="190" t="s">
        <v>203</v>
      </c>
      <c r="H491" s="190" t="s">
        <v>27</v>
      </c>
      <c r="I491" s="191" t="s">
        <v>138</v>
      </c>
      <c r="J491" s="190" t="s">
        <v>202</v>
      </c>
      <c r="K491" s="191" t="s">
        <v>204</v>
      </c>
      <c r="L491" s="192" t="s">
        <v>205</v>
      </c>
      <c r="M491" s="190" t="s">
        <v>206</v>
      </c>
      <c r="N491" s="190">
        <v>30500</v>
      </c>
      <c r="O491" s="190">
        <v>6871</v>
      </c>
      <c r="P491" s="190">
        <v>2</v>
      </c>
      <c r="Q491" s="190">
        <v>2025</v>
      </c>
      <c r="R491" s="190">
        <v>1</v>
      </c>
    </row>
    <row r="492" spans="1:18" x14ac:dyDescent="0.2">
      <c r="A492" s="190" t="s">
        <v>48</v>
      </c>
      <c r="B492" s="191" t="s">
        <v>211</v>
      </c>
      <c r="C492" s="191" t="s">
        <v>187</v>
      </c>
      <c r="D492" s="191" t="s">
        <v>4</v>
      </c>
      <c r="E492" s="191" t="s">
        <v>202</v>
      </c>
      <c r="F492" s="190" t="s">
        <v>641</v>
      </c>
      <c r="G492" s="190" t="s">
        <v>208</v>
      </c>
      <c r="H492" s="190" t="s">
        <v>21</v>
      </c>
      <c r="I492" s="191" t="s">
        <v>113</v>
      </c>
      <c r="J492" s="190" t="s">
        <v>220</v>
      </c>
      <c r="K492" s="191" t="s">
        <v>227</v>
      </c>
      <c r="L492" s="192" t="s">
        <v>205</v>
      </c>
      <c r="M492" s="190" t="s">
        <v>210</v>
      </c>
      <c r="N492" s="190">
        <v>7800</v>
      </c>
      <c r="O492" s="190">
        <v>2891</v>
      </c>
      <c r="P492" s="190">
        <v>3</v>
      </c>
      <c r="Q492" s="190">
        <v>2024</v>
      </c>
      <c r="R492" s="190">
        <v>1</v>
      </c>
    </row>
    <row r="493" spans="1:18" x14ac:dyDescent="0.2">
      <c r="A493" s="190" t="s">
        <v>48</v>
      </c>
      <c r="B493" s="191" t="s">
        <v>211</v>
      </c>
      <c r="C493" s="191" t="s">
        <v>187</v>
      </c>
      <c r="D493" s="191" t="s">
        <v>4</v>
      </c>
      <c r="E493" s="191" t="s">
        <v>202</v>
      </c>
      <c r="F493" s="190" t="s">
        <v>641</v>
      </c>
      <c r="G493" s="190" t="s">
        <v>208</v>
      </c>
      <c r="H493" s="190" t="s">
        <v>24</v>
      </c>
      <c r="I493" s="191" t="s">
        <v>120</v>
      </c>
      <c r="J493" s="190" t="s">
        <v>233</v>
      </c>
      <c r="K493" s="191" t="s">
        <v>221</v>
      </c>
      <c r="L493" s="192" t="s">
        <v>205</v>
      </c>
      <c r="M493" s="190" t="s">
        <v>210</v>
      </c>
      <c r="N493" s="190">
        <v>8000</v>
      </c>
      <c r="O493" s="190">
        <v>5193</v>
      </c>
      <c r="P493" s="190">
        <v>3</v>
      </c>
      <c r="Q493" s="190">
        <v>2025</v>
      </c>
      <c r="R493" s="190">
        <v>1</v>
      </c>
    </row>
    <row r="494" spans="1:18" x14ac:dyDescent="0.2">
      <c r="A494" s="190" t="s">
        <v>48</v>
      </c>
      <c r="B494" s="191" t="s">
        <v>211</v>
      </c>
      <c r="C494" s="191" t="s">
        <v>187</v>
      </c>
      <c r="D494" s="191" t="s">
        <v>4</v>
      </c>
      <c r="E494" s="191" t="s">
        <v>202</v>
      </c>
      <c r="F494" s="190" t="s">
        <v>216</v>
      </c>
      <c r="G494" s="190" t="s">
        <v>208</v>
      </c>
      <c r="H494" s="190" t="s">
        <v>30</v>
      </c>
      <c r="I494" s="191" t="s">
        <v>459</v>
      </c>
      <c r="J494" s="190" t="s">
        <v>694</v>
      </c>
      <c r="K494" s="191" t="s">
        <v>213</v>
      </c>
      <c r="L494" s="192" t="s">
        <v>247</v>
      </c>
      <c r="M494" s="190" t="s">
        <v>210</v>
      </c>
      <c r="N494" s="190">
        <v>8000</v>
      </c>
      <c r="O494" s="190">
        <v>4200</v>
      </c>
      <c r="P494" s="190">
        <v>3</v>
      </c>
      <c r="Q494" s="190">
        <v>2024</v>
      </c>
      <c r="R494" s="190">
        <v>1</v>
      </c>
    </row>
    <row r="495" spans="1:18" x14ac:dyDescent="0.2">
      <c r="A495" s="190" t="s">
        <v>48</v>
      </c>
      <c r="B495" s="191" t="s">
        <v>211</v>
      </c>
      <c r="C495" s="191" t="s">
        <v>187</v>
      </c>
      <c r="D495" s="191" t="s">
        <v>4</v>
      </c>
      <c r="E495" s="191" t="s">
        <v>202</v>
      </c>
      <c r="F495" s="190" t="s">
        <v>216</v>
      </c>
      <c r="G495" s="190" t="s">
        <v>208</v>
      </c>
      <c r="H495" s="190" t="s">
        <v>40</v>
      </c>
      <c r="I495" s="191" t="s">
        <v>463</v>
      </c>
      <c r="J495" s="190" t="s">
        <v>679</v>
      </c>
      <c r="K495" s="191" t="s">
        <v>213</v>
      </c>
      <c r="L495" s="192" t="s">
        <v>205</v>
      </c>
      <c r="M495" s="190" t="s">
        <v>210</v>
      </c>
      <c r="N495" s="190">
        <v>6500</v>
      </c>
      <c r="O495" s="190">
        <v>2300</v>
      </c>
      <c r="P495" s="190">
        <v>3</v>
      </c>
      <c r="Q495" s="190">
        <v>2025</v>
      </c>
      <c r="R495" s="190">
        <v>1</v>
      </c>
    </row>
    <row r="496" spans="1:18" x14ac:dyDescent="0.2">
      <c r="A496" s="190" t="s">
        <v>48</v>
      </c>
      <c r="B496" s="191" t="s">
        <v>211</v>
      </c>
      <c r="C496" s="191" t="s">
        <v>187</v>
      </c>
      <c r="D496" s="191" t="s">
        <v>4</v>
      </c>
      <c r="E496" s="191" t="s">
        <v>202</v>
      </c>
      <c r="F496" s="190" t="s">
        <v>216</v>
      </c>
      <c r="G496" s="190" t="s">
        <v>208</v>
      </c>
      <c r="H496" s="190" t="s">
        <v>23</v>
      </c>
      <c r="I496" s="191" t="s">
        <v>94</v>
      </c>
      <c r="J496" s="190" t="s">
        <v>94</v>
      </c>
      <c r="K496" s="191" t="s">
        <v>213</v>
      </c>
      <c r="L496" s="192" t="s">
        <v>205</v>
      </c>
      <c r="M496" s="190" t="s">
        <v>210</v>
      </c>
      <c r="N496" s="190">
        <v>6900</v>
      </c>
      <c r="O496" s="190">
        <v>2780</v>
      </c>
      <c r="P496" s="190">
        <v>3</v>
      </c>
      <c r="Q496" s="190">
        <v>2025</v>
      </c>
      <c r="R496" s="190">
        <v>2</v>
      </c>
    </row>
    <row r="497" spans="1:18" x14ac:dyDescent="0.2">
      <c r="A497" s="190" t="s">
        <v>48</v>
      </c>
      <c r="B497" s="191" t="s">
        <v>211</v>
      </c>
      <c r="C497" s="191" t="s">
        <v>187</v>
      </c>
      <c r="D497" s="191" t="s">
        <v>4</v>
      </c>
      <c r="E497" s="191" t="s">
        <v>202</v>
      </c>
      <c r="F497" s="190" t="s">
        <v>216</v>
      </c>
      <c r="G497" s="190" t="s">
        <v>208</v>
      </c>
      <c r="H497" s="190" t="s">
        <v>23</v>
      </c>
      <c r="I497" s="191" t="s">
        <v>355</v>
      </c>
      <c r="J497" s="190" t="s">
        <v>355</v>
      </c>
      <c r="K497" s="191" t="s">
        <v>213</v>
      </c>
      <c r="L497" s="192" t="s">
        <v>205</v>
      </c>
      <c r="M497" s="190" t="s">
        <v>210</v>
      </c>
      <c r="N497" s="190">
        <v>8850</v>
      </c>
      <c r="O497" s="190">
        <v>3760</v>
      </c>
      <c r="P497" s="190">
        <v>3</v>
      </c>
      <c r="Q497" s="190">
        <v>2025</v>
      </c>
      <c r="R497" s="190">
        <v>2</v>
      </c>
    </row>
    <row r="498" spans="1:18" x14ac:dyDescent="0.2">
      <c r="A498" s="190" t="s">
        <v>48</v>
      </c>
      <c r="B498" s="191" t="s">
        <v>211</v>
      </c>
      <c r="C498" s="191" t="s">
        <v>187</v>
      </c>
      <c r="D498" s="191" t="s">
        <v>4</v>
      </c>
      <c r="E498" s="191" t="s">
        <v>202</v>
      </c>
      <c r="F498" s="190" t="s">
        <v>216</v>
      </c>
      <c r="G498" s="190" t="s">
        <v>208</v>
      </c>
      <c r="H498" s="190" t="s">
        <v>23</v>
      </c>
      <c r="I498" s="191" t="s">
        <v>95</v>
      </c>
      <c r="J498" s="190" t="s">
        <v>95</v>
      </c>
      <c r="K498" s="191" t="s">
        <v>213</v>
      </c>
      <c r="L498" s="192" t="s">
        <v>205</v>
      </c>
      <c r="M498" s="190" t="s">
        <v>210</v>
      </c>
      <c r="N498" s="190">
        <v>10800</v>
      </c>
      <c r="O498" s="190">
        <v>3760</v>
      </c>
      <c r="P498" s="190">
        <v>3</v>
      </c>
      <c r="Q498" s="190">
        <v>2025</v>
      </c>
      <c r="R498" s="190">
        <v>1</v>
      </c>
    </row>
    <row r="499" spans="1:18" x14ac:dyDescent="0.2">
      <c r="A499" s="190" t="s">
        <v>48</v>
      </c>
      <c r="B499" s="191" t="s">
        <v>211</v>
      </c>
      <c r="C499" s="191" t="s">
        <v>187</v>
      </c>
      <c r="D499" s="191" t="s">
        <v>4</v>
      </c>
      <c r="E499" s="191" t="s">
        <v>202</v>
      </c>
      <c r="F499" s="190" t="s">
        <v>216</v>
      </c>
      <c r="G499" s="190" t="s">
        <v>208</v>
      </c>
      <c r="H499" s="190" t="s">
        <v>23</v>
      </c>
      <c r="I499" s="191" t="s">
        <v>306</v>
      </c>
      <c r="J499" s="190" t="s">
        <v>98</v>
      </c>
      <c r="K499" s="191" t="s">
        <v>213</v>
      </c>
      <c r="L499" s="192" t="s">
        <v>205</v>
      </c>
      <c r="M499" s="190" t="s">
        <v>210</v>
      </c>
      <c r="N499" s="190">
        <v>6500</v>
      </c>
      <c r="O499" s="190">
        <v>2771</v>
      </c>
      <c r="P499" s="190">
        <v>3</v>
      </c>
      <c r="Q499" s="190">
        <v>2025</v>
      </c>
      <c r="R499" s="190">
        <v>5</v>
      </c>
    </row>
    <row r="500" spans="1:18" x14ac:dyDescent="0.2">
      <c r="A500" s="190" t="s">
        <v>48</v>
      </c>
      <c r="B500" s="191" t="s">
        <v>211</v>
      </c>
      <c r="C500" s="191" t="s">
        <v>187</v>
      </c>
      <c r="D500" s="191" t="s">
        <v>4</v>
      </c>
      <c r="E500" s="191" t="s">
        <v>202</v>
      </c>
      <c r="F500" s="190" t="s">
        <v>216</v>
      </c>
      <c r="G500" s="190" t="s">
        <v>208</v>
      </c>
      <c r="H500" s="190" t="s">
        <v>23</v>
      </c>
      <c r="I500" s="191" t="s">
        <v>481</v>
      </c>
      <c r="J500" s="190" t="s">
        <v>481</v>
      </c>
      <c r="K500" s="191" t="s">
        <v>213</v>
      </c>
      <c r="L500" s="192" t="s">
        <v>205</v>
      </c>
      <c r="M500" s="190" t="s">
        <v>210</v>
      </c>
      <c r="N500" s="190">
        <v>6900</v>
      </c>
      <c r="O500" s="190">
        <v>2500</v>
      </c>
      <c r="P500" s="190">
        <v>3</v>
      </c>
      <c r="Q500" s="190">
        <v>2025</v>
      </c>
      <c r="R500" s="190">
        <v>1</v>
      </c>
    </row>
    <row r="501" spans="1:18" x14ac:dyDescent="0.2">
      <c r="A501" s="190" t="s">
        <v>48</v>
      </c>
      <c r="B501" s="191" t="s">
        <v>211</v>
      </c>
      <c r="C501" s="191" t="s">
        <v>187</v>
      </c>
      <c r="D501" s="191" t="s">
        <v>4</v>
      </c>
      <c r="E501" s="191" t="s">
        <v>202</v>
      </c>
      <c r="F501" s="190" t="s">
        <v>216</v>
      </c>
      <c r="G501" s="190" t="s">
        <v>208</v>
      </c>
      <c r="H501" s="190" t="s">
        <v>65</v>
      </c>
      <c r="I501" s="191" t="s">
        <v>101</v>
      </c>
      <c r="J501" s="190" t="s">
        <v>409</v>
      </c>
      <c r="K501" s="191" t="s">
        <v>221</v>
      </c>
      <c r="L501" s="192" t="s">
        <v>205</v>
      </c>
      <c r="M501" s="190" t="s">
        <v>210</v>
      </c>
      <c r="N501" s="190">
        <v>7500</v>
      </c>
      <c r="O501" s="190">
        <v>2998</v>
      </c>
      <c r="P501" s="190">
        <v>3</v>
      </c>
      <c r="Q501" s="190">
        <v>2024</v>
      </c>
      <c r="R501" s="190">
        <v>2</v>
      </c>
    </row>
    <row r="502" spans="1:18" x14ac:dyDescent="0.2">
      <c r="A502" s="190" t="s">
        <v>48</v>
      </c>
      <c r="B502" s="191" t="s">
        <v>211</v>
      </c>
      <c r="C502" s="191" t="s">
        <v>187</v>
      </c>
      <c r="D502" s="191" t="s">
        <v>4</v>
      </c>
      <c r="E502" s="191" t="s">
        <v>202</v>
      </c>
      <c r="F502" s="190" t="s">
        <v>216</v>
      </c>
      <c r="G502" s="190" t="s">
        <v>208</v>
      </c>
      <c r="H502" s="190" t="s">
        <v>65</v>
      </c>
      <c r="I502" s="191" t="s">
        <v>101</v>
      </c>
      <c r="J502" s="190" t="s">
        <v>415</v>
      </c>
      <c r="K502" s="191" t="s">
        <v>221</v>
      </c>
      <c r="L502" s="192" t="s">
        <v>205</v>
      </c>
      <c r="M502" s="190" t="s">
        <v>210</v>
      </c>
      <c r="N502" s="190">
        <v>8550</v>
      </c>
      <c r="O502" s="190">
        <v>2998</v>
      </c>
      <c r="P502" s="190">
        <v>3</v>
      </c>
      <c r="Q502" s="190">
        <v>2025</v>
      </c>
      <c r="R502" s="190">
        <v>3</v>
      </c>
    </row>
    <row r="503" spans="1:18" x14ac:dyDescent="0.2">
      <c r="A503" s="190" t="s">
        <v>48</v>
      </c>
      <c r="B503" s="191" t="s">
        <v>211</v>
      </c>
      <c r="C503" s="191" t="s">
        <v>187</v>
      </c>
      <c r="D503" s="191" t="s">
        <v>4</v>
      </c>
      <c r="E503" s="191" t="s">
        <v>202</v>
      </c>
      <c r="F503" s="190" t="s">
        <v>216</v>
      </c>
      <c r="G503" s="190" t="s">
        <v>208</v>
      </c>
      <c r="H503" s="190" t="s">
        <v>65</v>
      </c>
      <c r="I503" s="191" t="s">
        <v>101</v>
      </c>
      <c r="J503" s="190" t="s">
        <v>413</v>
      </c>
      <c r="K503" s="191" t="s">
        <v>221</v>
      </c>
      <c r="L503" s="192" t="s">
        <v>205</v>
      </c>
      <c r="M503" s="190" t="s">
        <v>210</v>
      </c>
      <c r="N503" s="190">
        <v>5700</v>
      </c>
      <c r="O503" s="190">
        <v>2998</v>
      </c>
      <c r="P503" s="190">
        <v>3</v>
      </c>
      <c r="Q503" s="190">
        <v>2025</v>
      </c>
      <c r="R503" s="190">
        <v>2</v>
      </c>
    </row>
    <row r="504" spans="1:18" x14ac:dyDescent="0.2">
      <c r="A504" s="190" t="s">
        <v>48</v>
      </c>
      <c r="B504" s="191" t="s">
        <v>211</v>
      </c>
      <c r="C504" s="191" t="s">
        <v>187</v>
      </c>
      <c r="D504" s="191" t="s">
        <v>4</v>
      </c>
      <c r="E504" s="191" t="s">
        <v>202</v>
      </c>
      <c r="F504" s="190" t="s">
        <v>216</v>
      </c>
      <c r="G504" s="190" t="s">
        <v>208</v>
      </c>
      <c r="H504" s="190" t="s">
        <v>65</v>
      </c>
      <c r="I504" s="191" t="s">
        <v>101</v>
      </c>
      <c r="J504" s="190" t="s">
        <v>628</v>
      </c>
      <c r="K504" s="191" t="s">
        <v>221</v>
      </c>
      <c r="L504" s="192" t="s">
        <v>205</v>
      </c>
      <c r="M504" s="190" t="s">
        <v>234</v>
      </c>
      <c r="N504" s="190">
        <v>6000</v>
      </c>
      <c r="O504" s="190">
        <v>2998</v>
      </c>
      <c r="P504" s="190">
        <v>3</v>
      </c>
      <c r="Q504" s="190">
        <v>2025</v>
      </c>
      <c r="R504" s="190">
        <v>1</v>
      </c>
    </row>
    <row r="505" spans="1:18" x14ac:dyDescent="0.2">
      <c r="A505" s="190" t="s">
        <v>48</v>
      </c>
      <c r="B505" s="191" t="s">
        <v>211</v>
      </c>
      <c r="C505" s="191" t="s">
        <v>187</v>
      </c>
      <c r="D505" s="191" t="s">
        <v>4</v>
      </c>
      <c r="E505" s="191" t="s">
        <v>202</v>
      </c>
      <c r="F505" s="190" t="s">
        <v>216</v>
      </c>
      <c r="G505" s="190" t="s">
        <v>208</v>
      </c>
      <c r="H505" s="190" t="s">
        <v>65</v>
      </c>
      <c r="I505" s="191" t="s">
        <v>101</v>
      </c>
      <c r="J505" s="190" t="s">
        <v>741</v>
      </c>
      <c r="K505" s="191" t="s">
        <v>221</v>
      </c>
      <c r="L505" s="192" t="s">
        <v>205</v>
      </c>
      <c r="M505" s="190" t="s">
        <v>210</v>
      </c>
      <c r="N505" s="190">
        <v>8550</v>
      </c>
      <c r="O505" s="190">
        <v>2998</v>
      </c>
      <c r="P505" s="190">
        <v>3</v>
      </c>
      <c r="Q505" s="190">
        <v>2025</v>
      </c>
      <c r="R505" s="190">
        <v>1</v>
      </c>
    </row>
    <row r="506" spans="1:18" x14ac:dyDescent="0.2">
      <c r="A506" s="190" t="s">
        <v>48</v>
      </c>
      <c r="B506" s="191" t="s">
        <v>211</v>
      </c>
      <c r="C506" s="191" t="s">
        <v>187</v>
      </c>
      <c r="D506" s="191" t="s">
        <v>4</v>
      </c>
      <c r="E506" s="191" t="s">
        <v>202</v>
      </c>
      <c r="F506" s="190" t="s">
        <v>216</v>
      </c>
      <c r="G506" s="190" t="s">
        <v>208</v>
      </c>
      <c r="H506" s="190" t="s">
        <v>22</v>
      </c>
      <c r="I506" s="191" t="s">
        <v>106</v>
      </c>
      <c r="J506" s="190" t="s">
        <v>222</v>
      </c>
      <c r="K506" s="191" t="s">
        <v>221</v>
      </c>
      <c r="L506" s="192" t="s">
        <v>205</v>
      </c>
      <c r="M506" s="190" t="s">
        <v>210</v>
      </c>
      <c r="N506" s="190">
        <v>7000</v>
      </c>
      <c r="O506" s="190">
        <v>4009</v>
      </c>
      <c r="P506" s="190">
        <v>3</v>
      </c>
      <c r="Q506" s="190">
        <v>2025</v>
      </c>
      <c r="R506" s="190">
        <v>1</v>
      </c>
    </row>
    <row r="507" spans="1:18" x14ac:dyDescent="0.2">
      <c r="A507" s="190" t="s">
        <v>48</v>
      </c>
      <c r="B507" s="191" t="s">
        <v>211</v>
      </c>
      <c r="C507" s="191" t="s">
        <v>187</v>
      </c>
      <c r="D507" s="191" t="s">
        <v>4</v>
      </c>
      <c r="E507" s="191" t="s">
        <v>202</v>
      </c>
      <c r="F507" s="190" t="s">
        <v>216</v>
      </c>
      <c r="G507" s="190" t="s">
        <v>208</v>
      </c>
      <c r="H507" s="190" t="s">
        <v>22</v>
      </c>
      <c r="I507" s="191" t="s">
        <v>106</v>
      </c>
      <c r="J507" s="190" t="s">
        <v>222</v>
      </c>
      <c r="K507" s="191" t="s">
        <v>221</v>
      </c>
      <c r="L507" s="192" t="s">
        <v>205</v>
      </c>
      <c r="M507" s="190" t="s">
        <v>210</v>
      </c>
      <c r="N507" s="190">
        <v>7500</v>
      </c>
      <c r="O507" s="190">
        <v>4009</v>
      </c>
      <c r="P507" s="190">
        <v>3</v>
      </c>
      <c r="Q507" s="190">
        <v>2024</v>
      </c>
      <c r="R507" s="190">
        <v>1</v>
      </c>
    </row>
    <row r="508" spans="1:18" x14ac:dyDescent="0.2">
      <c r="A508" s="190" t="s">
        <v>48</v>
      </c>
      <c r="B508" s="191" t="s">
        <v>211</v>
      </c>
      <c r="C508" s="191" t="s">
        <v>187</v>
      </c>
      <c r="D508" s="191" t="s">
        <v>4</v>
      </c>
      <c r="E508" s="191" t="s">
        <v>202</v>
      </c>
      <c r="F508" s="190" t="s">
        <v>216</v>
      </c>
      <c r="G508" s="190" t="s">
        <v>208</v>
      </c>
      <c r="H508" s="190" t="s">
        <v>22</v>
      </c>
      <c r="I508" s="191" t="s">
        <v>106</v>
      </c>
      <c r="J508" s="190" t="s">
        <v>222</v>
      </c>
      <c r="K508" s="191" t="s">
        <v>221</v>
      </c>
      <c r="L508" s="192" t="s">
        <v>205</v>
      </c>
      <c r="M508" s="190" t="s">
        <v>210</v>
      </c>
      <c r="N508" s="190">
        <v>7500</v>
      </c>
      <c r="O508" s="190">
        <v>4009</v>
      </c>
      <c r="P508" s="190">
        <v>3</v>
      </c>
      <c r="Q508" s="190">
        <v>2025</v>
      </c>
      <c r="R508" s="190">
        <v>2</v>
      </c>
    </row>
    <row r="509" spans="1:18" x14ac:dyDescent="0.2">
      <c r="A509" s="190" t="s">
        <v>48</v>
      </c>
      <c r="B509" s="191" t="s">
        <v>211</v>
      </c>
      <c r="C509" s="191" t="s">
        <v>187</v>
      </c>
      <c r="D509" s="191" t="s">
        <v>4</v>
      </c>
      <c r="E509" s="191" t="s">
        <v>202</v>
      </c>
      <c r="F509" s="190" t="s">
        <v>216</v>
      </c>
      <c r="G509" s="190" t="s">
        <v>208</v>
      </c>
      <c r="H509" s="190" t="s">
        <v>22</v>
      </c>
      <c r="I509" s="191" t="s">
        <v>106</v>
      </c>
      <c r="J509" s="190" t="s">
        <v>223</v>
      </c>
      <c r="K509" s="191" t="s">
        <v>221</v>
      </c>
      <c r="L509" s="192" t="s">
        <v>205</v>
      </c>
      <c r="M509" s="190" t="s">
        <v>210</v>
      </c>
      <c r="N509" s="190">
        <v>7500</v>
      </c>
      <c r="O509" s="190">
        <v>4009</v>
      </c>
      <c r="P509" s="190">
        <v>3</v>
      </c>
      <c r="Q509" s="190">
        <v>2025</v>
      </c>
      <c r="R509" s="190">
        <v>3</v>
      </c>
    </row>
    <row r="510" spans="1:18" x14ac:dyDescent="0.2">
      <c r="A510" s="190" t="s">
        <v>48</v>
      </c>
      <c r="B510" s="191" t="s">
        <v>211</v>
      </c>
      <c r="C510" s="191" t="s">
        <v>187</v>
      </c>
      <c r="D510" s="191" t="s">
        <v>4</v>
      </c>
      <c r="E510" s="191" t="s">
        <v>202</v>
      </c>
      <c r="F510" s="190" t="s">
        <v>216</v>
      </c>
      <c r="G510" s="190" t="s">
        <v>208</v>
      </c>
      <c r="H510" s="190" t="s">
        <v>22</v>
      </c>
      <c r="I510" s="191" t="s">
        <v>106</v>
      </c>
      <c r="J510" s="190" t="s">
        <v>223</v>
      </c>
      <c r="K510" s="191" t="s">
        <v>221</v>
      </c>
      <c r="L510" s="192" t="s">
        <v>205</v>
      </c>
      <c r="M510" s="190" t="s">
        <v>210</v>
      </c>
      <c r="N510" s="190">
        <v>8000</v>
      </c>
      <c r="O510" s="190">
        <v>4009</v>
      </c>
      <c r="P510" s="190">
        <v>3</v>
      </c>
      <c r="Q510" s="190">
        <v>2025</v>
      </c>
      <c r="R510" s="190">
        <v>1</v>
      </c>
    </row>
    <row r="511" spans="1:18" x14ac:dyDescent="0.2">
      <c r="A511" s="190" t="s">
        <v>48</v>
      </c>
      <c r="B511" s="191" t="s">
        <v>211</v>
      </c>
      <c r="C511" s="191" t="s">
        <v>187</v>
      </c>
      <c r="D511" s="191" t="s">
        <v>4</v>
      </c>
      <c r="E511" s="191" t="s">
        <v>202</v>
      </c>
      <c r="F511" s="190" t="s">
        <v>216</v>
      </c>
      <c r="G511" s="190" t="s">
        <v>208</v>
      </c>
      <c r="H511" s="190" t="s">
        <v>22</v>
      </c>
      <c r="I511" s="191" t="s">
        <v>106</v>
      </c>
      <c r="J511" s="190" t="s">
        <v>225</v>
      </c>
      <c r="K511" s="191" t="s">
        <v>221</v>
      </c>
      <c r="L511" s="192" t="s">
        <v>205</v>
      </c>
      <c r="M511" s="190" t="s">
        <v>210</v>
      </c>
      <c r="N511" s="190">
        <v>6000</v>
      </c>
      <c r="O511" s="190">
        <v>4009</v>
      </c>
      <c r="P511" s="190">
        <v>7</v>
      </c>
      <c r="Q511" s="190">
        <v>2025</v>
      </c>
      <c r="R511" s="190">
        <v>1</v>
      </c>
    </row>
    <row r="512" spans="1:18" x14ac:dyDescent="0.2">
      <c r="A512" s="190" t="s">
        <v>48</v>
      </c>
      <c r="B512" s="191" t="s">
        <v>211</v>
      </c>
      <c r="C512" s="191" t="s">
        <v>187</v>
      </c>
      <c r="D512" s="191" t="s">
        <v>4</v>
      </c>
      <c r="E512" s="191" t="s">
        <v>202</v>
      </c>
      <c r="F512" s="190" t="s">
        <v>216</v>
      </c>
      <c r="G512" s="190" t="s">
        <v>208</v>
      </c>
      <c r="H512" s="190" t="s">
        <v>21</v>
      </c>
      <c r="I512" s="191" t="s">
        <v>110</v>
      </c>
      <c r="J512" s="190" t="s">
        <v>226</v>
      </c>
      <c r="K512" s="191" t="s">
        <v>381</v>
      </c>
      <c r="L512" s="192" t="s">
        <v>205</v>
      </c>
      <c r="M512" s="190" t="s">
        <v>210</v>
      </c>
      <c r="N512" s="190">
        <v>9700</v>
      </c>
      <c r="O512" s="190">
        <v>3933</v>
      </c>
      <c r="P512" s="190">
        <v>3</v>
      </c>
      <c r="Q512" s="190">
        <v>2024</v>
      </c>
      <c r="R512" s="190">
        <v>1</v>
      </c>
    </row>
    <row r="513" spans="1:18" x14ac:dyDescent="0.2">
      <c r="A513" s="190" t="s">
        <v>48</v>
      </c>
      <c r="B513" s="191" t="s">
        <v>211</v>
      </c>
      <c r="C513" s="191" t="s">
        <v>187</v>
      </c>
      <c r="D513" s="191" t="s">
        <v>4</v>
      </c>
      <c r="E513" s="191" t="s">
        <v>202</v>
      </c>
      <c r="F513" s="190" t="s">
        <v>216</v>
      </c>
      <c r="G513" s="190" t="s">
        <v>208</v>
      </c>
      <c r="H513" s="190" t="s">
        <v>21</v>
      </c>
      <c r="I513" s="191" t="s">
        <v>112</v>
      </c>
      <c r="J513" s="190" t="s">
        <v>229</v>
      </c>
      <c r="K513" s="191" t="s">
        <v>213</v>
      </c>
      <c r="L513" s="192" t="s">
        <v>205</v>
      </c>
      <c r="M513" s="190" t="s">
        <v>210</v>
      </c>
      <c r="N513" s="190">
        <v>6500</v>
      </c>
      <c r="O513" s="190">
        <v>2891</v>
      </c>
      <c r="P513" s="190">
        <v>3</v>
      </c>
      <c r="Q513" s="190">
        <v>2025</v>
      </c>
      <c r="R513" s="190">
        <v>6</v>
      </c>
    </row>
    <row r="514" spans="1:18" x14ac:dyDescent="0.2">
      <c r="A514" s="190" t="s">
        <v>48</v>
      </c>
      <c r="B514" s="191" t="s">
        <v>211</v>
      </c>
      <c r="C514" s="191" t="s">
        <v>187</v>
      </c>
      <c r="D514" s="191" t="s">
        <v>4</v>
      </c>
      <c r="E514" s="191" t="s">
        <v>202</v>
      </c>
      <c r="F514" s="190" t="s">
        <v>216</v>
      </c>
      <c r="G514" s="190" t="s">
        <v>208</v>
      </c>
      <c r="H514" s="190" t="s">
        <v>21</v>
      </c>
      <c r="I514" s="191" t="s">
        <v>113</v>
      </c>
      <c r="J514" s="190" t="s">
        <v>220</v>
      </c>
      <c r="K514" s="191" t="s">
        <v>227</v>
      </c>
      <c r="L514" s="192" t="s">
        <v>205</v>
      </c>
      <c r="M514" s="190" t="s">
        <v>210</v>
      </c>
      <c r="N514" s="190">
        <v>7800</v>
      </c>
      <c r="O514" s="190">
        <v>2891</v>
      </c>
      <c r="P514" s="190">
        <v>3</v>
      </c>
      <c r="Q514" s="190">
        <v>2024</v>
      </c>
      <c r="R514" s="190">
        <v>5</v>
      </c>
    </row>
    <row r="515" spans="1:18" x14ac:dyDescent="0.2">
      <c r="A515" s="190" t="s">
        <v>48</v>
      </c>
      <c r="B515" s="191" t="s">
        <v>211</v>
      </c>
      <c r="C515" s="191" t="s">
        <v>187</v>
      </c>
      <c r="D515" s="191" t="s">
        <v>4</v>
      </c>
      <c r="E515" s="191" t="s">
        <v>202</v>
      </c>
      <c r="F515" s="190" t="s">
        <v>216</v>
      </c>
      <c r="G515" s="190" t="s">
        <v>208</v>
      </c>
      <c r="H515" s="190" t="s">
        <v>24</v>
      </c>
      <c r="I515" s="191" t="s">
        <v>114</v>
      </c>
      <c r="J515" s="190" t="s">
        <v>230</v>
      </c>
      <c r="K515" s="191" t="s">
        <v>221</v>
      </c>
      <c r="L515" s="192" t="s">
        <v>205</v>
      </c>
      <c r="M515" s="190" t="s">
        <v>210</v>
      </c>
      <c r="N515" s="190">
        <v>10400</v>
      </c>
      <c r="O515" s="190">
        <v>5193</v>
      </c>
      <c r="P515" s="190">
        <v>3</v>
      </c>
      <c r="Q515" s="190">
        <v>2025</v>
      </c>
      <c r="R515" s="190">
        <v>6</v>
      </c>
    </row>
    <row r="516" spans="1:18" x14ac:dyDescent="0.2">
      <c r="A516" s="190" t="s">
        <v>48</v>
      </c>
      <c r="B516" s="191" t="s">
        <v>211</v>
      </c>
      <c r="C516" s="191" t="s">
        <v>187</v>
      </c>
      <c r="D516" s="191" t="s">
        <v>4</v>
      </c>
      <c r="E516" s="191" t="s">
        <v>202</v>
      </c>
      <c r="F516" s="190" t="s">
        <v>216</v>
      </c>
      <c r="G516" s="190" t="s">
        <v>208</v>
      </c>
      <c r="H516" s="190" t="s">
        <v>24</v>
      </c>
      <c r="I516" s="191" t="s">
        <v>118</v>
      </c>
      <c r="J516" s="190" t="s">
        <v>231</v>
      </c>
      <c r="K516" s="191" t="s">
        <v>221</v>
      </c>
      <c r="L516" s="192" t="s">
        <v>205</v>
      </c>
      <c r="M516" s="190" t="s">
        <v>210</v>
      </c>
      <c r="N516" s="190">
        <v>5045</v>
      </c>
      <c r="O516" s="190">
        <v>2999</v>
      </c>
      <c r="P516" s="190">
        <v>3</v>
      </c>
      <c r="Q516" s="190">
        <v>2025</v>
      </c>
      <c r="R516" s="190">
        <v>3</v>
      </c>
    </row>
    <row r="517" spans="1:18" x14ac:dyDescent="0.2">
      <c r="A517" s="190" t="s">
        <v>48</v>
      </c>
      <c r="B517" s="191" t="s">
        <v>211</v>
      </c>
      <c r="C517" s="191" t="s">
        <v>187</v>
      </c>
      <c r="D517" s="191" t="s">
        <v>4</v>
      </c>
      <c r="E517" s="191" t="s">
        <v>202</v>
      </c>
      <c r="F517" s="190" t="s">
        <v>216</v>
      </c>
      <c r="G517" s="190" t="s">
        <v>208</v>
      </c>
      <c r="H517" s="190" t="s">
        <v>24</v>
      </c>
      <c r="I517" s="191" t="s">
        <v>119</v>
      </c>
      <c r="J517" s="190" t="s">
        <v>232</v>
      </c>
      <c r="K517" s="191" t="s">
        <v>221</v>
      </c>
      <c r="L517" s="192" t="s">
        <v>205</v>
      </c>
      <c r="M517" s="190" t="s">
        <v>210</v>
      </c>
      <c r="N517" s="190">
        <v>7000</v>
      </c>
      <c r="O517" s="190">
        <v>5193</v>
      </c>
      <c r="P517" s="190">
        <v>3</v>
      </c>
      <c r="Q517" s="190">
        <v>2025</v>
      </c>
      <c r="R517" s="190">
        <v>9</v>
      </c>
    </row>
    <row r="518" spans="1:18" x14ac:dyDescent="0.2">
      <c r="A518" s="190" t="s">
        <v>48</v>
      </c>
      <c r="B518" s="191" t="s">
        <v>211</v>
      </c>
      <c r="C518" s="191" t="s">
        <v>187</v>
      </c>
      <c r="D518" s="191" t="s">
        <v>4</v>
      </c>
      <c r="E518" s="191" t="s">
        <v>202</v>
      </c>
      <c r="F518" s="190" t="s">
        <v>216</v>
      </c>
      <c r="G518" s="190" t="s">
        <v>208</v>
      </c>
      <c r="H518" s="190" t="s">
        <v>24</v>
      </c>
      <c r="I518" s="191" t="s">
        <v>120</v>
      </c>
      <c r="J518" s="190" t="s">
        <v>233</v>
      </c>
      <c r="K518" s="191" t="s">
        <v>221</v>
      </c>
      <c r="L518" s="192" t="s">
        <v>205</v>
      </c>
      <c r="M518" s="190" t="s">
        <v>210</v>
      </c>
      <c r="N518" s="190">
        <v>8000</v>
      </c>
      <c r="O518" s="190">
        <v>5193</v>
      </c>
      <c r="P518" s="190">
        <v>3</v>
      </c>
      <c r="Q518" s="190">
        <v>2025</v>
      </c>
      <c r="R518" s="190">
        <v>12</v>
      </c>
    </row>
    <row r="519" spans="1:18" x14ac:dyDescent="0.2">
      <c r="A519" s="190" t="s">
        <v>48</v>
      </c>
      <c r="B519" s="191" t="s">
        <v>211</v>
      </c>
      <c r="C519" s="191" t="s">
        <v>187</v>
      </c>
      <c r="D519" s="191" t="s">
        <v>4</v>
      </c>
      <c r="E519" s="191" t="s">
        <v>202</v>
      </c>
      <c r="F519" s="190" t="s">
        <v>216</v>
      </c>
      <c r="G519" s="190" t="s">
        <v>208</v>
      </c>
      <c r="H519" s="190" t="s">
        <v>24</v>
      </c>
      <c r="I519" s="191" t="s">
        <v>357</v>
      </c>
      <c r="J519" s="190" t="s">
        <v>374</v>
      </c>
      <c r="K519" s="191" t="s">
        <v>221</v>
      </c>
      <c r="L519" s="192" t="s">
        <v>205</v>
      </c>
      <c r="M519" s="190" t="s">
        <v>210</v>
      </c>
      <c r="N519" s="190">
        <v>7000</v>
      </c>
      <c r="O519" s="190">
        <v>5193</v>
      </c>
      <c r="P519" s="190">
        <v>7</v>
      </c>
      <c r="Q519" s="190">
        <v>2025</v>
      </c>
      <c r="R519" s="190">
        <v>1</v>
      </c>
    </row>
    <row r="520" spans="1:18" x14ac:dyDescent="0.2">
      <c r="A520" s="190" t="s">
        <v>48</v>
      </c>
      <c r="B520" s="191" t="s">
        <v>211</v>
      </c>
      <c r="C520" s="191" t="s">
        <v>187</v>
      </c>
      <c r="D520" s="191" t="s">
        <v>4</v>
      </c>
      <c r="E520" s="191" t="s">
        <v>202</v>
      </c>
      <c r="F520" s="190" t="s">
        <v>216</v>
      </c>
      <c r="G520" s="190" t="s">
        <v>208</v>
      </c>
      <c r="H520" s="190" t="s">
        <v>24</v>
      </c>
      <c r="I520" s="191" t="s">
        <v>122</v>
      </c>
      <c r="J520" s="190" t="s">
        <v>336</v>
      </c>
      <c r="K520" s="191" t="s">
        <v>221</v>
      </c>
      <c r="L520" s="192" t="s">
        <v>205</v>
      </c>
      <c r="M520" s="190" t="s">
        <v>210</v>
      </c>
      <c r="N520" s="190">
        <v>9500</v>
      </c>
      <c r="O520" s="190">
        <v>5193</v>
      </c>
      <c r="P520" s="190">
        <v>3</v>
      </c>
      <c r="Q520" s="190">
        <v>2024</v>
      </c>
      <c r="R520" s="190">
        <v>1</v>
      </c>
    </row>
    <row r="521" spans="1:18" x14ac:dyDescent="0.2">
      <c r="A521" s="190" t="s">
        <v>48</v>
      </c>
      <c r="B521" s="191" t="s">
        <v>211</v>
      </c>
      <c r="C521" s="191" t="s">
        <v>187</v>
      </c>
      <c r="D521" s="191" t="s">
        <v>4</v>
      </c>
      <c r="E521" s="191" t="s">
        <v>202</v>
      </c>
      <c r="F521" s="190" t="s">
        <v>216</v>
      </c>
      <c r="G521" s="190" t="s">
        <v>208</v>
      </c>
      <c r="H521" s="190" t="s">
        <v>24</v>
      </c>
      <c r="I521" s="191" t="s">
        <v>122</v>
      </c>
      <c r="J521" s="190" t="s">
        <v>336</v>
      </c>
      <c r="K521" s="191" t="s">
        <v>221</v>
      </c>
      <c r="L521" s="192" t="s">
        <v>205</v>
      </c>
      <c r="M521" s="190" t="s">
        <v>210</v>
      </c>
      <c r="N521" s="190">
        <v>9500</v>
      </c>
      <c r="O521" s="190">
        <v>5193</v>
      </c>
      <c r="P521" s="190">
        <v>3</v>
      </c>
      <c r="Q521" s="190">
        <v>2025</v>
      </c>
      <c r="R521" s="190">
        <v>4</v>
      </c>
    </row>
    <row r="522" spans="1:18" x14ac:dyDescent="0.2">
      <c r="A522" s="190" t="s">
        <v>48</v>
      </c>
      <c r="B522" s="191" t="s">
        <v>211</v>
      </c>
      <c r="C522" s="191" t="s">
        <v>187</v>
      </c>
      <c r="D522" s="191" t="s">
        <v>4</v>
      </c>
      <c r="E522" s="191" t="s">
        <v>202</v>
      </c>
      <c r="F522" s="190" t="s">
        <v>216</v>
      </c>
      <c r="G522" s="190" t="s">
        <v>208</v>
      </c>
      <c r="H522" s="190" t="s">
        <v>24</v>
      </c>
      <c r="I522" s="191" t="s">
        <v>122</v>
      </c>
      <c r="J522" s="190" t="s">
        <v>336</v>
      </c>
      <c r="K522" s="191" t="s">
        <v>373</v>
      </c>
      <c r="L522" s="192" t="s">
        <v>205</v>
      </c>
      <c r="M522" s="190" t="s">
        <v>210</v>
      </c>
      <c r="N522" s="190">
        <v>9500</v>
      </c>
      <c r="O522" s="190">
        <v>5193</v>
      </c>
      <c r="P522" s="190">
        <v>3</v>
      </c>
      <c r="Q522" s="190">
        <v>2025</v>
      </c>
      <c r="R522" s="190">
        <v>1</v>
      </c>
    </row>
    <row r="523" spans="1:18" x14ac:dyDescent="0.2">
      <c r="A523" s="190" t="s">
        <v>48</v>
      </c>
      <c r="B523" s="191" t="s">
        <v>211</v>
      </c>
      <c r="C523" s="191" t="s">
        <v>187</v>
      </c>
      <c r="D523" s="191" t="s">
        <v>4</v>
      </c>
      <c r="E523" s="191" t="s">
        <v>202</v>
      </c>
      <c r="F523" s="190" t="s">
        <v>216</v>
      </c>
      <c r="G523" s="190" t="s">
        <v>208</v>
      </c>
      <c r="H523" s="190" t="s">
        <v>29</v>
      </c>
      <c r="I523" s="191" t="s">
        <v>123</v>
      </c>
      <c r="J523" s="190" t="s">
        <v>275</v>
      </c>
      <c r="K523" s="191" t="s">
        <v>213</v>
      </c>
      <c r="L523" s="192" t="s">
        <v>205</v>
      </c>
      <c r="M523" s="190" t="s">
        <v>210</v>
      </c>
      <c r="N523" s="190">
        <v>6160</v>
      </c>
      <c r="O523" s="190">
        <v>2746</v>
      </c>
      <c r="P523" s="190">
        <v>3</v>
      </c>
      <c r="Q523" s="190">
        <v>2025</v>
      </c>
      <c r="R523" s="190">
        <v>6</v>
      </c>
    </row>
    <row r="524" spans="1:18" x14ac:dyDescent="0.2">
      <c r="A524" s="190" t="s">
        <v>48</v>
      </c>
      <c r="B524" s="191" t="s">
        <v>211</v>
      </c>
      <c r="C524" s="191" t="s">
        <v>187</v>
      </c>
      <c r="D524" s="191" t="s">
        <v>4</v>
      </c>
      <c r="E524" s="191" t="s">
        <v>202</v>
      </c>
      <c r="F524" s="190" t="s">
        <v>216</v>
      </c>
      <c r="G524" s="190" t="s">
        <v>208</v>
      </c>
      <c r="H524" s="190" t="s">
        <v>29</v>
      </c>
      <c r="I524" s="191" t="s">
        <v>124</v>
      </c>
      <c r="J524" s="190" t="s">
        <v>642</v>
      </c>
      <c r="K524" s="191" t="s">
        <v>213</v>
      </c>
      <c r="L524" s="192" t="s">
        <v>205</v>
      </c>
      <c r="M524" s="190" t="s">
        <v>210</v>
      </c>
      <c r="N524" s="190">
        <v>8675</v>
      </c>
      <c r="O524" s="190">
        <v>3760</v>
      </c>
      <c r="P524" s="190">
        <v>3</v>
      </c>
      <c r="Q524" s="190">
        <v>2025</v>
      </c>
      <c r="R524" s="190">
        <v>3</v>
      </c>
    </row>
    <row r="525" spans="1:18" x14ac:dyDescent="0.2">
      <c r="A525" s="190" t="s">
        <v>48</v>
      </c>
      <c r="B525" s="191" t="s">
        <v>211</v>
      </c>
      <c r="C525" s="191" t="s">
        <v>187</v>
      </c>
      <c r="D525" s="191" t="s">
        <v>4</v>
      </c>
      <c r="E525" s="191" t="s">
        <v>202</v>
      </c>
      <c r="F525" s="190" t="s">
        <v>216</v>
      </c>
      <c r="G525" s="190" t="s">
        <v>208</v>
      </c>
      <c r="H525" s="190" t="s">
        <v>29</v>
      </c>
      <c r="I525" s="191" t="s">
        <v>125</v>
      </c>
      <c r="J525" s="190" t="s">
        <v>367</v>
      </c>
      <c r="K525" s="191" t="s">
        <v>213</v>
      </c>
      <c r="L525" s="192" t="s">
        <v>205</v>
      </c>
      <c r="M525" s="190" t="s">
        <v>210</v>
      </c>
      <c r="N525" s="190">
        <v>9900</v>
      </c>
      <c r="O525" s="190">
        <v>3760</v>
      </c>
      <c r="P525" s="190">
        <v>3</v>
      </c>
      <c r="Q525" s="190">
        <v>2025</v>
      </c>
      <c r="R525" s="190">
        <v>4</v>
      </c>
    </row>
    <row r="526" spans="1:18" x14ac:dyDescent="0.2">
      <c r="A526" s="190" t="s">
        <v>48</v>
      </c>
      <c r="B526" s="191" t="s">
        <v>211</v>
      </c>
      <c r="C526" s="191" t="s">
        <v>187</v>
      </c>
      <c r="D526" s="191" t="s">
        <v>4</v>
      </c>
      <c r="E526" s="191" t="s">
        <v>202</v>
      </c>
      <c r="F526" s="190" t="s">
        <v>216</v>
      </c>
      <c r="G526" s="190" t="s">
        <v>208</v>
      </c>
      <c r="H526" s="190" t="s">
        <v>455</v>
      </c>
      <c r="I526" s="191" t="s">
        <v>498</v>
      </c>
      <c r="J526" s="190" t="s">
        <v>695</v>
      </c>
      <c r="K526" s="191" t="s">
        <v>213</v>
      </c>
      <c r="L526" s="192" t="s">
        <v>205</v>
      </c>
      <c r="M526" s="190" t="s">
        <v>210</v>
      </c>
      <c r="N526" s="190">
        <v>6360</v>
      </c>
      <c r="O526" s="190">
        <v>2771</v>
      </c>
      <c r="P526" s="190">
        <v>2</v>
      </c>
      <c r="Q526" s="190">
        <v>2024</v>
      </c>
      <c r="R526" s="190">
        <v>1</v>
      </c>
    </row>
    <row r="527" spans="1:18" x14ac:dyDescent="0.2">
      <c r="A527" s="190" t="s">
        <v>48</v>
      </c>
      <c r="B527" s="191" t="s">
        <v>211</v>
      </c>
      <c r="C527" s="191" t="s">
        <v>187</v>
      </c>
      <c r="D527" s="191" t="s">
        <v>4</v>
      </c>
      <c r="E527" s="191" t="s">
        <v>202</v>
      </c>
      <c r="F527" s="190" t="s">
        <v>216</v>
      </c>
      <c r="G527" s="190" t="s">
        <v>208</v>
      </c>
      <c r="H527" s="190" t="s">
        <v>39</v>
      </c>
      <c r="I527" s="191" t="s">
        <v>285</v>
      </c>
      <c r="J527" s="190" t="s">
        <v>631</v>
      </c>
      <c r="K527" s="191" t="s">
        <v>213</v>
      </c>
      <c r="L527" s="192" t="s">
        <v>205</v>
      </c>
      <c r="M527" s="190" t="s">
        <v>210</v>
      </c>
      <c r="N527" s="190">
        <v>6361</v>
      </c>
      <c r="O527" s="190">
        <v>2771</v>
      </c>
      <c r="P527" s="190">
        <v>3</v>
      </c>
      <c r="Q527" s="190">
        <v>2025</v>
      </c>
      <c r="R527" s="190">
        <v>2</v>
      </c>
    </row>
    <row r="528" spans="1:18" x14ac:dyDescent="0.2">
      <c r="A528" s="190" t="s">
        <v>48</v>
      </c>
      <c r="B528" s="191" t="s">
        <v>211</v>
      </c>
      <c r="C528" s="191" t="s">
        <v>187</v>
      </c>
      <c r="D528" s="191" t="s">
        <v>4</v>
      </c>
      <c r="E528" s="191" t="s">
        <v>202</v>
      </c>
      <c r="F528" s="190" t="s">
        <v>216</v>
      </c>
      <c r="G528" s="190" t="s">
        <v>208</v>
      </c>
      <c r="H528" s="190" t="s">
        <v>47</v>
      </c>
      <c r="I528" s="191" t="s">
        <v>502</v>
      </c>
      <c r="J528" s="190" t="s">
        <v>333</v>
      </c>
      <c r="K528" s="191" t="s">
        <v>213</v>
      </c>
      <c r="L528" s="192" t="s">
        <v>338</v>
      </c>
      <c r="M528" s="190" t="s">
        <v>210</v>
      </c>
      <c r="N528" s="190">
        <v>5230</v>
      </c>
      <c r="O528" s="190">
        <v>2237</v>
      </c>
      <c r="P528" s="190">
        <v>3</v>
      </c>
      <c r="Q528" s="190">
        <v>2024</v>
      </c>
      <c r="R528" s="190">
        <v>1</v>
      </c>
    </row>
    <row r="529" spans="1:18" x14ac:dyDescent="0.2">
      <c r="A529" s="190" t="s">
        <v>48</v>
      </c>
      <c r="B529" s="191" t="s">
        <v>211</v>
      </c>
      <c r="C529" s="191" t="s">
        <v>187</v>
      </c>
      <c r="D529" s="191" t="s">
        <v>4</v>
      </c>
      <c r="E529" s="191" t="s">
        <v>202</v>
      </c>
      <c r="F529" s="190" t="s">
        <v>216</v>
      </c>
      <c r="G529" s="190" t="s">
        <v>208</v>
      </c>
      <c r="H529" s="190" t="s">
        <v>37</v>
      </c>
      <c r="I529" s="191" t="s">
        <v>538</v>
      </c>
      <c r="J529" s="190" t="s">
        <v>538</v>
      </c>
      <c r="K529" s="191" t="s">
        <v>635</v>
      </c>
      <c r="L529" s="192" t="s">
        <v>205</v>
      </c>
      <c r="M529" s="190" t="s">
        <v>210</v>
      </c>
      <c r="N529" s="190">
        <v>11700</v>
      </c>
      <c r="O529" s="190">
        <v>5100</v>
      </c>
      <c r="P529" s="190">
        <v>3</v>
      </c>
      <c r="Q529" s="190">
        <v>2024</v>
      </c>
      <c r="R529" s="190">
        <v>1</v>
      </c>
    </row>
    <row r="530" spans="1:18" x14ac:dyDescent="0.2">
      <c r="A530" s="190" t="s">
        <v>48</v>
      </c>
      <c r="B530" s="191" t="s">
        <v>211</v>
      </c>
      <c r="C530" s="191" t="s">
        <v>187</v>
      </c>
      <c r="D530" s="191" t="s">
        <v>4</v>
      </c>
      <c r="E530" s="191" t="s">
        <v>202</v>
      </c>
      <c r="F530" s="190" t="s">
        <v>216</v>
      </c>
      <c r="G530" s="190" t="s">
        <v>208</v>
      </c>
      <c r="H530" s="190" t="s">
        <v>37</v>
      </c>
      <c r="I530" s="191" t="s">
        <v>538</v>
      </c>
      <c r="J530" s="190" t="s">
        <v>538</v>
      </c>
      <c r="K530" s="191" t="s">
        <v>635</v>
      </c>
      <c r="L530" s="192" t="s">
        <v>205</v>
      </c>
      <c r="M530" s="190" t="s">
        <v>210</v>
      </c>
      <c r="N530" s="190">
        <v>11700</v>
      </c>
      <c r="O530" s="190">
        <v>5100</v>
      </c>
      <c r="P530" s="190">
        <v>3</v>
      </c>
      <c r="Q530" s="190">
        <v>2025</v>
      </c>
      <c r="R530" s="190">
        <v>1</v>
      </c>
    </row>
    <row r="531" spans="1:18" x14ac:dyDescent="0.2">
      <c r="A531" s="190" t="s">
        <v>48</v>
      </c>
      <c r="B531" s="191" t="s">
        <v>211</v>
      </c>
      <c r="C531" s="191" t="s">
        <v>187</v>
      </c>
      <c r="D531" s="191" t="s">
        <v>4</v>
      </c>
      <c r="E531" s="191" t="s">
        <v>202</v>
      </c>
      <c r="F531" s="190" t="s">
        <v>216</v>
      </c>
      <c r="G531" s="190" t="s">
        <v>208</v>
      </c>
      <c r="H531" s="190" t="s">
        <v>27</v>
      </c>
      <c r="I531" s="191" t="s">
        <v>140</v>
      </c>
      <c r="J531" s="190" t="s">
        <v>202</v>
      </c>
      <c r="K531" s="191" t="s">
        <v>204</v>
      </c>
      <c r="L531" s="192" t="s">
        <v>205</v>
      </c>
      <c r="M531" s="190" t="s">
        <v>210</v>
      </c>
      <c r="N531" s="190">
        <v>8800</v>
      </c>
      <c r="O531" s="190">
        <v>3800</v>
      </c>
      <c r="P531" s="190">
        <v>3</v>
      </c>
      <c r="Q531" s="190">
        <v>2025</v>
      </c>
      <c r="R531" s="190">
        <v>2</v>
      </c>
    </row>
    <row r="532" spans="1:18" x14ac:dyDescent="0.2">
      <c r="A532" s="190" t="s">
        <v>48</v>
      </c>
      <c r="B532" s="191" t="s">
        <v>211</v>
      </c>
      <c r="C532" s="191" t="s">
        <v>187</v>
      </c>
      <c r="D532" s="191" t="s">
        <v>4</v>
      </c>
      <c r="E532" s="191" t="s">
        <v>202</v>
      </c>
      <c r="F532" s="190" t="s">
        <v>216</v>
      </c>
      <c r="G532" s="190" t="s">
        <v>203</v>
      </c>
      <c r="H532" s="190" t="s">
        <v>30</v>
      </c>
      <c r="I532" s="191" t="s">
        <v>461</v>
      </c>
      <c r="J532" s="190" t="s">
        <v>696</v>
      </c>
      <c r="K532" s="191" t="s">
        <v>213</v>
      </c>
      <c r="L532" s="192" t="s">
        <v>205</v>
      </c>
      <c r="M532" s="190" t="s">
        <v>210</v>
      </c>
      <c r="N532" s="190">
        <v>18000</v>
      </c>
      <c r="O532" s="190">
        <v>5900</v>
      </c>
      <c r="P532" s="190">
        <v>3</v>
      </c>
      <c r="Q532" s="190">
        <v>2025</v>
      </c>
      <c r="R532" s="190">
        <v>2</v>
      </c>
    </row>
    <row r="533" spans="1:18" x14ac:dyDescent="0.2">
      <c r="A533" s="190" t="s">
        <v>48</v>
      </c>
      <c r="B533" s="191" t="s">
        <v>211</v>
      </c>
      <c r="C533" s="191" t="s">
        <v>187</v>
      </c>
      <c r="D533" s="191" t="s">
        <v>4</v>
      </c>
      <c r="E533" s="191" t="s">
        <v>202</v>
      </c>
      <c r="F533" s="190" t="s">
        <v>216</v>
      </c>
      <c r="G533" s="190" t="s">
        <v>203</v>
      </c>
      <c r="H533" s="190" t="s">
        <v>40</v>
      </c>
      <c r="I533" s="191" t="s">
        <v>353</v>
      </c>
      <c r="J533" s="190" t="s">
        <v>742</v>
      </c>
      <c r="K533" s="191" t="s">
        <v>213</v>
      </c>
      <c r="L533" s="192" t="s">
        <v>205</v>
      </c>
      <c r="M533" s="190" t="s">
        <v>210</v>
      </c>
      <c r="N533" s="190">
        <v>15800</v>
      </c>
      <c r="O533" s="190">
        <v>4100</v>
      </c>
      <c r="P533" s="190">
        <v>2</v>
      </c>
      <c r="Q533" s="190">
        <v>2025</v>
      </c>
      <c r="R533" s="190">
        <v>3</v>
      </c>
    </row>
    <row r="534" spans="1:18" x14ac:dyDescent="0.2">
      <c r="A534" s="190" t="s">
        <v>48</v>
      </c>
      <c r="B534" s="191" t="s">
        <v>211</v>
      </c>
      <c r="C534" s="191" t="s">
        <v>187</v>
      </c>
      <c r="D534" s="191" t="s">
        <v>4</v>
      </c>
      <c r="E534" s="191" t="s">
        <v>202</v>
      </c>
      <c r="F534" s="190" t="s">
        <v>216</v>
      </c>
      <c r="G534" s="190" t="s">
        <v>203</v>
      </c>
      <c r="H534" s="190" t="s">
        <v>40</v>
      </c>
      <c r="I534" s="191" t="s">
        <v>464</v>
      </c>
      <c r="J534" s="190" t="s">
        <v>743</v>
      </c>
      <c r="K534" s="191" t="s">
        <v>213</v>
      </c>
      <c r="L534" s="192" t="s">
        <v>205</v>
      </c>
      <c r="M534" s="190" t="s">
        <v>210</v>
      </c>
      <c r="N534" s="190">
        <v>14500</v>
      </c>
      <c r="O534" s="190">
        <v>4500</v>
      </c>
      <c r="P534" s="190">
        <v>3</v>
      </c>
      <c r="Q534" s="190">
        <v>2024</v>
      </c>
      <c r="R534" s="190">
        <v>1</v>
      </c>
    </row>
    <row r="535" spans="1:18" x14ac:dyDescent="0.2">
      <c r="A535" s="190" t="s">
        <v>48</v>
      </c>
      <c r="B535" s="191" t="s">
        <v>211</v>
      </c>
      <c r="C535" s="191" t="s">
        <v>187</v>
      </c>
      <c r="D535" s="191" t="s">
        <v>4</v>
      </c>
      <c r="E535" s="191" t="s">
        <v>202</v>
      </c>
      <c r="F535" s="190" t="s">
        <v>216</v>
      </c>
      <c r="G535" s="190" t="s">
        <v>203</v>
      </c>
      <c r="H535" s="190" t="s">
        <v>35</v>
      </c>
      <c r="I535" s="191" t="s">
        <v>470</v>
      </c>
      <c r="J535" s="190" t="s">
        <v>702</v>
      </c>
      <c r="K535" s="191" t="s">
        <v>213</v>
      </c>
      <c r="L535" s="192" t="s">
        <v>205</v>
      </c>
      <c r="M535" s="190" t="s">
        <v>210</v>
      </c>
      <c r="N535" s="190">
        <v>18000</v>
      </c>
      <c r="O535" s="190">
        <v>6494</v>
      </c>
      <c r="P535" s="190">
        <v>3</v>
      </c>
      <c r="Q535" s="190">
        <v>2023</v>
      </c>
      <c r="R535" s="190">
        <v>1</v>
      </c>
    </row>
    <row r="536" spans="1:18" x14ac:dyDescent="0.2">
      <c r="A536" s="190" t="s">
        <v>48</v>
      </c>
      <c r="B536" s="191" t="s">
        <v>211</v>
      </c>
      <c r="C536" s="191" t="s">
        <v>187</v>
      </c>
      <c r="D536" s="191" t="s">
        <v>4</v>
      </c>
      <c r="E536" s="191" t="s">
        <v>202</v>
      </c>
      <c r="F536" s="190" t="s">
        <v>216</v>
      </c>
      <c r="G536" s="190" t="s">
        <v>203</v>
      </c>
      <c r="H536" s="190" t="s">
        <v>23</v>
      </c>
      <c r="I536" s="191" t="s">
        <v>356</v>
      </c>
      <c r="J536" s="190" t="s">
        <v>356</v>
      </c>
      <c r="K536" s="191" t="s">
        <v>213</v>
      </c>
      <c r="L536" s="192" t="s">
        <v>205</v>
      </c>
      <c r="M536" s="190" t="s">
        <v>210</v>
      </c>
      <c r="N536" s="190">
        <v>18000</v>
      </c>
      <c r="O536" s="190">
        <v>6700</v>
      </c>
      <c r="P536" s="190">
        <v>3</v>
      </c>
      <c r="Q536" s="190">
        <v>2023</v>
      </c>
      <c r="R536" s="190">
        <v>1</v>
      </c>
    </row>
    <row r="537" spans="1:18" x14ac:dyDescent="0.2">
      <c r="A537" s="190" t="s">
        <v>48</v>
      </c>
      <c r="B537" s="191" t="s">
        <v>211</v>
      </c>
      <c r="C537" s="191" t="s">
        <v>187</v>
      </c>
      <c r="D537" s="191" t="s">
        <v>4</v>
      </c>
      <c r="E537" s="191" t="s">
        <v>202</v>
      </c>
      <c r="F537" s="190" t="s">
        <v>216</v>
      </c>
      <c r="G537" s="190" t="s">
        <v>203</v>
      </c>
      <c r="H537" s="190" t="s">
        <v>23</v>
      </c>
      <c r="I537" s="191" t="s">
        <v>99</v>
      </c>
      <c r="J537" s="190" t="s">
        <v>99</v>
      </c>
      <c r="K537" s="191" t="s">
        <v>213</v>
      </c>
      <c r="L537" s="192" t="s">
        <v>205</v>
      </c>
      <c r="M537" s="190" t="s">
        <v>210</v>
      </c>
      <c r="N537" s="190">
        <v>13000</v>
      </c>
      <c r="O537" s="190">
        <v>4500</v>
      </c>
      <c r="P537" s="190">
        <v>3</v>
      </c>
      <c r="Q537" s="190">
        <v>2025</v>
      </c>
      <c r="R537" s="190">
        <v>3</v>
      </c>
    </row>
    <row r="538" spans="1:18" x14ac:dyDescent="0.2">
      <c r="A538" s="190" t="s">
        <v>48</v>
      </c>
      <c r="B538" s="191" t="s">
        <v>211</v>
      </c>
      <c r="C538" s="191" t="s">
        <v>187</v>
      </c>
      <c r="D538" s="191" t="s">
        <v>4</v>
      </c>
      <c r="E538" s="191" t="s">
        <v>202</v>
      </c>
      <c r="F538" s="190" t="s">
        <v>216</v>
      </c>
      <c r="G538" s="190" t="s">
        <v>203</v>
      </c>
      <c r="H538" s="190" t="s">
        <v>22</v>
      </c>
      <c r="I538" s="191" t="s">
        <v>107</v>
      </c>
      <c r="J538" s="190" t="s">
        <v>220</v>
      </c>
      <c r="K538" s="191" t="s">
        <v>221</v>
      </c>
      <c r="L538" s="192" t="s">
        <v>205</v>
      </c>
      <c r="M538" s="190" t="s">
        <v>210</v>
      </c>
      <c r="N538" s="190">
        <v>12500</v>
      </c>
      <c r="O538" s="190">
        <v>7684</v>
      </c>
      <c r="P538" s="190">
        <v>3</v>
      </c>
      <c r="Q538" s="190">
        <v>2024</v>
      </c>
      <c r="R538" s="190">
        <v>1</v>
      </c>
    </row>
    <row r="539" spans="1:18" x14ac:dyDescent="0.2">
      <c r="A539" s="190" t="s">
        <v>48</v>
      </c>
      <c r="B539" s="191" t="s">
        <v>211</v>
      </c>
      <c r="C539" s="191" t="s">
        <v>187</v>
      </c>
      <c r="D539" s="191" t="s">
        <v>4</v>
      </c>
      <c r="E539" s="191" t="s">
        <v>202</v>
      </c>
      <c r="F539" s="190" t="s">
        <v>216</v>
      </c>
      <c r="G539" s="190" t="s">
        <v>203</v>
      </c>
      <c r="H539" s="190" t="s">
        <v>22</v>
      </c>
      <c r="I539" s="191" t="s">
        <v>107</v>
      </c>
      <c r="J539" s="190" t="s">
        <v>220</v>
      </c>
      <c r="K539" s="191" t="s">
        <v>221</v>
      </c>
      <c r="L539" s="192" t="s">
        <v>205</v>
      </c>
      <c r="M539" s="190" t="s">
        <v>210</v>
      </c>
      <c r="N539" s="190">
        <v>12500</v>
      </c>
      <c r="O539" s="190">
        <v>7684</v>
      </c>
      <c r="P539" s="190">
        <v>3</v>
      </c>
      <c r="Q539" s="190">
        <v>2025</v>
      </c>
      <c r="R539" s="190">
        <v>3</v>
      </c>
    </row>
    <row r="540" spans="1:18" x14ac:dyDescent="0.2">
      <c r="A540" s="190" t="s">
        <v>48</v>
      </c>
      <c r="B540" s="191" t="s">
        <v>211</v>
      </c>
      <c r="C540" s="191" t="s">
        <v>187</v>
      </c>
      <c r="D540" s="191" t="s">
        <v>4</v>
      </c>
      <c r="E540" s="191" t="s">
        <v>202</v>
      </c>
      <c r="F540" s="190" t="s">
        <v>216</v>
      </c>
      <c r="G540" s="190" t="s">
        <v>203</v>
      </c>
      <c r="H540" s="190" t="s">
        <v>22</v>
      </c>
      <c r="I540" s="191" t="s">
        <v>105</v>
      </c>
      <c r="J540" s="190" t="s">
        <v>235</v>
      </c>
      <c r="K540" s="191" t="s">
        <v>221</v>
      </c>
      <c r="L540" s="192" t="s">
        <v>205</v>
      </c>
      <c r="M540" s="190" t="s">
        <v>206</v>
      </c>
      <c r="N540" s="190">
        <v>28000</v>
      </c>
      <c r="O540" s="190">
        <v>8866</v>
      </c>
      <c r="P540" s="190">
        <v>3</v>
      </c>
      <c r="Q540" s="190">
        <v>2025</v>
      </c>
      <c r="R540" s="190">
        <v>1</v>
      </c>
    </row>
    <row r="541" spans="1:18" x14ac:dyDescent="0.2">
      <c r="A541" s="190" t="s">
        <v>48</v>
      </c>
      <c r="B541" s="191" t="s">
        <v>211</v>
      </c>
      <c r="C541" s="191" t="s">
        <v>187</v>
      </c>
      <c r="D541" s="191" t="s">
        <v>4</v>
      </c>
      <c r="E541" s="191" t="s">
        <v>202</v>
      </c>
      <c r="F541" s="190" t="s">
        <v>216</v>
      </c>
      <c r="G541" s="190" t="s">
        <v>203</v>
      </c>
      <c r="H541" s="190" t="s">
        <v>22</v>
      </c>
      <c r="I541" s="191" t="s">
        <v>108</v>
      </c>
      <c r="J541" s="190" t="s">
        <v>371</v>
      </c>
      <c r="K541" s="191" t="s">
        <v>221</v>
      </c>
      <c r="L541" s="192" t="s">
        <v>205</v>
      </c>
      <c r="M541" s="190" t="s">
        <v>210</v>
      </c>
      <c r="N541" s="190">
        <v>17800</v>
      </c>
      <c r="O541" s="190">
        <v>7684</v>
      </c>
      <c r="P541" s="190">
        <v>3</v>
      </c>
      <c r="Q541" s="190">
        <v>2025</v>
      </c>
      <c r="R541" s="190">
        <v>1</v>
      </c>
    </row>
    <row r="542" spans="1:18" x14ac:dyDescent="0.2">
      <c r="A542" s="190" t="s">
        <v>48</v>
      </c>
      <c r="B542" s="191" t="s">
        <v>211</v>
      </c>
      <c r="C542" s="191" t="s">
        <v>187</v>
      </c>
      <c r="D542" s="191" t="s">
        <v>4</v>
      </c>
      <c r="E542" s="191" t="s">
        <v>202</v>
      </c>
      <c r="F542" s="190" t="s">
        <v>216</v>
      </c>
      <c r="G542" s="190" t="s">
        <v>203</v>
      </c>
      <c r="H542" s="190" t="s">
        <v>22</v>
      </c>
      <c r="I542" s="191" t="s">
        <v>108</v>
      </c>
      <c r="J542" s="190" t="s">
        <v>260</v>
      </c>
      <c r="K542" s="191" t="s">
        <v>221</v>
      </c>
      <c r="L542" s="192" t="s">
        <v>205</v>
      </c>
      <c r="M542" s="190" t="s">
        <v>210</v>
      </c>
      <c r="N542" s="190">
        <v>17800</v>
      </c>
      <c r="O542" s="190">
        <v>7684</v>
      </c>
      <c r="P542" s="190">
        <v>3</v>
      </c>
      <c r="Q542" s="190">
        <v>2025</v>
      </c>
      <c r="R542" s="190">
        <v>1</v>
      </c>
    </row>
    <row r="543" spans="1:18" x14ac:dyDescent="0.2">
      <c r="A543" s="190" t="s">
        <v>48</v>
      </c>
      <c r="B543" s="191" t="s">
        <v>211</v>
      </c>
      <c r="C543" s="191" t="s">
        <v>187</v>
      </c>
      <c r="D543" s="191" t="s">
        <v>4</v>
      </c>
      <c r="E543" s="191" t="s">
        <v>202</v>
      </c>
      <c r="F543" s="190" t="s">
        <v>216</v>
      </c>
      <c r="G543" s="190" t="s">
        <v>203</v>
      </c>
      <c r="H543" s="190" t="s">
        <v>72</v>
      </c>
      <c r="I543" s="191" t="s">
        <v>485</v>
      </c>
      <c r="J543" s="190">
        <v>2023</v>
      </c>
      <c r="K543" s="191" t="s">
        <v>213</v>
      </c>
      <c r="L543" s="192" t="s">
        <v>205</v>
      </c>
      <c r="M543" s="190" t="s">
        <v>210</v>
      </c>
      <c r="N543" s="190">
        <v>16500</v>
      </c>
      <c r="O543" s="190">
        <v>4460</v>
      </c>
      <c r="P543" s="190">
        <v>2</v>
      </c>
      <c r="Q543" s="190">
        <v>2023</v>
      </c>
      <c r="R543" s="190">
        <v>1</v>
      </c>
    </row>
    <row r="544" spans="1:18" x14ac:dyDescent="0.2">
      <c r="A544" s="190" t="s">
        <v>48</v>
      </c>
      <c r="B544" s="191" t="s">
        <v>211</v>
      </c>
      <c r="C544" s="191" t="s">
        <v>187</v>
      </c>
      <c r="D544" s="191" t="s">
        <v>4</v>
      </c>
      <c r="E544" s="191" t="s">
        <v>202</v>
      </c>
      <c r="F544" s="190" t="s">
        <v>216</v>
      </c>
      <c r="G544" s="190" t="s">
        <v>203</v>
      </c>
      <c r="H544" s="190" t="s">
        <v>24</v>
      </c>
      <c r="I544" s="191" t="s">
        <v>115</v>
      </c>
      <c r="J544" s="190" t="s">
        <v>238</v>
      </c>
      <c r="K544" s="191" t="s">
        <v>221</v>
      </c>
      <c r="L544" s="192" t="s">
        <v>205</v>
      </c>
      <c r="M544" s="190" t="s">
        <v>210</v>
      </c>
      <c r="N544" s="190">
        <v>15295</v>
      </c>
      <c r="O544" s="190">
        <v>7790</v>
      </c>
      <c r="P544" s="190">
        <v>3</v>
      </c>
      <c r="Q544" s="190">
        <v>2024</v>
      </c>
      <c r="R544" s="190">
        <v>1</v>
      </c>
    </row>
    <row r="545" spans="1:18" x14ac:dyDescent="0.2">
      <c r="A545" s="190" t="s">
        <v>48</v>
      </c>
      <c r="B545" s="191" t="s">
        <v>211</v>
      </c>
      <c r="C545" s="191" t="s">
        <v>187</v>
      </c>
      <c r="D545" s="191" t="s">
        <v>4</v>
      </c>
      <c r="E545" s="191" t="s">
        <v>202</v>
      </c>
      <c r="F545" s="190" t="s">
        <v>216</v>
      </c>
      <c r="G545" s="190" t="s">
        <v>203</v>
      </c>
      <c r="H545" s="190" t="s">
        <v>24</v>
      </c>
      <c r="I545" s="191" t="s">
        <v>115</v>
      </c>
      <c r="J545" s="190" t="s">
        <v>238</v>
      </c>
      <c r="K545" s="191" t="s">
        <v>221</v>
      </c>
      <c r="L545" s="192" t="s">
        <v>205</v>
      </c>
      <c r="M545" s="190" t="s">
        <v>210</v>
      </c>
      <c r="N545" s="190">
        <v>15295</v>
      </c>
      <c r="O545" s="190">
        <v>7790</v>
      </c>
      <c r="P545" s="190">
        <v>3</v>
      </c>
      <c r="Q545" s="190">
        <v>2025</v>
      </c>
      <c r="R545" s="190">
        <v>6</v>
      </c>
    </row>
    <row r="546" spans="1:18" x14ac:dyDescent="0.2">
      <c r="A546" s="190" t="s">
        <v>48</v>
      </c>
      <c r="B546" s="191" t="s">
        <v>211</v>
      </c>
      <c r="C546" s="191" t="s">
        <v>187</v>
      </c>
      <c r="D546" s="191" t="s">
        <v>4</v>
      </c>
      <c r="E546" s="191" t="s">
        <v>202</v>
      </c>
      <c r="F546" s="190" t="s">
        <v>216</v>
      </c>
      <c r="G546" s="190" t="s">
        <v>203</v>
      </c>
      <c r="H546" s="190" t="s">
        <v>24</v>
      </c>
      <c r="I546" s="191" t="s">
        <v>116</v>
      </c>
      <c r="J546" s="190" t="s">
        <v>239</v>
      </c>
      <c r="K546" s="191" t="s">
        <v>221</v>
      </c>
      <c r="L546" s="192" t="s">
        <v>205</v>
      </c>
      <c r="M546" s="190" t="s">
        <v>210</v>
      </c>
      <c r="N546" s="190">
        <v>18630</v>
      </c>
      <c r="O546" s="190">
        <v>7790</v>
      </c>
      <c r="P546" s="190">
        <v>3</v>
      </c>
      <c r="Q546" s="190">
        <v>2025</v>
      </c>
      <c r="R546" s="190">
        <v>1</v>
      </c>
    </row>
    <row r="547" spans="1:18" x14ac:dyDescent="0.2">
      <c r="A547" s="190" t="s">
        <v>48</v>
      </c>
      <c r="B547" s="191" t="s">
        <v>211</v>
      </c>
      <c r="C547" s="191" t="s">
        <v>187</v>
      </c>
      <c r="D547" s="191" t="s">
        <v>4</v>
      </c>
      <c r="E547" s="191" t="s">
        <v>202</v>
      </c>
      <c r="F547" s="190" t="s">
        <v>216</v>
      </c>
      <c r="G547" s="190" t="s">
        <v>203</v>
      </c>
      <c r="H547" s="190" t="s">
        <v>29</v>
      </c>
      <c r="I547" s="191" t="s">
        <v>126</v>
      </c>
      <c r="J547" s="190" t="s">
        <v>376</v>
      </c>
      <c r="K547" s="191" t="s">
        <v>213</v>
      </c>
      <c r="L547" s="192" t="s">
        <v>205</v>
      </c>
      <c r="M547" s="190" t="s">
        <v>210</v>
      </c>
      <c r="N547" s="190">
        <v>12590</v>
      </c>
      <c r="O547" s="190">
        <v>3760</v>
      </c>
      <c r="P547" s="190">
        <v>3</v>
      </c>
      <c r="Q547" s="190">
        <v>2025</v>
      </c>
      <c r="R547" s="190">
        <v>1</v>
      </c>
    </row>
    <row r="548" spans="1:18" x14ac:dyDescent="0.2">
      <c r="A548" s="190" t="s">
        <v>48</v>
      </c>
      <c r="B548" s="191" t="s">
        <v>211</v>
      </c>
      <c r="C548" s="191" t="s">
        <v>187</v>
      </c>
      <c r="D548" s="191" t="s">
        <v>4</v>
      </c>
      <c r="E548" s="191" t="s">
        <v>202</v>
      </c>
      <c r="F548" s="190" t="s">
        <v>216</v>
      </c>
      <c r="G548" s="190" t="s">
        <v>203</v>
      </c>
      <c r="H548" s="190" t="s">
        <v>29</v>
      </c>
      <c r="I548" s="191" t="s">
        <v>494</v>
      </c>
      <c r="J548" s="190" t="s">
        <v>633</v>
      </c>
      <c r="K548" s="191" t="s">
        <v>213</v>
      </c>
      <c r="L548" s="192" t="s">
        <v>205</v>
      </c>
      <c r="M548" s="190" t="s">
        <v>210</v>
      </c>
      <c r="N548" s="190">
        <v>20500</v>
      </c>
      <c r="O548" s="190">
        <v>6700</v>
      </c>
      <c r="P548" s="190">
        <v>3</v>
      </c>
      <c r="Q548" s="190">
        <v>2025</v>
      </c>
      <c r="R548" s="190">
        <v>1</v>
      </c>
    </row>
    <row r="549" spans="1:18" x14ac:dyDescent="0.2">
      <c r="A549" s="190" t="s">
        <v>48</v>
      </c>
      <c r="B549" s="191" t="s">
        <v>211</v>
      </c>
      <c r="C549" s="191" t="s">
        <v>187</v>
      </c>
      <c r="D549" s="191" t="s">
        <v>4</v>
      </c>
      <c r="E549" s="191" t="s">
        <v>202</v>
      </c>
      <c r="F549" s="190" t="s">
        <v>216</v>
      </c>
      <c r="G549" s="190" t="s">
        <v>203</v>
      </c>
      <c r="H549" s="190" t="s">
        <v>19</v>
      </c>
      <c r="I549" s="191" t="s">
        <v>131</v>
      </c>
      <c r="J549" s="190" t="s">
        <v>270</v>
      </c>
      <c r="K549" s="191" t="s">
        <v>204</v>
      </c>
      <c r="L549" s="192" t="s">
        <v>205</v>
      </c>
      <c r="M549" s="190" t="s">
        <v>210</v>
      </c>
      <c r="N549" s="190">
        <v>14300</v>
      </c>
      <c r="O549" s="190">
        <v>4801</v>
      </c>
      <c r="P549" s="190">
        <v>2</v>
      </c>
      <c r="Q549" s="190">
        <v>2025</v>
      </c>
      <c r="R549" s="190">
        <v>2</v>
      </c>
    </row>
    <row r="550" spans="1:18" x14ac:dyDescent="0.2">
      <c r="A550" s="190" t="s">
        <v>48</v>
      </c>
      <c r="B550" s="191" t="s">
        <v>211</v>
      </c>
      <c r="C550" s="191" t="s">
        <v>187</v>
      </c>
      <c r="D550" s="191" t="s">
        <v>4</v>
      </c>
      <c r="E550" s="191" t="s">
        <v>202</v>
      </c>
      <c r="F550" s="190" t="s">
        <v>216</v>
      </c>
      <c r="G550" s="190" t="s">
        <v>203</v>
      </c>
      <c r="H550" s="190" t="s">
        <v>19</v>
      </c>
      <c r="I550" s="191" t="s">
        <v>134</v>
      </c>
      <c r="J550" s="190" t="s">
        <v>277</v>
      </c>
      <c r="K550" s="191" t="s">
        <v>204</v>
      </c>
      <c r="L550" s="192" t="s">
        <v>205</v>
      </c>
      <c r="M550" s="190" t="s">
        <v>242</v>
      </c>
      <c r="N550" s="190">
        <v>24500</v>
      </c>
      <c r="O550" s="190">
        <v>7200</v>
      </c>
      <c r="P550" s="190">
        <v>2</v>
      </c>
      <c r="Q550" s="190">
        <v>2025</v>
      </c>
      <c r="R550" s="190">
        <v>2</v>
      </c>
    </row>
    <row r="551" spans="1:18" x14ac:dyDescent="0.2">
      <c r="A551" s="190" t="s">
        <v>48</v>
      </c>
      <c r="B551" s="191" t="s">
        <v>211</v>
      </c>
      <c r="C551" s="191" t="s">
        <v>187</v>
      </c>
      <c r="D551" s="191" t="s">
        <v>4</v>
      </c>
      <c r="E551" s="191" t="s">
        <v>202</v>
      </c>
      <c r="F551" s="190" t="s">
        <v>216</v>
      </c>
      <c r="G551" s="190" t="s">
        <v>203</v>
      </c>
      <c r="H551" s="190" t="s">
        <v>25</v>
      </c>
      <c r="I551" s="191" t="s">
        <v>508</v>
      </c>
      <c r="J551" s="190" t="s">
        <v>698</v>
      </c>
      <c r="K551" s="191" t="s">
        <v>204</v>
      </c>
      <c r="L551" s="192" t="s">
        <v>205</v>
      </c>
      <c r="M551" s="190" t="s">
        <v>242</v>
      </c>
      <c r="N551" s="190">
        <v>26500</v>
      </c>
      <c r="O551" s="190">
        <v>9300</v>
      </c>
      <c r="P551" s="190">
        <v>2</v>
      </c>
      <c r="Q551" s="190">
        <v>2025</v>
      </c>
      <c r="R551" s="190">
        <v>4</v>
      </c>
    </row>
    <row r="552" spans="1:18" x14ac:dyDescent="0.2">
      <c r="A552" s="190" t="s">
        <v>48</v>
      </c>
      <c r="B552" s="191" t="s">
        <v>211</v>
      </c>
      <c r="C552" s="191" t="s">
        <v>187</v>
      </c>
      <c r="D552" s="191" t="s">
        <v>4</v>
      </c>
      <c r="E552" s="191" t="s">
        <v>202</v>
      </c>
      <c r="F552" s="190" t="s">
        <v>216</v>
      </c>
      <c r="G552" s="190" t="s">
        <v>203</v>
      </c>
      <c r="H552" s="190" t="s">
        <v>37</v>
      </c>
      <c r="I552" s="191" t="s">
        <v>539</v>
      </c>
      <c r="J552" s="190" t="s">
        <v>539</v>
      </c>
      <c r="K552" s="191" t="s">
        <v>635</v>
      </c>
      <c r="L552" s="192" t="s">
        <v>205</v>
      </c>
      <c r="M552" s="190" t="s">
        <v>210</v>
      </c>
      <c r="N552" s="190">
        <v>18500</v>
      </c>
      <c r="O552" s="190">
        <v>7700</v>
      </c>
      <c r="P552" s="190">
        <v>3</v>
      </c>
      <c r="Q552" s="190">
        <v>2025</v>
      </c>
      <c r="R552" s="190">
        <v>2</v>
      </c>
    </row>
    <row r="553" spans="1:18" x14ac:dyDescent="0.2">
      <c r="A553" s="190" t="s">
        <v>48</v>
      </c>
      <c r="B553" s="191" t="s">
        <v>211</v>
      </c>
      <c r="C553" s="191" t="s">
        <v>187</v>
      </c>
      <c r="D553" s="191" t="s">
        <v>4</v>
      </c>
      <c r="E553" s="191" t="s">
        <v>202</v>
      </c>
      <c r="F553" s="190" t="s">
        <v>216</v>
      </c>
      <c r="G553" s="190" t="s">
        <v>203</v>
      </c>
      <c r="H553" s="190" t="s">
        <v>20</v>
      </c>
      <c r="I553" s="191" t="s">
        <v>143</v>
      </c>
      <c r="J553" s="190" t="s">
        <v>143</v>
      </c>
      <c r="K553" s="191" t="s">
        <v>204</v>
      </c>
      <c r="L553" s="192" t="s">
        <v>205</v>
      </c>
      <c r="M553" s="190" t="s">
        <v>210</v>
      </c>
      <c r="N553" s="190">
        <v>17700</v>
      </c>
      <c r="O553" s="190">
        <v>7700</v>
      </c>
      <c r="P553" s="190">
        <v>2</v>
      </c>
      <c r="Q553" s="190">
        <v>2025</v>
      </c>
      <c r="R553" s="190">
        <v>2</v>
      </c>
    </row>
    <row r="554" spans="1:18" x14ac:dyDescent="0.2">
      <c r="A554" s="190" t="s">
        <v>48</v>
      </c>
      <c r="B554" s="191" t="s">
        <v>211</v>
      </c>
      <c r="C554" s="191" t="s">
        <v>187</v>
      </c>
      <c r="D554" s="191" t="s">
        <v>4</v>
      </c>
      <c r="E554" s="191" t="s">
        <v>202</v>
      </c>
      <c r="F554" s="190" t="s">
        <v>216</v>
      </c>
      <c r="G554" s="190" t="s">
        <v>203</v>
      </c>
      <c r="H554" s="190" t="s">
        <v>20</v>
      </c>
      <c r="I554" s="191" t="s">
        <v>144</v>
      </c>
      <c r="J554" s="190" t="s">
        <v>144</v>
      </c>
      <c r="K554" s="191" t="s">
        <v>204</v>
      </c>
      <c r="L554" s="192" t="s">
        <v>205</v>
      </c>
      <c r="M554" s="190" t="s">
        <v>242</v>
      </c>
      <c r="N554" s="190">
        <v>24700</v>
      </c>
      <c r="O554" s="190">
        <v>7700</v>
      </c>
      <c r="P554" s="190">
        <v>2</v>
      </c>
      <c r="Q554" s="190">
        <v>2025</v>
      </c>
      <c r="R554" s="190">
        <v>7</v>
      </c>
    </row>
    <row r="555" spans="1:18" x14ac:dyDescent="0.2">
      <c r="A555" s="190" t="s">
        <v>48</v>
      </c>
      <c r="B555" s="191" t="s">
        <v>211</v>
      </c>
      <c r="C555" s="191" t="s">
        <v>187</v>
      </c>
      <c r="D555" s="191" t="s">
        <v>4</v>
      </c>
      <c r="E555" s="191" t="s">
        <v>202</v>
      </c>
      <c r="F555" s="190" t="s">
        <v>216</v>
      </c>
      <c r="G555" s="190" t="s">
        <v>203</v>
      </c>
      <c r="H555" s="190" t="s">
        <v>20</v>
      </c>
      <c r="I555" s="191" t="s">
        <v>541</v>
      </c>
      <c r="J555" s="190" t="s">
        <v>541</v>
      </c>
      <c r="K555" s="191" t="s">
        <v>204</v>
      </c>
      <c r="L555" s="192" t="s">
        <v>205</v>
      </c>
      <c r="M555" s="190" t="s">
        <v>206</v>
      </c>
      <c r="N555" s="190">
        <v>28500</v>
      </c>
      <c r="O555" s="190">
        <v>12800</v>
      </c>
      <c r="P555" s="190">
        <v>2</v>
      </c>
      <c r="Q555" s="190">
        <v>2025</v>
      </c>
      <c r="R555" s="190">
        <v>2</v>
      </c>
    </row>
    <row r="556" spans="1:18" x14ac:dyDescent="0.2">
      <c r="A556" s="190" t="s">
        <v>48</v>
      </c>
      <c r="B556" s="191" t="s">
        <v>211</v>
      </c>
      <c r="C556" s="191" t="s">
        <v>187</v>
      </c>
      <c r="D556" s="191" t="s">
        <v>4</v>
      </c>
      <c r="E556" s="191" t="s">
        <v>202</v>
      </c>
      <c r="F556" s="190" t="s">
        <v>643</v>
      </c>
      <c r="G556" s="190" t="s">
        <v>208</v>
      </c>
      <c r="H556" s="190" t="s">
        <v>23</v>
      </c>
      <c r="I556" s="191" t="s">
        <v>94</v>
      </c>
      <c r="J556" s="190" t="s">
        <v>94</v>
      </c>
      <c r="K556" s="191" t="s">
        <v>213</v>
      </c>
      <c r="L556" s="192" t="s">
        <v>205</v>
      </c>
      <c r="M556" s="190" t="s">
        <v>210</v>
      </c>
      <c r="N556" s="190">
        <v>6900</v>
      </c>
      <c r="O556" s="190">
        <v>2780</v>
      </c>
      <c r="P556" s="190">
        <v>3</v>
      </c>
      <c r="Q556" s="190">
        <v>2024</v>
      </c>
      <c r="R556" s="190">
        <v>1</v>
      </c>
    </row>
    <row r="557" spans="1:18" x14ac:dyDescent="0.2">
      <c r="A557" s="190" t="s">
        <v>48</v>
      </c>
      <c r="B557" s="191" t="s">
        <v>211</v>
      </c>
      <c r="C557" s="191" t="s">
        <v>187</v>
      </c>
      <c r="D557" s="191" t="s">
        <v>4</v>
      </c>
      <c r="E557" s="191" t="s">
        <v>202</v>
      </c>
      <c r="F557" s="190" t="s">
        <v>643</v>
      </c>
      <c r="G557" s="190" t="s">
        <v>208</v>
      </c>
      <c r="H557" s="190" t="s">
        <v>65</v>
      </c>
      <c r="I557" s="191" t="s">
        <v>101</v>
      </c>
      <c r="J557" s="190" t="s">
        <v>411</v>
      </c>
      <c r="K557" s="191" t="s">
        <v>221</v>
      </c>
      <c r="L557" s="192" t="s">
        <v>205</v>
      </c>
      <c r="M557" s="190" t="s">
        <v>210</v>
      </c>
      <c r="N557" s="190">
        <v>6499</v>
      </c>
      <c r="O557" s="190">
        <v>2998</v>
      </c>
      <c r="P557" s="190">
        <v>3</v>
      </c>
      <c r="Q557" s="190">
        <v>2025</v>
      </c>
      <c r="R557" s="190">
        <v>2</v>
      </c>
    </row>
    <row r="558" spans="1:18" x14ac:dyDescent="0.2">
      <c r="A558" s="190" t="s">
        <v>48</v>
      </c>
      <c r="B558" s="191" t="s">
        <v>211</v>
      </c>
      <c r="C558" s="191" t="s">
        <v>187</v>
      </c>
      <c r="D558" s="191" t="s">
        <v>4</v>
      </c>
      <c r="E558" s="191" t="s">
        <v>202</v>
      </c>
      <c r="F558" s="190" t="s">
        <v>643</v>
      </c>
      <c r="G558" s="190" t="s">
        <v>208</v>
      </c>
      <c r="H558" s="190" t="s">
        <v>65</v>
      </c>
      <c r="I558" s="191" t="s">
        <v>104</v>
      </c>
      <c r="J558" s="190" t="s">
        <v>629</v>
      </c>
      <c r="K558" s="191" t="s">
        <v>245</v>
      </c>
      <c r="L558" s="192" t="s">
        <v>205</v>
      </c>
      <c r="M558" s="190" t="s">
        <v>210</v>
      </c>
      <c r="N558" s="190">
        <v>9600</v>
      </c>
      <c r="O558" s="190">
        <v>3907</v>
      </c>
      <c r="P558" s="190">
        <v>3</v>
      </c>
      <c r="Q558" s="190">
        <v>2024</v>
      </c>
      <c r="R558" s="190">
        <v>1</v>
      </c>
    </row>
    <row r="559" spans="1:18" x14ac:dyDescent="0.2">
      <c r="A559" s="190" t="s">
        <v>48</v>
      </c>
      <c r="B559" s="191" t="s">
        <v>211</v>
      </c>
      <c r="C559" s="191" t="s">
        <v>187</v>
      </c>
      <c r="D559" s="191" t="s">
        <v>4</v>
      </c>
      <c r="E559" s="191" t="s">
        <v>202</v>
      </c>
      <c r="F559" s="190" t="s">
        <v>643</v>
      </c>
      <c r="G559" s="190" t="s">
        <v>208</v>
      </c>
      <c r="H559" s="190" t="s">
        <v>22</v>
      </c>
      <c r="I559" s="191" t="s">
        <v>106</v>
      </c>
      <c r="J559" s="190" t="s">
        <v>222</v>
      </c>
      <c r="K559" s="191" t="s">
        <v>221</v>
      </c>
      <c r="L559" s="192" t="s">
        <v>205</v>
      </c>
      <c r="M559" s="190" t="s">
        <v>210</v>
      </c>
      <c r="N559" s="190">
        <v>7500</v>
      </c>
      <c r="O559" s="190">
        <v>4009</v>
      </c>
      <c r="P559" s="190">
        <v>3</v>
      </c>
      <c r="Q559" s="190">
        <v>2025</v>
      </c>
      <c r="R559" s="190">
        <v>1</v>
      </c>
    </row>
    <row r="560" spans="1:18" x14ac:dyDescent="0.2">
      <c r="A560" s="190" t="s">
        <v>48</v>
      </c>
      <c r="B560" s="191" t="s">
        <v>211</v>
      </c>
      <c r="C560" s="191" t="s">
        <v>187</v>
      </c>
      <c r="D560" s="191" t="s">
        <v>4</v>
      </c>
      <c r="E560" s="191" t="s">
        <v>202</v>
      </c>
      <c r="F560" s="190" t="s">
        <v>643</v>
      </c>
      <c r="G560" s="190" t="s">
        <v>208</v>
      </c>
      <c r="H560" s="190" t="s">
        <v>22</v>
      </c>
      <c r="I560" s="191" t="s">
        <v>484</v>
      </c>
      <c r="J560" s="190" t="s">
        <v>220</v>
      </c>
      <c r="K560" s="191" t="s">
        <v>221</v>
      </c>
      <c r="L560" s="192" t="s">
        <v>205</v>
      </c>
      <c r="M560" s="190" t="s">
        <v>210</v>
      </c>
      <c r="N560" s="190">
        <v>10500</v>
      </c>
      <c r="O560" s="190">
        <v>5123</v>
      </c>
      <c r="P560" s="190">
        <v>3</v>
      </c>
      <c r="Q560" s="190">
        <v>2025</v>
      </c>
      <c r="R560" s="190">
        <v>5</v>
      </c>
    </row>
    <row r="561" spans="1:18" x14ac:dyDescent="0.2">
      <c r="A561" s="190" t="s">
        <v>48</v>
      </c>
      <c r="B561" s="191" t="s">
        <v>211</v>
      </c>
      <c r="C561" s="191" t="s">
        <v>187</v>
      </c>
      <c r="D561" s="191" t="s">
        <v>4</v>
      </c>
      <c r="E561" s="191" t="s">
        <v>202</v>
      </c>
      <c r="F561" s="190" t="s">
        <v>643</v>
      </c>
      <c r="G561" s="190" t="s">
        <v>208</v>
      </c>
      <c r="H561" s="190" t="s">
        <v>22</v>
      </c>
      <c r="I561" s="191" t="s">
        <v>109</v>
      </c>
      <c r="J561" s="190" t="s">
        <v>220</v>
      </c>
      <c r="K561" s="191" t="s">
        <v>221</v>
      </c>
      <c r="L561" s="192" t="s">
        <v>205</v>
      </c>
      <c r="M561" s="190" t="s">
        <v>210</v>
      </c>
      <c r="N561" s="190">
        <v>10500</v>
      </c>
      <c r="O561" s="190">
        <v>5123</v>
      </c>
      <c r="P561" s="190">
        <v>3</v>
      </c>
      <c r="Q561" s="190">
        <v>2025</v>
      </c>
      <c r="R561" s="190">
        <v>2</v>
      </c>
    </row>
    <row r="562" spans="1:18" x14ac:dyDescent="0.2">
      <c r="A562" s="190" t="s">
        <v>48</v>
      </c>
      <c r="B562" s="191" t="s">
        <v>211</v>
      </c>
      <c r="C562" s="191" t="s">
        <v>187</v>
      </c>
      <c r="D562" s="191" t="s">
        <v>4</v>
      </c>
      <c r="E562" s="191" t="s">
        <v>202</v>
      </c>
      <c r="F562" s="190" t="s">
        <v>643</v>
      </c>
      <c r="G562" s="190" t="s">
        <v>208</v>
      </c>
      <c r="H562" s="190" t="s">
        <v>21</v>
      </c>
      <c r="I562" s="191" t="s">
        <v>112</v>
      </c>
      <c r="J562" s="190" t="s">
        <v>229</v>
      </c>
      <c r="K562" s="191" t="s">
        <v>213</v>
      </c>
      <c r="L562" s="192" t="s">
        <v>205</v>
      </c>
      <c r="M562" s="190" t="s">
        <v>210</v>
      </c>
      <c r="N562" s="190">
        <v>6500</v>
      </c>
      <c r="O562" s="190">
        <v>2891</v>
      </c>
      <c r="P562" s="190">
        <v>3</v>
      </c>
      <c r="Q562" s="190">
        <v>2025</v>
      </c>
      <c r="R562" s="190">
        <v>1</v>
      </c>
    </row>
    <row r="563" spans="1:18" x14ac:dyDescent="0.2">
      <c r="A563" s="190" t="s">
        <v>48</v>
      </c>
      <c r="B563" s="191" t="s">
        <v>211</v>
      </c>
      <c r="C563" s="191" t="s">
        <v>187</v>
      </c>
      <c r="D563" s="191" t="s">
        <v>4</v>
      </c>
      <c r="E563" s="191" t="s">
        <v>202</v>
      </c>
      <c r="F563" s="190" t="s">
        <v>643</v>
      </c>
      <c r="G563" s="190" t="s">
        <v>208</v>
      </c>
      <c r="H563" s="190" t="s">
        <v>29</v>
      </c>
      <c r="I563" s="191" t="s">
        <v>123</v>
      </c>
      <c r="J563" s="190" t="s">
        <v>275</v>
      </c>
      <c r="K563" s="191" t="s">
        <v>213</v>
      </c>
      <c r="L563" s="192" t="s">
        <v>205</v>
      </c>
      <c r="M563" s="190" t="s">
        <v>210</v>
      </c>
      <c r="N563" s="190">
        <v>6160</v>
      </c>
      <c r="O563" s="190">
        <v>2746</v>
      </c>
      <c r="P563" s="190">
        <v>3</v>
      </c>
      <c r="Q563" s="190">
        <v>2025</v>
      </c>
      <c r="R563" s="190">
        <v>1</v>
      </c>
    </row>
    <row r="564" spans="1:18" x14ac:dyDescent="0.2">
      <c r="A564" s="190" t="s">
        <v>48</v>
      </c>
      <c r="B564" s="191" t="s">
        <v>211</v>
      </c>
      <c r="C564" s="191" t="s">
        <v>187</v>
      </c>
      <c r="D564" s="191" t="s">
        <v>4</v>
      </c>
      <c r="E564" s="191" t="s">
        <v>202</v>
      </c>
      <c r="F564" s="190" t="s">
        <v>643</v>
      </c>
      <c r="G564" s="190" t="s">
        <v>203</v>
      </c>
      <c r="H564" s="190" t="s">
        <v>40</v>
      </c>
      <c r="I564" s="191" t="s">
        <v>353</v>
      </c>
      <c r="J564" s="190" t="s">
        <v>742</v>
      </c>
      <c r="K564" s="191" t="s">
        <v>213</v>
      </c>
      <c r="L564" s="192" t="s">
        <v>205</v>
      </c>
      <c r="M564" s="190" t="s">
        <v>210</v>
      </c>
      <c r="N564" s="190">
        <v>15800</v>
      </c>
      <c r="O564" s="190">
        <v>4100</v>
      </c>
      <c r="P564" s="190">
        <v>2</v>
      </c>
      <c r="Q564" s="190">
        <v>2025</v>
      </c>
      <c r="R564" s="190">
        <v>2</v>
      </c>
    </row>
    <row r="565" spans="1:18" x14ac:dyDescent="0.2">
      <c r="A565" s="190" t="s">
        <v>48</v>
      </c>
      <c r="B565" s="191" t="s">
        <v>211</v>
      </c>
      <c r="C565" s="191" t="s">
        <v>187</v>
      </c>
      <c r="D565" s="191" t="s">
        <v>4</v>
      </c>
      <c r="E565" s="191" t="s">
        <v>202</v>
      </c>
      <c r="F565" s="190" t="s">
        <v>643</v>
      </c>
      <c r="G565" s="190" t="s">
        <v>203</v>
      </c>
      <c r="H565" s="190" t="s">
        <v>23</v>
      </c>
      <c r="I565" s="191" t="s">
        <v>307</v>
      </c>
      <c r="J565" s="190" t="s">
        <v>307</v>
      </c>
      <c r="K565" s="191" t="s">
        <v>213</v>
      </c>
      <c r="L565" s="192" t="s">
        <v>205</v>
      </c>
      <c r="M565" s="190" t="s">
        <v>242</v>
      </c>
      <c r="N565" s="190">
        <v>25000</v>
      </c>
      <c r="O565" s="190">
        <v>6700</v>
      </c>
      <c r="P565" s="190">
        <v>2</v>
      </c>
      <c r="Q565" s="190">
        <v>2024</v>
      </c>
      <c r="R565" s="190">
        <v>1</v>
      </c>
    </row>
    <row r="566" spans="1:18" x14ac:dyDescent="0.2">
      <c r="A566" s="190" t="s">
        <v>48</v>
      </c>
      <c r="B566" s="191" t="s">
        <v>211</v>
      </c>
      <c r="C566" s="191" t="s">
        <v>187</v>
      </c>
      <c r="D566" s="191" t="s">
        <v>4</v>
      </c>
      <c r="E566" s="191" t="s">
        <v>202</v>
      </c>
      <c r="F566" s="190" t="s">
        <v>643</v>
      </c>
      <c r="G566" s="190" t="s">
        <v>203</v>
      </c>
      <c r="H566" s="190" t="s">
        <v>24</v>
      </c>
      <c r="I566" s="191" t="s">
        <v>115</v>
      </c>
      <c r="J566" s="190" t="s">
        <v>238</v>
      </c>
      <c r="K566" s="191" t="s">
        <v>221</v>
      </c>
      <c r="L566" s="192" t="s">
        <v>205</v>
      </c>
      <c r="M566" s="190" t="s">
        <v>210</v>
      </c>
      <c r="N566" s="190">
        <v>15295</v>
      </c>
      <c r="O566" s="190">
        <v>7790</v>
      </c>
      <c r="P566" s="190">
        <v>3</v>
      </c>
      <c r="Q566" s="190">
        <v>2025</v>
      </c>
      <c r="R566" s="190">
        <v>1</v>
      </c>
    </row>
    <row r="567" spans="1:18" x14ac:dyDescent="0.2">
      <c r="A567" s="190" t="s">
        <v>48</v>
      </c>
      <c r="B567" s="191" t="s">
        <v>211</v>
      </c>
      <c r="C567" s="191" t="s">
        <v>187</v>
      </c>
      <c r="D567" s="191" t="s">
        <v>4</v>
      </c>
      <c r="E567" s="191" t="s">
        <v>202</v>
      </c>
      <c r="F567" s="190" t="s">
        <v>643</v>
      </c>
      <c r="G567" s="190" t="s">
        <v>203</v>
      </c>
      <c r="H567" s="190" t="s">
        <v>24</v>
      </c>
      <c r="I567" s="191" t="s">
        <v>116</v>
      </c>
      <c r="J567" s="190" t="s">
        <v>239</v>
      </c>
      <c r="K567" s="191" t="s">
        <v>221</v>
      </c>
      <c r="L567" s="192" t="s">
        <v>205</v>
      </c>
      <c r="M567" s="190" t="s">
        <v>210</v>
      </c>
      <c r="N567" s="190">
        <v>18630</v>
      </c>
      <c r="O567" s="190">
        <v>7790</v>
      </c>
      <c r="P567" s="190">
        <v>3</v>
      </c>
      <c r="Q567" s="190">
        <v>2025</v>
      </c>
      <c r="R567" s="190">
        <v>1</v>
      </c>
    </row>
    <row r="568" spans="1:18" x14ac:dyDescent="0.2">
      <c r="A568" s="190" t="s">
        <v>48</v>
      </c>
      <c r="B568" s="191" t="s">
        <v>211</v>
      </c>
      <c r="C568" s="191" t="s">
        <v>187</v>
      </c>
      <c r="D568" s="191" t="s">
        <v>4</v>
      </c>
      <c r="E568" s="191" t="s">
        <v>202</v>
      </c>
      <c r="F568" s="190" t="s">
        <v>643</v>
      </c>
      <c r="G568" s="190" t="s">
        <v>203</v>
      </c>
      <c r="H568" s="190" t="s">
        <v>19</v>
      </c>
      <c r="I568" s="191" t="s">
        <v>131</v>
      </c>
      <c r="J568" s="190" t="s">
        <v>270</v>
      </c>
      <c r="K568" s="191" t="s">
        <v>204</v>
      </c>
      <c r="L568" s="192" t="s">
        <v>205</v>
      </c>
      <c r="M568" s="190" t="s">
        <v>210</v>
      </c>
      <c r="N568" s="190">
        <v>14300</v>
      </c>
      <c r="O568" s="190">
        <v>4801</v>
      </c>
      <c r="P568" s="190">
        <v>2</v>
      </c>
      <c r="Q568" s="190">
        <v>2024</v>
      </c>
      <c r="R568" s="190">
        <v>1</v>
      </c>
    </row>
    <row r="569" spans="1:18" x14ac:dyDescent="0.2">
      <c r="A569" s="190" t="s">
        <v>48</v>
      </c>
      <c r="B569" s="191" t="s">
        <v>211</v>
      </c>
      <c r="C569" s="191" t="s">
        <v>187</v>
      </c>
      <c r="D569" s="191" t="s">
        <v>4</v>
      </c>
      <c r="E569" s="191" t="s">
        <v>202</v>
      </c>
      <c r="F569" s="190" t="s">
        <v>643</v>
      </c>
      <c r="G569" s="190" t="s">
        <v>203</v>
      </c>
      <c r="H569" s="190" t="s">
        <v>19</v>
      </c>
      <c r="I569" s="191" t="s">
        <v>131</v>
      </c>
      <c r="J569" s="190" t="s">
        <v>270</v>
      </c>
      <c r="K569" s="191" t="s">
        <v>204</v>
      </c>
      <c r="L569" s="192" t="s">
        <v>205</v>
      </c>
      <c r="M569" s="190" t="s">
        <v>210</v>
      </c>
      <c r="N569" s="190">
        <v>14300</v>
      </c>
      <c r="O569" s="190">
        <v>4801</v>
      </c>
      <c r="P569" s="190">
        <v>2</v>
      </c>
      <c r="Q569" s="190">
        <v>2025</v>
      </c>
      <c r="R569" s="190">
        <v>2</v>
      </c>
    </row>
    <row r="570" spans="1:18" x14ac:dyDescent="0.2">
      <c r="A570" s="190" t="s">
        <v>48</v>
      </c>
      <c r="B570" s="191" t="s">
        <v>211</v>
      </c>
      <c r="C570" s="191" t="s">
        <v>187</v>
      </c>
      <c r="D570" s="191" t="s">
        <v>4</v>
      </c>
      <c r="E570" s="191" t="s">
        <v>202</v>
      </c>
      <c r="F570" s="190" t="s">
        <v>643</v>
      </c>
      <c r="G570" s="190" t="s">
        <v>203</v>
      </c>
      <c r="H570" s="190" t="s">
        <v>20</v>
      </c>
      <c r="I570" s="191" t="s">
        <v>143</v>
      </c>
      <c r="J570" s="190" t="s">
        <v>143</v>
      </c>
      <c r="K570" s="191" t="s">
        <v>204</v>
      </c>
      <c r="L570" s="192" t="s">
        <v>205</v>
      </c>
      <c r="M570" s="190" t="s">
        <v>210</v>
      </c>
      <c r="N570" s="190">
        <v>17700</v>
      </c>
      <c r="O570" s="190">
        <v>7700</v>
      </c>
      <c r="P570" s="190">
        <v>2</v>
      </c>
      <c r="Q570" s="190">
        <v>2025</v>
      </c>
      <c r="R570" s="190">
        <v>1</v>
      </c>
    </row>
    <row r="571" spans="1:18" x14ac:dyDescent="0.2">
      <c r="A571" s="190" t="s">
        <v>48</v>
      </c>
      <c r="B571" s="191" t="s">
        <v>211</v>
      </c>
      <c r="C571" s="191" t="s">
        <v>187</v>
      </c>
      <c r="D571" s="191" t="s">
        <v>4</v>
      </c>
      <c r="E571" s="191" t="s">
        <v>202</v>
      </c>
      <c r="F571" s="190" t="s">
        <v>617</v>
      </c>
      <c r="G571" s="190" t="s">
        <v>208</v>
      </c>
      <c r="H571" s="190" t="s">
        <v>24</v>
      </c>
      <c r="I571" s="191" t="s">
        <v>114</v>
      </c>
      <c r="J571" s="190" t="s">
        <v>230</v>
      </c>
      <c r="K571" s="191" t="s">
        <v>221</v>
      </c>
      <c r="L571" s="192" t="s">
        <v>205</v>
      </c>
      <c r="M571" s="190" t="s">
        <v>210</v>
      </c>
      <c r="N571" s="190">
        <v>10400</v>
      </c>
      <c r="O571" s="190">
        <v>5193</v>
      </c>
      <c r="P571" s="190">
        <v>3</v>
      </c>
      <c r="Q571" s="190">
        <v>2025</v>
      </c>
      <c r="R571" s="190">
        <v>1</v>
      </c>
    </row>
    <row r="572" spans="1:18" x14ac:dyDescent="0.2">
      <c r="A572" s="190" t="s">
        <v>48</v>
      </c>
      <c r="B572" s="191" t="s">
        <v>211</v>
      </c>
      <c r="C572" s="191" t="s">
        <v>187</v>
      </c>
      <c r="D572" s="191" t="s">
        <v>4</v>
      </c>
      <c r="E572" s="191" t="s">
        <v>202</v>
      </c>
      <c r="F572" s="190" t="s">
        <v>617</v>
      </c>
      <c r="G572" s="190" t="s">
        <v>208</v>
      </c>
      <c r="H572" s="190" t="s">
        <v>24</v>
      </c>
      <c r="I572" s="191" t="s">
        <v>118</v>
      </c>
      <c r="J572" s="190" t="s">
        <v>231</v>
      </c>
      <c r="K572" s="191" t="s">
        <v>221</v>
      </c>
      <c r="L572" s="192" t="s">
        <v>205</v>
      </c>
      <c r="M572" s="190" t="s">
        <v>210</v>
      </c>
      <c r="N572" s="190">
        <v>5045</v>
      </c>
      <c r="O572" s="190">
        <v>2999</v>
      </c>
      <c r="P572" s="190">
        <v>3</v>
      </c>
      <c r="Q572" s="190">
        <v>2025</v>
      </c>
      <c r="R572" s="190">
        <v>1</v>
      </c>
    </row>
    <row r="573" spans="1:18" x14ac:dyDescent="0.2">
      <c r="A573" s="190" t="s">
        <v>48</v>
      </c>
      <c r="B573" s="191" t="s">
        <v>211</v>
      </c>
      <c r="C573" s="191" t="s">
        <v>187</v>
      </c>
      <c r="D573" s="191" t="s">
        <v>4</v>
      </c>
      <c r="E573" s="191" t="s">
        <v>202</v>
      </c>
      <c r="F573" s="190" t="s">
        <v>617</v>
      </c>
      <c r="G573" s="190" t="s">
        <v>203</v>
      </c>
      <c r="H573" s="190" t="s">
        <v>23</v>
      </c>
      <c r="I573" s="191" t="s">
        <v>307</v>
      </c>
      <c r="J573" s="190" t="s">
        <v>307</v>
      </c>
      <c r="K573" s="191" t="s">
        <v>213</v>
      </c>
      <c r="L573" s="192" t="s">
        <v>205</v>
      </c>
      <c r="M573" s="190" t="s">
        <v>242</v>
      </c>
      <c r="N573" s="190">
        <v>25000</v>
      </c>
      <c r="O573" s="190">
        <v>6700</v>
      </c>
      <c r="P573" s="190">
        <v>2</v>
      </c>
      <c r="Q573" s="190">
        <v>2023</v>
      </c>
      <c r="R573" s="190">
        <v>1</v>
      </c>
    </row>
    <row r="574" spans="1:18" x14ac:dyDescent="0.2">
      <c r="A574" s="190" t="s">
        <v>48</v>
      </c>
      <c r="B574" s="191" t="s">
        <v>211</v>
      </c>
      <c r="C574" s="191" t="s">
        <v>187</v>
      </c>
      <c r="D574" s="191" t="s">
        <v>4</v>
      </c>
      <c r="E574" s="191" t="s">
        <v>202</v>
      </c>
      <c r="F574" s="190" t="s">
        <v>617</v>
      </c>
      <c r="G574" s="190" t="s">
        <v>203</v>
      </c>
      <c r="H574" s="190" t="s">
        <v>20</v>
      </c>
      <c r="I574" s="191" t="s">
        <v>146</v>
      </c>
      <c r="J574" s="190" t="s">
        <v>146</v>
      </c>
      <c r="K574" s="191" t="s">
        <v>204</v>
      </c>
      <c r="L574" s="192" t="s">
        <v>205</v>
      </c>
      <c r="M574" s="190" t="s">
        <v>218</v>
      </c>
      <c r="N574" s="190">
        <v>33400</v>
      </c>
      <c r="O574" s="190">
        <v>7700</v>
      </c>
      <c r="P574" s="190">
        <v>2</v>
      </c>
      <c r="Q574" s="190">
        <v>2025</v>
      </c>
      <c r="R574" s="190">
        <v>1</v>
      </c>
    </row>
    <row r="575" spans="1:18" x14ac:dyDescent="0.2">
      <c r="A575" s="190" t="s">
        <v>48</v>
      </c>
      <c r="B575" s="191" t="s">
        <v>211</v>
      </c>
      <c r="C575" s="191" t="s">
        <v>187</v>
      </c>
      <c r="D575" s="191" t="s">
        <v>4</v>
      </c>
      <c r="E575" s="191" t="s">
        <v>202</v>
      </c>
      <c r="F575" s="190" t="s">
        <v>658</v>
      </c>
      <c r="G575" s="190" t="s">
        <v>208</v>
      </c>
      <c r="H575" s="190" t="s">
        <v>29</v>
      </c>
      <c r="I575" s="191" t="s">
        <v>492</v>
      </c>
      <c r="J575" s="190" t="s">
        <v>630</v>
      </c>
      <c r="K575" s="191" t="s">
        <v>213</v>
      </c>
      <c r="L575" s="192" t="s">
        <v>205</v>
      </c>
      <c r="M575" s="190" t="s">
        <v>210</v>
      </c>
      <c r="N575" s="190">
        <v>7800</v>
      </c>
      <c r="O575" s="190">
        <v>3800</v>
      </c>
      <c r="P575" s="190">
        <v>3</v>
      </c>
      <c r="Q575" s="190">
        <v>2025</v>
      </c>
      <c r="R575" s="190">
        <v>2</v>
      </c>
    </row>
    <row r="576" spans="1:18" x14ac:dyDescent="0.2">
      <c r="A576" s="190" t="s">
        <v>48</v>
      </c>
      <c r="B576" s="191" t="s">
        <v>211</v>
      </c>
      <c r="C576" s="191" t="s">
        <v>187</v>
      </c>
      <c r="D576" s="191" t="s">
        <v>4</v>
      </c>
      <c r="E576" s="191" t="s">
        <v>202</v>
      </c>
      <c r="F576" s="190" t="s">
        <v>644</v>
      </c>
      <c r="G576" s="190" t="s">
        <v>203</v>
      </c>
      <c r="H576" s="190" t="s">
        <v>22</v>
      </c>
      <c r="I576" s="191" t="s">
        <v>107</v>
      </c>
      <c r="J576" s="190" t="s">
        <v>220</v>
      </c>
      <c r="K576" s="191" t="s">
        <v>221</v>
      </c>
      <c r="L576" s="192" t="s">
        <v>205</v>
      </c>
      <c r="M576" s="190" t="s">
        <v>210</v>
      </c>
      <c r="N576" s="190">
        <v>12500</v>
      </c>
      <c r="O576" s="190">
        <v>7684</v>
      </c>
      <c r="P576" s="190">
        <v>3</v>
      </c>
      <c r="Q576" s="190">
        <v>2025</v>
      </c>
      <c r="R576" s="190">
        <v>1</v>
      </c>
    </row>
    <row r="577" spans="1:18" x14ac:dyDescent="0.2">
      <c r="A577" s="190" t="s">
        <v>48</v>
      </c>
      <c r="B577" s="191" t="s">
        <v>211</v>
      </c>
      <c r="C577" s="191" t="s">
        <v>187</v>
      </c>
      <c r="D577" s="191" t="s">
        <v>4</v>
      </c>
      <c r="E577" s="191" t="s">
        <v>202</v>
      </c>
      <c r="F577" s="190" t="s">
        <v>644</v>
      </c>
      <c r="G577" s="190" t="s">
        <v>203</v>
      </c>
      <c r="H577" s="190" t="s">
        <v>22</v>
      </c>
      <c r="I577" s="191" t="s">
        <v>108</v>
      </c>
      <c r="J577" s="190" t="s">
        <v>260</v>
      </c>
      <c r="K577" s="191" t="s">
        <v>221</v>
      </c>
      <c r="L577" s="192" t="s">
        <v>205</v>
      </c>
      <c r="M577" s="190" t="s">
        <v>210</v>
      </c>
      <c r="N577" s="190">
        <v>17800</v>
      </c>
      <c r="O577" s="190">
        <v>7684</v>
      </c>
      <c r="P577" s="190">
        <v>3</v>
      </c>
      <c r="Q577" s="190">
        <v>2025</v>
      </c>
      <c r="R577" s="190">
        <v>1</v>
      </c>
    </row>
    <row r="578" spans="1:18" x14ac:dyDescent="0.2">
      <c r="A578" s="190" t="s">
        <v>48</v>
      </c>
      <c r="B578" s="191" t="s">
        <v>211</v>
      </c>
      <c r="C578" s="191" t="s">
        <v>187</v>
      </c>
      <c r="D578" s="191" t="s">
        <v>4</v>
      </c>
      <c r="E578" s="191" t="s">
        <v>202</v>
      </c>
      <c r="F578" s="190" t="s">
        <v>645</v>
      </c>
      <c r="G578" s="190" t="s">
        <v>208</v>
      </c>
      <c r="H578" s="190" t="s">
        <v>22</v>
      </c>
      <c r="I578" s="191" t="s">
        <v>106</v>
      </c>
      <c r="J578" s="190" t="s">
        <v>223</v>
      </c>
      <c r="K578" s="191" t="s">
        <v>221</v>
      </c>
      <c r="L578" s="192" t="s">
        <v>205</v>
      </c>
      <c r="M578" s="190" t="s">
        <v>210</v>
      </c>
      <c r="N578" s="190">
        <v>7500</v>
      </c>
      <c r="O578" s="190">
        <v>4009</v>
      </c>
      <c r="P578" s="190">
        <v>3</v>
      </c>
      <c r="Q578" s="190">
        <v>2025</v>
      </c>
      <c r="R578" s="190">
        <v>1</v>
      </c>
    </row>
    <row r="579" spans="1:18" x14ac:dyDescent="0.2">
      <c r="A579" s="190" t="s">
        <v>48</v>
      </c>
      <c r="B579" s="191" t="s">
        <v>211</v>
      </c>
      <c r="C579" s="191" t="s">
        <v>187</v>
      </c>
      <c r="D579" s="191" t="s">
        <v>4</v>
      </c>
      <c r="E579" s="191" t="s">
        <v>202</v>
      </c>
      <c r="F579" s="190" t="s">
        <v>645</v>
      </c>
      <c r="G579" s="190" t="s">
        <v>208</v>
      </c>
      <c r="H579" s="190" t="s">
        <v>21</v>
      </c>
      <c r="I579" s="191" t="s">
        <v>113</v>
      </c>
      <c r="J579" s="190" t="s">
        <v>220</v>
      </c>
      <c r="K579" s="191" t="s">
        <v>227</v>
      </c>
      <c r="L579" s="192" t="s">
        <v>205</v>
      </c>
      <c r="M579" s="190" t="s">
        <v>210</v>
      </c>
      <c r="N579" s="190">
        <v>7800</v>
      </c>
      <c r="O579" s="190">
        <v>2891</v>
      </c>
      <c r="P579" s="190">
        <v>3</v>
      </c>
      <c r="Q579" s="190">
        <v>2024</v>
      </c>
      <c r="R579" s="190">
        <v>1</v>
      </c>
    </row>
    <row r="580" spans="1:18" x14ac:dyDescent="0.2">
      <c r="A580" s="190" t="s">
        <v>48</v>
      </c>
      <c r="B580" s="191" t="s">
        <v>211</v>
      </c>
      <c r="C580" s="191" t="s">
        <v>187</v>
      </c>
      <c r="D580" s="191" t="s">
        <v>4</v>
      </c>
      <c r="E580" s="191" t="s">
        <v>202</v>
      </c>
      <c r="F580" s="190" t="s">
        <v>646</v>
      </c>
      <c r="G580" s="190" t="s">
        <v>203</v>
      </c>
      <c r="H580" s="190" t="s">
        <v>30</v>
      </c>
      <c r="I580" s="191" t="s">
        <v>90</v>
      </c>
      <c r="J580" s="190" t="s">
        <v>342</v>
      </c>
      <c r="K580" s="191" t="s">
        <v>213</v>
      </c>
      <c r="L580" s="192" t="s">
        <v>205</v>
      </c>
      <c r="M580" s="190" t="s">
        <v>210</v>
      </c>
      <c r="N580" s="190">
        <v>17590</v>
      </c>
      <c r="O580" s="190">
        <v>4500</v>
      </c>
      <c r="P580" s="190">
        <v>3</v>
      </c>
      <c r="Q580" s="190">
        <v>2024</v>
      </c>
      <c r="R580" s="190">
        <v>1</v>
      </c>
    </row>
    <row r="581" spans="1:18" x14ac:dyDescent="0.2">
      <c r="A581" s="190" t="s">
        <v>48</v>
      </c>
      <c r="B581" s="191" t="s">
        <v>211</v>
      </c>
      <c r="C581" s="191" t="s">
        <v>187</v>
      </c>
      <c r="D581" s="191" t="s">
        <v>4</v>
      </c>
      <c r="E581" s="191" t="s">
        <v>202</v>
      </c>
      <c r="F581" s="190" t="s">
        <v>646</v>
      </c>
      <c r="G581" s="190" t="s">
        <v>203</v>
      </c>
      <c r="H581" s="190" t="s">
        <v>23</v>
      </c>
      <c r="I581" s="191" t="s">
        <v>475</v>
      </c>
      <c r="J581" s="190" t="s">
        <v>475</v>
      </c>
      <c r="K581" s="191" t="s">
        <v>213</v>
      </c>
      <c r="L581" s="192" t="s">
        <v>205</v>
      </c>
      <c r="M581" s="190" t="s">
        <v>210</v>
      </c>
      <c r="N581" s="190">
        <v>18000</v>
      </c>
      <c r="O581" s="190">
        <v>6700</v>
      </c>
      <c r="P581" s="190">
        <v>3</v>
      </c>
      <c r="Q581" s="190">
        <v>2024</v>
      </c>
      <c r="R581" s="190">
        <v>1</v>
      </c>
    </row>
    <row r="582" spans="1:18" x14ac:dyDescent="0.2">
      <c r="A582" s="190" t="s">
        <v>48</v>
      </c>
      <c r="B582" s="191" t="s">
        <v>211</v>
      </c>
      <c r="C582" s="191" t="s">
        <v>187</v>
      </c>
      <c r="D582" s="191" t="s">
        <v>4</v>
      </c>
      <c r="E582" s="191" t="s">
        <v>202</v>
      </c>
      <c r="F582" s="190" t="s">
        <v>646</v>
      </c>
      <c r="G582" s="190" t="s">
        <v>203</v>
      </c>
      <c r="H582" s="190" t="s">
        <v>29</v>
      </c>
      <c r="I582" s="191" t="s">
        <v>126</v>
      </c>
      <c r="J582" s="190" t="s">
        <v>376</v>
      </c>
      <c r="K582" s="191" t="s">
        <v>213</v>
      </c>
      <c r="L582" s="192" t="s">
        <v>205</v>
      </c>
      <c r="M582" s="190" t="s">
        <v>210</v>
      </c>
      <c r="N582" s="190">
        <v>12590</v>
      </c>
      <c r="O582" s="190">
        <v>3760</v>
      </c>
      <c r="P582" s="190">
        <v>3</v>
      </c>
      <c r="Q582" s="190">
        <v>2025</v>
      </c>
      <c r="R582" s="190">
        <v>1</v>
      </c>
    </row>
    <row r="583" spans="1:18" x14ac:dyDescent="0.2">
      <c r="A583" s="190" t="s">
        <v>48</v>
      </c>
      <c r="B583" s="191" t="s">
        <v>211</v>
      </c>
      <c r="C583" s="191" t="s">
        <v>187</v>
      </c>
      <c r="D583" s="191" t="s">
        <v>4</v>
      </c>
      <c r="E583" s="191" t="s">
        <v>202</v>
      </c>
      <c r="F583" s="190" t="s">
        <v>646</v>
      </c>
      <c r="G583" s="190" t="s">
        <v>203</v>
      </c>
      <c r="H583" s="190" t="s">
        <v>25</v>
      </c>
      <c r="I583" s="191" t="s">
        <v>507</v>
      </c>
      <c r="J583" s="190" t="s">
        <v>700</v>
      </c>
      <c r="K583" s="191" t="s">
        <v>204</v>
      </c>
      <c r="L583" s="192" t="s">
        <v>205</v>
      </c>
      <c r="M583" s="190" t="s">
        <v>206</v>
      </c>
      <c r="N583" s="190">
        <v>41000</v>
      </c>
      <c r="O583" s="190">
        <v>12700</v>
      </c>
      <c r="P583" s="190">
        <v>2</v>
      </c>
      <c r="Q583" s="190">
        <v>2025</v>
      </c>
      <c r="R583" s="190">
        <v>2</v>
      </c>
    </row>
    <row r="584" spans="1:18" x14ac:dyDescent="0.2">
      <c r="A584" s="190" t="s">
        <v>48</v>
      </c>
      <c r="B584" s="191" t="s">
        <v>211</v>
      </c>
      <c r="C584" s="191" t="s">
        <v>187</v>
      </c>
      <c r="D584" s="191" t="s">
        <v>4</v>
      </c>
      <c r="E584" s="191" t="s">
        <v>202</v>
      </c>
      <c r="F584" s="190" t="s">
        <v>646</v>
      </c>
      <c r="G584" s="190" t="s">
        <v>203</v>
      </c>
      <c r="H584" s="190" t="s">
        <v>25</v>
      </c>
      <c r="I584" s="191" t="s">
        <v>512</v>
      </c>
      <c r="J584" s="190" t="s">
        <v>744</v>
      </c>
      <c r="K584" s="191" t="s">
        <v>204</v>
      </c>
      <c r="L584" s="192" t="s">
        <v>205</v>
      </c>
      <c r="M584" s="190" t="s">
        <v>206</v>
      </c>
      <c r="N584" s="190">
        <v>41000</v>
      </c>
      <c r="O584" s="190">
        <v>12700</v>
      </c>
      <c r="P584" s="190">
        <v>2</v>
      </c>
      <c r="Q584" s="190">
        <v>2025</v>
      </c>
      <c r="R584" s="190">
        <v>2</v>
      </c>
    </row>
    <row r="585" spans="1:18" x14ac:dyDescent="0.2">
      <c r="A585" s="190" t="s">
        <v>48</v>
      </c>
      <c r="B585" s="191" t="s">
        <v>211</v>
      </c>
      <c r="C585" s="191" t="s">
        <v>187</v>
      </c>
      <c r="D585" s="191" t="s">
        <v>4</v>
      </c>
      <c r="E585" s="191" t="s">
        <v>202</v>
      </c>
      <c r="F585" s="190" t="s">
        <v>646</v>
      </c>
      <c r="G585" s="190" t="s">
        <v>203</v>
      </c>
      <c r="H585" s="190" t="s">
        <v>34</v>
      </c>
      <c r="I585" s="191" t="s">
        <v>529</v>
      </c>
      <c r="J585" s="190" t="s">
        <v>380</v>
      </c>
      <c r="K585" s="191" t="s">
        <v>213</v>
      </c>
      <c r="L585" s="192" t="s">
        <v>205</v>
      </c>
      <c r="M585" s="190" t="s">
        <v>210</v>
      </c>
      <c r="N585" s="190">
        <v>20500</v>
      </c>
      <c r="O585" s="190">
        <v>6870</v>
      </c>
      <c r="P585" s="190">
        <v>3</v>
      </c>
      <c r="Q585" s="190">
        <v>2023</v>
      </c>
      <c r="R585" s="190">
        <v>1</v>
      </c>
    </row>
    <row r="586" spans="1:18" x14ac:dyDescent="0.2">
      <c r="A586" s="190" t="s">
        <v>48</v>
      </c>
      <c r="B586" s="191" t="s">
        <v>211</v>
      </c>
      <c r="C586" s="191" t="s">
        <v>187</v>
      </c>
      <c r="D586" s="191" t="s">
        <v>4</v>
      </c>
      <c r="E586" s="191" t="s">
        <v>202</v>
      </c>
      <c r="F586" s="190" t="s">
        <v>243</v>
      </c>
      <c r="G586" s="190" t="s">
        <v>203</v>
      </c>
      <c r="H586" s="190" t="s">
        <v>27</v>
      </c>
      <c r="I586" s="191" t="s">
        <v>137</v>
      </c>
      <c r="J586" s="190" t="s">
        <v>202</v>
      </c>
      <c r="K586" s="191" t="s">
        <v>204</v>
      </c>
      <c r="L586" s="192" t="s">
        <v>205</v>
      </c>
      <c r="M586" s="190" t="s">
        <v>210</v>
      </c>
      <c r="N586" s="190">
        <v>17100</v>
      </c>
      <c r="O586" s="190">
        <v>6871</v>
      </c>
      <c r="P586" s="190">
        <v>2</v>
      </c>
      <c r="Q586" s="190">
        <v>2025</v>
      </c>
      <c r="R586" s="190">
        <v>1</v>
      </c>
    </row>
    <row r="587" spans="1:18" x14ac:dyDescent="0.2">
      <c r="A587" s="190" t="s">
        <v>48</v>
      </c>
      <c r="B587" s="191" t="s">
        <v>211</v>
      </c>
      <c r="C587" s="191" t="s">
        <v>187</v>
      </c>
      <c r="D587" s="191" t="s">
        <v>4</v>
      </c>
      <c r="E587" s="191" t="s">
        <v>202</v>
      </c>
      <c r="F587" s="190" t="s">
        <v>397</v>
      </c>
      <c r="G587" s="190" t="s">
        <v>208</v>
      </c>
      <c r="H587" s="190" t="s">
        <v>24</v>
      </c>
      <c r="I587" s="191" t="s">
        <v>120</v>
      </c>
      <c r="J587" s="190" t="s">
        <v>233</v>
      </c>
      <c r="K587" s="191" t="s">
        <v>221</v>
      </c>
      <c r="L587" s="192" t="s">
        <v>205</v>
      </c>
      <c r="M587" s="190" t="s">
        <v>210</v>
      </c>
      <c r="N587" s="190">
        <v>8000</v>
      </c>
      <c r="O587" s="190">
        <v>5193</v>
      </c>
      <c r="P587" s="190">
        <v>3</v>
      </c>
      <c r="Q587" s="190">
        <v>2025</v>
      </c>
      <c r="R587" s="190">
        <v>4</v>
      </c>
    </row>
    <row r="588" spans="1:18" x14ac:dyDescent="0.2">
      <c r="A588" s="190" t="s">
        <v>48</v>
      </c>
      <c r="B588" s="191" t="s">
        <v>211</v>
      </c>
      <c r="C588" s="191" t="s">
        <v>187</v>
      </c>
      <c r="D588" s="191" t="s">
        <v>4</v>
      </c>
      <c r="E588" s="191" t="s">
        <v>202</v>
      </c>
      <c r="F588" s="190" t="s">
        <v>397</v>
      </c>
      <c r="G588" s="190" t="s">
        <v>208</v>
      </c>
      <c r="H588" s="190" t="s">
        <v>24</v>
      </c>
      <c r="I588" s="191" t="s">
        <v>121</v>
      </c>
      <c r="J588" s="190" t="s">
        <v>232</v>
      </c>
      <c r="K588" s="191" t="s">
        <v>221</v>
      </c>
      <c r="L588" s="192" t="s">
        <v>205</v>
      </c>
      <c r="M588" s="190" t="s">
        <v>234</v>
      </c>
      <c r="N588" s="190">
        <v>6960</v>
      </c>
      <c r="O588" s="190">
        <v>5193</v>
      </c>
      <c r="P588" s="190">
        <v>3</v>
      </c>
      <c r="Q588" s="190">
        <v>2025</v>
      </c>
      <c r="R588" s="190">
        <v>2</v>
      </c>
    </row>
    <row r="589" spans="1:18" x14ac:dyDescent="0.2">
      <c r="A589" s="190" t="s">
        <v>48</v>
      </c>
      <c r="B589" s="191" t="s">
        <v>211</v>
      </c>
      <c r="C589" s="191" t="s">
        <v>187</v>
      </c>
      <c r="D589" s="191" t="s">
        <v>4</v>
      </c>
      <c r="E589" s="191" t="s">
        <v>202</v>
      </c>
      <c r="F589" s="190" t="s">
        <v>397</v>
      </c>
      <c r="G589" s="190" t="s">
        <v>203</v>
      </c>
      <c r="H589" s="190" t="s">
        <v>29</v>
      </c>
      <c r="I589" s="191" t="s">
        <v>126</v>
      </c>
      <c r="J589" s="190" t="s">
        <v>376</v>
      </c>
      <c r="K589" s="191" t="s">
        <v>213</v>
      </c>
      <c r="L589" s="192" t="s">
        <v>205</v>
      </c>
      <c r="M589" s="190" t="s">
        <v>210</v>
      </c>
      <c r="N589" s="190">
        <v>12590</v>
      </c>
      <c r="O589" s="190">
        <v>3760</v>
      </c>
      <c r="P589" s="190">
        <v>3</v>
      </c>
      <c r="Q589" s="190">
        <v>2025</v>
      </c>
      <c r="R589" s="190">
        <v>1</v>
      </c>
    </row>
    <row r="590" spans="1:18" x14ac:dyDescent="0.2">
      <c r="A590" s="190" t="s">
        <v>48</v>
      </c>
      <c r="B590" s="191" t="s">
        <v>211</v>
      </c>
      <c r="C590" s="191" t="s">
        <v>187</v>
      </c>
      <c r="D590" s="191" t="s">
        <v>4</v>
      </c>
      <c r="E590" s="191" t="s">
        <v>202</v>
      </c>
      <c r="F590" s="190" t="s">
        <v>397</v>
      </c>
      <c r="G590" s="190" t="s">
        <v>203</v>
      </c>
      <c r="H590" s="190" t="s">
        <v>29</v>
      </c>
      <c r="I590" s="191" t="s">
        <v>494</v>
      </c>
      <c r="J590" s="190" t="s">
        <v>633</v>
      </c>
      <c r="K590" s="191" t="s">
        <v>213</v>
      </c>
      <c r="L590" s="192" t="s">
        <v>205</v>
      </c>
      <c r="M590" s="190" t="s">
        <v>210</v>
      </c>
      <c r="N590" s="190">
        <v>20500</v>
      </c>
      <c r="O590" s="190">
        <v>6700</v>
      </c>
      <c r="P590" s="190">
        <v>3</v>
      </c>
      <c r="Q590" s="190">
        <v>2025</v>
      </c>
      <c r="R590" s="190">
        <v>1</v>
      </c>
    </row>
    <row r="591" spans="1:18" x14ac:dyDescent="0.2">
      <c r="A591" s="190" t="s">
        <v>48</v>
      </c>
      <c r="B591" s="191" t="s">
        <v>211</v>
      </c>
      <c r="C591" s="191" t="s">
        <v>187</v>
      </c>
      <c r="D591" s="191" t="s">
        <v>4</v>
      </c>
      <c r="E591" s="191" t="s">
        <v>202</v>
      </c>
      <c r="F591" s="190" t="s">
        <v>397</v>
      </c>
      <c r="G591" s="190" t="s">
        <v>203</v>
      </c>
      <c r="H591" s="190" t="s">
        <v>19</v>
      </c>
      <c r="I591" s="191" t="s">
        <v>504</v>
      </c>
      <c r="J591" s="190" t="s">
        <v>703</v>
      </c>
      <c r="K591" s="191" t="s">
        <v>204</v>
      </c>
      <c r="L591" s="192" t="s">
        <v>205</v>
      </c>
      <c r="M591" s="190" t="s">
        <v>206</v>
      </c>
      <c r="N591" s="190">
        <v>26600</v>
      </c>
      <c r="O591" s="190">
        <v>7200</v>
      </c>
      <c r="P591" s="190">
        <v>3</v>
      </c>
      <c r="Q591" s="190">
        <v>2025</v>
      </c>
      <c r="R591" s="190">
        <v>1</v>
      </c>
    </row>
    <row r="592" spans="1:18" x14ac:dyDescent="0.2">
      <c r="A592" s="190" t="s">
        <v>48</v>
      </c>
      <c r="B592" s="191" t="s">
        <v>211</v>
      </c>
      <c r="C592" s="191" t="s">
        <v>187</v>
      </c>
      <c r="D592" s="191" t="s">
        <v>4</v>
      </c>
      <c r="E592" s="191" t="s">
        <v>202</v>
      </c>
      <c r="F592" s="190" t="s">
        <v>397</v>
      </c>
      <c r="G592" s="190" t="s">
        <v>203</v>
      </c>
      <c r="H592" s="190" t="s">
        <v>20</v>
      </c>
      <c r="I592" s="191" t="s">
        <v>145</v>
      </c>
      <c r="J592" s="190" t="s">
        <v>145</v>
      </c>
      <c r="K592" s="191" t="s">
        <v>204</v>
      </c>
      <c r="L592" s="192" t="s">
        <v>205</v>
      </c>
      <c r="M592" s="190" t="s">
        <v>206</v>
      </c>
      <c r="N592" s="190">
        <v>26700</v>
      </c>
      <c r="O592" s="190">
        <v>7700</v>
      </c>
      <c r="P592" s="190">
        <v>2</v>
      </c>
      <c r="Q592" s="190">
        <v>2025</v>
      </c>
      <c r="R592" s="190">
        <v>3</v>
      </c>
    </row>
    <row r="593" spans="1:18" x14ac:dyDescent="0.2">
      <c r="A593" s="190" t="s">
        <v>48</v>
      </c>
      <c r="B593" s="191" t="s">
        <v>211</v>
      </c>
      <c r="C593" s="191" t="s">
        <v>187</v>
      </c>
      <c r="D593" s="191" t="s">
        <v>4</v>
      </c>
      <c r="E593" s="191" t="s">
        <v>202</v>
      </c>
      <c r="F593" s="190" t="s">
        <v>705</v>
      </c>
      <c r="G593" s="190" t="s">
        <v>203</v>
      </c>
      <c r="H593" s="190" t="s">
        <v>27</v>
      </c>
      <c r="I593" s="191" t="s">
        <v>365</v>
      </c>
      <c r="J593" s="190" t="s">
        <v>202</v>
      </c>
      <c r="K593" s="191" t="s">
        <v>204</v>
      </c>
      <c r="L593" s="192" t="s">
        <v>205</v>
      </c>
      <c r="M593" s="190" t="s">
        <v>206</v>
      </c>
      <c r="N593" s="190">
        <v>26300</v>
      </c>
      <c r="O593" s="190">
        <v>6871</v>
      </c>
      <c r="P593" s="190">
        <v>2</v>
      </c>
      <c r="Q593" s="190">
        <v>2025</v>
      </c>
      <c r="R593" s="190">
        <v>1</v>
      </c>
    </row>
    <row r="594" spans="1:18" x14ac:dyDescent="0.2">
      <c r="A594" s="190" t="s">
        <v>48</v>
      </c>
      <c r="B594" s="191" t="s">
        <v>211</v>
      </c>
      <c r="C594" s="191" t="s">
        <v>187</v>
      </c>
      <c r="D594" s="191" t="s">
        <v>4</v>
      </c>
      <c r="E594" s="191" t="s">
        <v>202</v>
      </c>
      <c r="F594" s="190" t="s">
        <v>219</v>
      </c>
      <c r="G594" s="190" t="s">
        <v>208</v>
      </c>
      <c r="H594" s="190" t="s">
        <v>65</v>
      </c>
      <c r="I594" s="191" t="s">
        <v>101</v>
      </c>
      <c r="J594" s="190" t="s">
        <v>411</v>
      </c>
      <c r="K594" s="191" t="s">
        <v>221</v>
      </c>
      <c r="L594" s="192" t="s">
        <v>205</v>
      </c>
      <c r="M594" s="190" t="s">
        <v>210</v>
      </c>
      <c r="N594" s="190">
        <v>6499</v>
      </c>
      <c r="O594" s="190">
        <v>2998</v>
      </c>
      <c r="P594" s="190">
        <v>3</v>
      </c>
      <c r="Q594" s="190">
        <v>2025</v>
      </c>
      <c r="R594" s="190">
        <v>1</v>
      </c>
    </row>
    <row r="595" spans="1:18" x14ac:dyDescent="0.2">
      <c r="A595" s="190" t="s">
        <v>48</v>
      </c>
      <c r="B595" s="191" t="s">
        <v>211</v>
      </c>
      <c r="C595" s="191" t="s">
        <v>187</v>
      </c>
      <c r="D595" s="191" t="s">
        <v>4</v>
      </c>
      <c r="E595" s="191" t="s">
        <v>202</v>
      </c>
      <c r="F595" s="190" t="s">
        <v>219</v>
      </c>
      <c r="G595" s="190" t="s">
        <v>208</v>
      </c>
      <c r="H595" s="190" t="s">
        <v>65</v>
      </c>
      <c r="I595" s="191" t="s">
        <v>101</v>
      </c>
      <c r="J595" s="190" t="s">
        <v>415</v>
      </c>
      <c r="K595" s="191" t="s">
        <v>221</v>
      </c>
      <c r="L595" s="192" t="s">
        <v>205</v>
      </c>
      <c r="M595" s="190" t="s">
        <v>210</v>
      </c>
      <c r="N595" s="190">
        <v>8550</v>
      </c>
      <c r="O595" s="190">
        <v>2998</v>
      </c>
      <c r="P595" s="190">
        <v>3</v>
      </c>
      <c r="Q595" s="190">
        <v>2025</v>
      </c>
      <c r="R595" s="190">
        <v>1</v>
      </c>
    </row>
    <row r="596" spans="1:18" x14ac:dyDescent="0.2">
      <c r="A596" s="190" t="s">
        <v>48</v>
      </c>
      <c r="B596" s="191" t="s">
        <v>211</v>
      </c>
      <c r="C596" s="191" t="s">
        <v>187</v>
      </c>
      <c r="D596" s="191" t="s">
        <v>4</v>
      </c>
      <c r="E596" s="191" t="s">
        <v>202</v>
      </c>
      <c r="F596" s="190" t="s">
        <v>219</v>
      </c>
      <c r="G596" s="190" t="s">
        <v>203</v>
      </c>
      <c r="H596" s="190" t="s">
        <v>40</v>
      </c>
      <c r="I596" s="191" t="s">
        <v>462</v>
      </c>
      <c r="J596" s="190" t="s">
        <v>745</v>
      </c>
      <c r="K596" s="191" t="s">
        <v>213</v>
      </c>
      <c r="L596" s="192" t="s">
        <v>205</v>
      </c>
      <c r="M596" s="190" t="s">
        <v>206</v>
      </c>
      <c r="N596" s="190">
        <v>41000</v>
      </c>
      <c r="O596" s="190">
        <v>11600</v>
      </c>
      <c r="P596" s="190">
        <v>2</v>
      </c>
      <c r="Q596" s="190">
        <v>2025</v>
      </c>
      <c r="R596" s="190">
        <v>1</v>
      </c>
    </row>
    <row r="597" spans="1:18" x14ac:dyDescent="0.2">
      <c r="A597" s="190" t="s">
        <v>48</v>
      </c>
      <c r="B597" s="191" t="s">
        <v>211</v>
      </c>
      <c r="C597" s="191" t="s">
        <v>187</v>
      </c>
      <c r="D597" s="191" t="s">
        <v>4</v>
      </c>
      <c r="E597" s="191" t="s">
        <v>202</v>
      </c>
      <c r="F597" s="190" t="s">
        <v>219</v>
      </c>
      <c r="G597" s="190" t="s">
        <v>203</v>
      </c>
      <c r="H597" s="190" t="s">
        <v>449</v>
      </c>
      <c r="I597" s="191" t="s">
        <v>491</v>
      </c>
      <c r="J597" s="190" t="s">
        <v>491</v>
      </c>
      <c r="K597" s="191" t="s">
        <v>621</v>
      </c>
      <c r="L597" s="192" t="s">
        <v>205</v>
      </c>
      <c r="M597" s="190" t="s">
        <v>206</v>
      </c>
      <c r="N597" s="190">
        <v>54000</v>
      </c>
      <c r="O597" s="190">
        <v>12882</v>
      </c>
      <c r="P597" s="190">
        <v>2</v>
      </c>
      <c r="Q597" s="190">
        <v>2025</v>
      </c>
      <c r="R597" s="190">
        <v>2</v>
      </c>
    </row>
    <row r="598" spans="1:18" x14ac:dyDescent="0.2">
      <c r="A598" s="190" t="s">
        <v>48</v>
      </c>
      <c r="B598" s="191" t="s">
        <v>211</v>
      </c>
      <c r="C598" s="191" t="s">
        <v>187</v>
      </c>
      <c r="D598" s="191" t="s">
        <v>4</v>
      </c>
      <c r="E598" s="191" t="s">
        <v>202</v>
      </c>
      <c r="F598" s="190" t="s">
        <v>219</v>
      </c>
      <c r="G598" s="190" t="s">
        <v>203</v>
      </c>
      <c r="H598" s="190" t="s">
        <v>19</v>
      </c>
      <c r="I598" s="191" t="s">
        <v>283</v>
      </c>
      <c r="J598" s="190" t="s">
        <v>283</v>
      </c>
      <c r="K598" s="191" t="s">
        <v>240</v>
      </c>
      <c r="L598" s="192" t="s">
        <v>205</v>
      </c>
      <c r="M598" s="190" t="s">
        <v>206</v>
      </c>
      <c r="N598" s="190">
        <v>41000</v>
      </c>
      <c r="O598" s="190">
        <v>12809</v>
      </c>
      <c r="P598" s="190">
        <v>2</v>
      </c>
      <c r="Q598" s="190">
        <v>2025</v>
      </c>
      <c r="R598" s="190">
        <v>3</v>
      </c>
    </row>
    <row r="599" spans="1:18" x14ac:dyDescent="0.2">
      <c r="A599" s="190" t="s">
        <v>48</v>
      </c>
      <c r="B599" s="191" t="s">
        <v>211</v>
      </c>
      <c r="C599" s="191" t="s">
        <v>187</v>
      </c>
      <c r="D599" s="191" t="s">
        <v>4</v>
      </c>
      <c r="E599" s="191" t="s">
        <v>202</v>
      </c>
      <c r="F599" s="190" t="s">
        <v>219</v>
      </c>
      <c r="G599" s="190" t="s">
        <v>203</v>
      </c>
      <c r="H599" s="190" t="s">
        <v>19</v>
      </c>
      <c r="I599" s="191" t="s">
        <v>505</v>
      </c>
      <c r="J599" s="190" t="s">
        <v>505</v>
      </c>
      <c r="K599" s="191" t="s">
        <v>240</v>
      </c>
      <c r="L599" s="192" t="s">
        <v>205</v>
      </c>
      <c r="M599" s="190" t="s">
        <v>218</v>
      </c>
      <c r="N599" s="190">
        <v>48000</v>
      </c>
      <c r="O599" s="190">
        <v>12800</v>
      </c>
      <c r="P599" s="190">
        <v>2</v>
      </c>
      <c r="Q599" s="190">
        <v>2025</v>
      </c>
      <c r="R599" s="190">
        <v>1</v>
      </c>
    </row>
    <row r="600" spans="1:18" x14ac:dyDescent="0.2">
      <c r="A600" s="190" t="s">
        <v>48</v>
      </c>
      <c r="B600" s="191" t="s">
        <v>211</v>
      </c>
      <c r="C600" s="191" t="s">
        <v>187</v>
      </c>
      <c r="D600" s="191" t="s">
        <v>4</v>
      </c>
      <c r="E600" s="191" t="s">
        <v>202</v>
      </c>
      <c r="F600" s="190" t="s">
        <v>219</v>
      </c>
      <c r="G600" s="190" t="s">
        <v>203</v>
      </c>
      <c r="H600" s="190" t="s">
        <v>19</v>
      </c>
      <c r="I600" s="191" t="s">
        <v>505</v>
      </c>
      <c r="J600" s="190" t="s">
        <v>648</v>
      </c>
      <c r="K600" s="191" t="s">
        <v>240</v>
      </c>
      <c r="L600" s="192" t="s">
        <v>205</v>
      </c>
      <c r="M600" s="190" t="s">
        <v>218</v>
      </c>
      <c r="N600" s="190">
        <v>48000</v>
      </c>
      <c r="O600" s="190">
        <v>12800</v>
      </c>
      <c r="P600" s="190">
        <v>2</v>
      </c>
      <c r="Q600" s="190">
        <v>2025</v>
      </c>
      <c r="R600" s="190">
        <v>7</v>
      </c>
    </row>
    <row r="601" spans="1:18" x14ac:dyDescent="0.2">
      <c r="A601" s="190" t="s">
        <v>48</v>
      </c>
      <c r="B601" s="191" t="s">
        <v>211</v>
      </c>
      <c r="C601" s="191" t="s">
        <v>187</v>
      </c>
      <c r="D601" s="191" t="s">
        <v>4</v>
      </c>
      <c r="E601" s="191" t="s">
        <v>202</v>
      </c>
      <c r="F601" s="190" t="s">
        <v>219</v>
      </c>
      <c r="G601" s="190" t="s">
        <v>203</v>
      </c>
      <c r="H601" s="190" t="s">
        <v>25</v>
      </c>
      <c r="I601" s="191" t="s">
        <v>506</v>
      </c>
      <c r="J601" s="190" t="s">
        <v>640</v>
      </c>
      <c r="K601" s="191" t="s">
        <v>204</v>
      </c>
      <c r="L601" s="192" t="s">
        <v>205</v>
      </c>
      <c r="M601" s="190" t="s">
        <v>206</v>
      </c>
      <c r="N601" s="190">
        <v>41000</v>
      </c>
      <c r="O601" s="190">
        <v>12700</v>
      </c>
      <c r="P601" s="190">
        <v>2</v>
      </c>
      <c r="Q601" s="190">
        <v>2024</v>
      </c>
      <c r="R601" s="190">
        <v>1</v>
      </c>
    </row>
    <row r="602" spans="1:18" x14ac:dyDescent="0.2">
      <c r="A602" s="190" t="s">
        <v>48</v>
      </c>
      <c r="B602" s="191" t="s">
        <v>211</v>
      </c>
      <c r="C602" s="191" t="s">
        <v>187</v>
      </c>
      <c r="D602" s="191" t="s">
        <v>4</v>
      </c>
      <c r="E602" s="191" t="s">
        <v>202</v>
      </c>
      <c r="F602" s="190" t="s">
        <v>219</v>
      </c>
      <c r="G602" s="190" t="s">
        <v>203</v>
      </c>
      <c r="H602" s="190" t="s">
        <v>25</v>
      </c>
      <c r="I602" s="191" t="s">
        <v>363</v>
      </c>
      <c r="J602" s="190" t="s">
        <v>377</v>
      </c>
      <c r="K602" s="191" t="s">
        <v>204</v>
      </c>
      <c r="L602" s="192" t="s">
        <v>205</v>
      </c>
      <c r="M602" s="190" t="s">
        <v>206</v>
      </c>
      <c r="N602" s="190">
        <v>49000</v>
      </c>
      <c r="O602" s="190">
        <v>12700</v>
      </c>
      <c r="P602" s="190">
        <v>2</v>
      </c>
      <c r="Q602" s="190">
        <v>2025</v>
      </c>
      <c r="R602" s="190">
        <v>1</v>
      </c>
    </row>
    <row r="603" spans="1:18" x14ac:dyDescent="0.2">
      <c r="A603" s="190" t="s">
        <v>48</v>
      </c>
      <c r="B603" s="191" t="s">
        <v>211</v>
      </c>
      <c r="C603" s="191" t="s">
        <v>187</v>
      </c>
      <c r="D603" s="191" t="s">
        <v>4</v>
      </c>
      <c r="E603" s="191" t="s">
        <v>202</v>
      </c>
      <c r="F603" s="190" t="s">
        <v>219</v>
      </c>
      <c r="G603" s="190" t="s">
        <v>203</v>
      </c>
      <c r="H603" s="190" t="s">
        <v>25</v>
      </c>
      <c r="I603" s="191" t="s">
        <v>361</v>
      </c>
      <c r="J603" s="190" t="s">
        <v>379</v>
      </c>
      <c r="K603" s="191" t="s">
        <v>204</v>
      </c>
      <c r="L603" s="192" t="s">
        <v>205</v>
      </c>
      <c r="M603" s="190" t="s">
        <v>218</v>
      </c>
      <c r="N603" s="190">
        <v>60000</v>
      </c>
      <c r="O603" s="190">
        <v>12700</v>
      </c>
      <c r="P603" s="190">
        <v>2</v>
      </c>
      <c r="Q603" s="190">
        <v>2025</v>
      </c>
      <c r="R603" s="190">
        <v>14</v>
      </c>
    </row>
    <row r="604" spans="1:18" x14ac:dyDescent="0.2">
      <c r="A604" s="190" t="s">
        <v>48</v>
      </c>
      <c r="B604" s="191" t="s">
        <v>211</v>
      </c>
      <c r="C604" s="191" t="s">
        <v>187</v>
      </c>
      <c r="D604" s="191" t="s">
        <v>4</v>
      </c>
      <c r="E604" s="191" t="s">
        <v>202</v>
      </c>
      <c r="F604" s="190" t="s">
        <v>219</v>
      </c>
      <c r="G604" s="190" t="s">
        <v>203</v>
      </c>
      <c r="H604" s="190" t="s">
        <v>20</v>
      </c>
      <c r="I604" s="191" t="s">
        <v>141</v>
      </c>
      <c r="J604" s="190" t="s">
        <v>141</v>
      </c>
      <c r="K604" s="191" t="s">
        <v>204</v>
      </c>
      <c r="L604" s="192" t="s">
        <v>205</v>
      </c>
      <c r="M604" s="190" t="s">
        <v>206</v>
      </c>
      <c r="N604" s="190">
        <v>44000</v>
      </c>
      <c r="O604" s="190">
        <v>12800</v>
      </c>
      <c r="P604" s="190">
        <v>2</v>
      </c>
      <c r="Q604" s="190">
        <v>2025</v>
      </c>
      <c r="R604" s="190">
        <v>18</v>
      </c>
    </row>
    <row r="605" spans="1:18" x14ac:dyDescent="0.2">
      <c r="A605" s="190" t="s">
        <v>48</v>
      </c>
      <c r="B605" s="191" t="s">
        <v>211</v>
      </c>
      <c r="C605" s="191" t="s">
        <v>187</v>
      </c>
      <c r="D605" s="191" t="s">
        <v>4</v>
      </c>
      <c r="E605" s="191" t="s">
        <v>202</v>
      </c>
      <c r="F605" s="190" t="s">
        <v>219</v>
      </c>
      <c r="G605" s="190" t="s">
        <v>203</v>
      </c>
      <c r="H605" s="190" t="s">
        <v>20</v>
      </c>
      <c r="I605" s="191" t="s">
        <v>141</v>
      </c>
      <c r="J605" s="190" t="s">
        <v>141</v>
      </c>
      <c r="K605" s="191" t="s">
        <v>368</v>
      </c>
      <c r="L605" s="192" t="s">
        <v>205</v>
      </c>
      <c r="M605" s="190" t="s">
        <v>206</v>
      </c>
      <c r="N605" s="190">
        <v>44000</v>
      </c>
      <c r="O605" s="190">
        <v>12800</v>
      </c>
      <c r="P605" s="190">
        <v>2</v>
      </c>
      <c r="Q605" s="190">
        <v>2025</v>
      </c>
      <c r="R605" s="190">
        <v>9</v>
      </c>
    </row>
    <row r="606" spans="1:18" x14ac:dyDescent="0.2">
      <c r="A606" s="190" t="s">
        <v>48</v>
      </c>
      <c r="B606" s="191" t="s">
        <v>211</v>
      </c>
      <c r="C606" s="191" t="s">
        <v>187</v>
      </c>
      <c r="D606" s="191" t="s">
        <v>4</v>
      </c>
      <c r="E606" s="191" t="s">
        <v>202</v>
      </c>
      <c r="F606" s="190" t="s">
        <v>219</v>
      </c>
      <c r="G606" s="190" t="s">
        <v>203</v>
      </c>
      <c r="H606" s="190" t="s">
        <v>20</v>
      </c>
      <c r="I606" s="191" t="s">
        <v>142</v>
      </c>
      <c r="J606" s="190" t="s">
        <v>142</v>
      </c>
      <c r="K606" s="191" t="s">
        <v>204</v>
      </c>
      <c r="L606" s="192" t="s">
        <v>205</v>
      </c>
      <c r="M606" s="190" t="s">
        <v>218</v>
      </c>
      <c r="N606" s="190">
        <v>48000</v>
      </c>
      <c r="O606" s="190">
        <v>12800</v>
      </c>
      <c r="P606" s="190">
        <v>2</v>
      </c>
      <c r="Q606" s="190">
        <v>2025</v>
      </c>
      <c r="R606" s="190">
        <v>1</v>
      </c>
    </row>
    <row r="607" spans="1:18" x14ac:dyDescent="0.2">
      <c r="A607" s="190" t="s">
        <v>48</v>
      </c>
      <c r="B607" s="191" t="s">
        <v>211</v>
      </c>
      <c r="C607" s="191" t="s">
        <v>187</v>
      </c>
      <c r="D607" s="191" t="s">
        <v>4</v>
      </c>
      <c r="E607" s="191" t="s">
        <v>202</v>
      </c>
      <c r="F607" s="190" t="s">
        <v>219</v>
      </c>
      <c r="G607" s="190" t="s">
        <v>203</v>
      </c>
      <c r="H607" s="190" t="s">
        <v>20</v>
      </c>
      <c r="I607" s="191" t="s">
        <v>142</v>
      </c>
      <c r="J607" s="190" t="s">
        <v>142</v>
      </c>
      <c r="K607" s="191" t="s">
        <v>204</v>
      </c>
      <c r="L607" s="192" t="s">
        <v>205</v>
      </c>
      <c r="M607" s="190" t="s">
        <v>218</v>
      </c>
      <c r="N607" s="190">
        <v>52000</v>
      </c>
      <c r="O607" s="190">
        <v>12800</v>
      </c>
      <c r="P607" s="190">
        <v>2</v>
      </c>
      <c r="Q607" s="190">
        <v>2025</v>
      </c>
      <c r="R607" s="190">
        <v>6</v>
      </c>
    </row>
    <row r="608" spans="1:18" x14ac:dyDescent="0.2">
      <c r="A608" s="190" t="s">
        <v>48</v>
      </c>
      <c r="B608" s="191" t="s">
        <v>211</v>
      </c>
      <c r="C608" s="191" t="s">
        <v>187</v>
      </c>
      <c r="D608" s="191" t="s">
        <v>4</v>
      </c>
      <c r="E608" s="191" t="s">
        <v>202</v>
      </c>
      <c r="F608" s="190" t="s">
        <v>219</v>
      </c>
      <c r="G608" s="190" t="s">
        <v>203</v>
      </c>
      <c r="H608" s="190" t="s">
        <v>20</v>
      </c>
      <c r="I608" s="191" t="s">
        <v>142</v>
      </c>
      <c r="J608" s="190" t="s">
        <v>142</v>
      </c>
      <c r="K608" s="191" t="s">
        <v>204</v>
      </c>
      <c r="L608" s="192" t="s">
        <v>205</v>
      </c>
      <c r="M608" s="190" t="s">
        <v>218</v>
      </c>
      <c r="N608" s="190">
        <v>58000</v>
      </c>
      <c r="O608" s="190">
        <v>12800</v>
      </c>
      <c r="P608" s="190">
        <v>2</v>
      </c>
      <c r="Q608" s="190">
        <v>2025</v>
      </c>
      <c r="R608" s="190">
        <v>31</v>
      </c>
    </row>
    <row r="609" spans="1:18" x14ac:dyDescent="0.2">
      <c r="A609" s="190" t="s">
        <v>48</v>
      </c>
      <c r="B609" s="191" t="s">
        <v>211</v>
      </c>
      <c r="C609" s="191" t="s">
        <v>187</v>
      </c>
      <c r="D609" s="191" t="s">
        <v>4</v>
      </c>
      <c r="E609" s="191" t="s">
        <v>202</v>
      </c>
      <c r="F609" s="190" t="s">
        <v>219</v>
      </c>
      <c r="G609" s="190" t="s">
        <v>203</v>
      </c>
      <c r="H609" s="190" t="s">
        <v>20</v>
      </c>
      <c r="I609" s="191" t="s">
        <v>142</v>
      </c>
      <c r="J609" s="190" t="s">
        <v>142</v>
      </c>
      <c r="K609" s="191" t="s">
        <v>368</v>
      </c>
      <c r="L609" s="192" t="s">
        <v>205</v>
      </c>
      <c r="M609" s="190" t="s">
        <v>218</v>
      </c>
      <c r="N609" s="190">
        <v>52000</v>
      </c>
      <c r="O609" s="190">
        <v>12800</v>
      </c>
      <c r="P609" s="190">
        <v>2</v>
      </c>
      <c r="Q609" s="190">
        <v>2025</v>
      </c>
      <c r="R609" s="190">
        <v>2</v>
      </c>
    </row>
    <row r="610" spans="1:18" x14ac:dyDescent="0.2">
      <c r="A610" s="190" t="s">
        <v>48</v>
      </c>
      <c r="B610" s="191" t="s">
        <v>211</v>
      </c>
      <c r="C610" s="191" t="s">
        <v>187</v>
      </c>
      <c r="D610" s="191" t="s">
        <v>6</v>
      </c>
      <c r="E610" s="191" t="s">
        <v>243</v>
      </c>
      <c r="F610" s="190" t="s">
        <v>243</v>
      </c>
      <c r="G610" s="190" t="s">
        <v>203</v>
      </c>
      <c r="H610" s="190" t="s">
        <v>30</v>
      </c>
      <c r="I610" s="191" t="s">
        <v>441</v>
      </c>
      <c r="J610" s="190" t="s">
        <v>443</v>
      </c>
      <c r="K610" s="191" t="s">
        <v>213</v>
      </c>
      <c r="L610" s="192" t="s">
        <v>205</v>
      </c>
      <c r="M610" s="190" t="s">
        <v>206</v>
      </c>
      <c r="N610" s="190">
        <v>48000</v>
      </c>
      <c r="O610" s="190">
        <v>12980</v>
      </c>
      <c r="P610" s="190">
        <v>2</v>
      </c>
      <c r="Q610" s="190">
        <v>2025</v>
      </c>
      <c r="R610" s="190">
        <v>1</v>
      </c>
    </row>
    <row r="611" spans="1:18" x14ac:dyDescent="0.2">
      <c r="A611" s="190" t="s">
        <v>48</v>
      </c>
      <c r="B611" s="191" t="s">
        <v>211</v>
      </c>
      <c r="C611" s="191" t="s">
        <v>187</v>
      </c>
      <c r="D611" s="191" t="s">
        <v>6</v>
      </c>
      <c r="E611" s="191" t="s">
        <v>243</v>
      </c>
      <c r="F611" s="190" t="s">
        <v>243</v>
      </c>
      <c r="G611" s="190" t="s">
        <v>203</v>
      </c>
      <c r="H611" s="190" t="s">
        <v>40</v>
      </c>
      <c r="I611" s="191" t="s">
        <v>321</v>
      </c>
      <c r="J611" s="190" t="s">
        <v>706</v>
      </c>
      <c r="K611" s="191" t="s">
        <v>213</v>
      </c>
      <c r="L611" s="192" t="s">
        <v>247</v>
      </c>
      <c r="M611" s="190" t="s">
        <v>206</v>
      </c>
      <c r="N611" s="190">
        <v>33000</v>
      </c>
      <c r="O611" s="190">
        <v>12540</v>
      </c>
      <c r="P611" s="190">
        <v>2</v>
      </c>
      <c r="Q611" s="190">
        <v>2025</v>
      </c>
      <c r="R611" s="190">
        <v>2</v>
      </c>
    </row>
    <row r="612" spans="1:18" x14ac:dyDescent="0.2">
      <c r="A612" s="190" t="s">
        <v>48</v>
      </c>
      <c r="B612" s="191" t="s">
        <v>211</v>
      </c>
      <c r="C612" s="191" t="s">
        <v>187</v>
      </c>
      <c r="D612" s="191" t="s">
        <v>6</v>
      </c>
      <c r="E612" s="191" t="s">
        <v>243</v>
      </c>
      <c r="F612" s="190" t="s">
        <v>243</v>
      </c>
      <c r="G612" s="190" t="s">
        <v>203</v>
      </c>
      <c r="H612" s="190" t="s">
        <v>40</v>
      </c>
      <c r="I612" s="191" t="s">
        <v>321</v>
      </c>
      <c r="J612" s="190" t="s">
        <v>345</v>
      </c>
      <c r="K612" s="191" t="s">
        <v>213</v>
      </c>
      <c r="L612" s="192" t="s">
        <v>247</v>
      </c>
      <c r="M612" s="190" t="s">
        <v>206</v>
      </c>
      <c r="N612" s="190">
        <v>33000</v>
      </c>
      <c r="O612" s="190">
        <v>11600</v>
      </c>
      <c r="P612" s="190">
        <v>2</v>
      </c>
      <c r="Q612" s="190">
        <v>2023</v>
      </c>
      <c r="R612" s="190">
        <v>2</v>
      </c>
    </row>
    <row r="613" spans="1:18" x14ac:dyDescent="0.2">
      <c r="A613" s="190" t="s">
        <v>48</v>
      </c>
      <c r="B613" s="191" t="s">
        <v>211</v>
      </c>
      <c r="C613" s="191" t="s">
        <v>187</v>
      </c>
      <c r="D613" s="191" t="s">
        <v>6</v>
      </c>
      <c r="E613" s="191" t="s">
        <v>243</v>
      </c>
      <c r="F613" s="190" t="s">
        <v>243</v>
      </c>
      <c r="G613" s="190" t="s">
        <v>203</v>
      </c>
      <c r="H613" s="190" t="s">
        <v>40</v>
      </c>
      <c r="I613" s="191" t="s">
        <v>545</v>
      </c>
      <c r="J613" s="190" t="s">
        <v>402</v>
      </c>
      <c r="K613" s="191" t="s">
        <v>213</v>
      </c>
      <c r="L613" s="192" t="s">
        <v>205</v>
      </c>
      <c r="M613" s="190" t="s">
        <v>206</v>
      </c>
      <c r="N613" s="190">
        <v>33000</v>
      </c>
      <c r="O613" s="190">
        <v>10500</v>
      </c>
      <c r="P613" s="190">
        <v>2</v>
      </c>
      <c r="Q613" s="190">
        <v>2022</v>
      </c>
      <c r="R613" s="190">
        <v>1</v>
      </c>
    </row>
    <row r="614" spans="1:18" x14ac:dyDescent="0.2">
      <c r="A614" s="190" t="s">
        <v>48</v>
      </c>
      <c r="B614" s="191" t="s">
        <v>211</v>
      </c>
      <c r="C614" s="191" t="s">
        <v>187</v>
      </c>
      <c r="D614" s="191" t="s">
        <v>6</v>
      </c>
      <c r="E614" s="191" t="s">
        <v>243</v>
      </c>
      <c r="F614" s="190" t="s">
        <v>243</v>
      </c>
      <c r="G614" s="190" t="s">
        <v>203</v>
      </c>
      <c r="H614" s="190" t="s">
        <v>40</v>
      </c>
      <c r="I614" s="191" t="s">
        <v>546</v>
      </c>
      <c r="J614" s="190" t="s">
        <v>746</v>
      </c>
      <c r="K614" s="191" t="s">
        <v>213</v>
      </c>
      <c r="L614" s="192" t="s">
        <v>205</v>
      </c>
      <c r="M614" s="190" t="s">
        <v>206</v>
      </c>
      <c r="N614" s="190">
        <v>33000</v>
      </c>
      <c r="O614" s="190">
        <v>12540</v>
      </c>
      <c r="P614" s="190">
        <v>2</v>
      </c>
      <c r="Q614" s="190">
        <v>2025</v>
      </c>
      <c r="R614" s="190">
        <v>1</v>
      </c>
    </row>
    <row r="615" spans="1:18" x14ac:dyDescent="0.2">
      <c r="A615" s="190" t="s">
        <v>48</v>
      </c>
      <c r="B615" s="191" t="s">
        <v>211</v>
      </c>
      <c r="C615" s="191" t="s">
        <v>187</v>
      </c>
      <c r="D615" s="191" t="s">
        <v>6</v>
      </c>
      <c r="E615" s="191" t="s">
        <v>243</v>
      </c>
      <c r="F615" s="190" t="s">
        <v>243</v>
      </c>
      <c r="G615" s="190" t="s">
        <v>203</v>
      </c>
      <c r="H615" s="190" t="s">
        <v>40</v>
      </c>
      <c r="I615" s="191" t="s">
        <v>547</v>
      </c>
      <c r="J615" s="190" t="s">
        <v>294</v>
      </c>
      <c r="K615" s="191" t="s">
        <v>213</v>
      </c>
      <c r="L615" s="192" t="s">
        <v>205</v>
      </c>
      <c r="M615" s="190" t="s">
        <v>206</v>
      </c>
      <c r="N615" s="190">
        <v>25000</v>
      </c>
      <c r="O615" s="190">
        <v>12560</v>
      </c>
      <c r="P615" s="190">
        <v>2</v>
      </c>
      <c r="Q615" s="190">
        <v>2024</v>
      </c>
      <c r="R615" s="190">
        <v>1</v>
      </c>
    </row>
    <row r="616" spans="1:18" x14ac:dyDescent="0.2">
      <c r="A616" s="190" t="s">
        <v>48</v>
      </c>
      <c r="B616" s="191" t="s">
        <v>211</v>
      </c>
      <c r="C616" s="191" t="s">
        <v>187</v>
      </c>
      <c r="D616" s="191" t="s">
        <v>6</v>
      </c>
      <c r="E616" s="191" t="s">
        <v>243</v>
      </c>
      <c r="F616" s="190" t="s">
        <v>243</v>
      </c>
      <c r="G616" s="190" t="s">
        <v>203</v>
      </c>
      <c r="H616" s="190" t="s">
        <v>40</v>
      </c>
      <c r="I616" s="191" t="s">
        <v>548</v>
      </c>
      <c r="J616" s="190" t="s">
        <v>707</v>
      </c>
      <c r="K616" s="191" t="s">
        <v>213</v>
      </c>
      <c r="L616" s="192" t="s">
        <v>247</v>
      </c>
      <c r="M616" s="190" t="s">
        <v>206</v>
      </c>
      <c r="N616" s="190">
        <v>33000</v>
      </c>
      <c r="O616" s="190">
        <v>12540</v>
      </c>
      <c r="P616" s="190">
        <v>2</v>
      </c>
      <c r="Q616" s="190">
        <v>2025</v>
      </c>
      <c r="R616" s="190">
        <v>11</v>
      </c>
    </row>
    <row r="617" spans="1:18" x14ac:dyDescent="0.2">
      <c r="A617" s="190" t="s">
        <v>48</v>
      </c>
      <c r="B617" s="191" t="s">
        <v>211</v>
      </c>
      <c r="C617" s="191" t="s">
        <v>187</v>
      </c>
      <c r="D617" s="191" t="s">
        <v>6</v>
      </c>
      <c r="E617" s="191" t="s">
        <v>243</v>
      </c>
      <c r="F617" s="190" t="s">
        <v>243</v>
      </c>
      <c r="G617" s="190" t="s">
        <v>203</v>
      </c>
      <c r="H617" s="190" t="s">
        <v>40</v>
      </c>
      <c r="I617" s="191" t="s">
        <v>549</v>
      </c>
      <c r="J617" s="190" t="s">
        <v>649</v>
      </c>
      <c r="K617" s="191" t="s">
        <v>213</v>
      </c>
      <c r="L617" s="192" t="s">
        <v>347</v>
      </c>
      <c r="M617" s="190" t="s">
        <v>206</v>
      </c>
      <c r="N617" s="190">
        <v>33000</v>
      </c>
      <c r="O617" s="190">
        <v>12540</v>
      </c>
      <c r="P617" s="190">
        <v>2</v>
      </c>
      <c r="Q617" s="190">
        <v>2025</v>
      </c>
      <c r="R617" s="190">
        <v>1</v>
      </c>
    </row>
    <row r="618" spans="1:18" x14ac:dyDescent="0.2">
      <c r="A618" s="190" t="s">
        <v>48</v>
      </c>
      <c r="B618" s="191" t="s">
        <v>211</v>
      </c>
      <c r="C618" s="191" t="s">
        <v>187</v>
      </c>
      <c r="D618" s="191" t="s">
        <v>6</v>
      </c>
      <c r="E618" s="191" t="s">
        <v>243</v>
      </c>
      <c r="F618" s="190" t="s">
        <v>243</v>
      </c>
      <c r="G618" s="190" t="s">
        <v>203</v>
      </c>
      <c r="H618" s="190" t="s">
        <v>23</v>
      </c>
      <c r="I618" s="191" t="s">
        <v>149</v>
      </c>
      <c r="J618" s="190" t="s">
        <v>149</v>
      </c>
      <c r="K618" s="191" t="s">
        <v>213</v>
      </c>
      <c r="L618" s="192" t="s">
        <v>205</v>
      </c>
      <c r="M618" s="190" t="s">
        <v>206</v>
      </c>
      <c r="N618" s="190">
        <v>25000</v>
      </c>
      <c r="O618" s="190">
        <v>11800</v>
      </c>
      <c r="P618" s="190">
        <v>2</v>
      </c>
      <c r="Q618" s="190">
        <v>2023</v>
      </c>
      <c r="R618" s="190">
        <v>7</v>
      </c>
    </row>
    <row r="619" spans="1:18" x14ac:dyDescent="0.2">
      <c r="A619" s="190" t="s">
        <v>48</v>
      </c>
      <c r="B619" s="191" t="s">
        <v>211</v>
      </c>
      <c r="C619" s="191" t="s">
        <v>187</v>
      </c>
      <c r="D619" s="191" t="s">
        <v>6</v>
      </c>
      <c r="E619" s="191" t="s">
        <v>243</v>
      </c>
      <c r="F619" s="190" t="s">
        <v>243</v>
      </c>
      <c r="G619" s="190" t="s">
        <v>203</v>
      </c>
      <c r="H619" s="190" t="s">
        <v>23</v>
      </c>
      <c r="I619" s="191" t="s">
        <v>149</v>
      </c>
      <c r="J619" s="190" t="s">
        <v>149</v>
      </c>
      <c r="K619" s="191" t="s">
        <v>213</v>
      </c>
      <c r="L619" s="192" t="s">
        <v>205</v>
      </c>
      <c r="M619" s="190" t="s">
        <v>206</v>
      </c>
      <c r="N619" s="190">
        <v>25000</v>
      </c>
      <c r="O619" s="190">
        <v>11800</v>
      </c>
      <c r="P619" s="190">
        <v>2</v>
      </c>
      <c r="Q619" s="190">
        <v>2024</v>
      </c>
      <c r="R619" s="190">
        <v>7</v>
      </c>
    </row>
    <row r="620" spans="1:18" x14ac:dyDescent="0.2">
      <c r="A620" s="190" t="s">
        <v>48</v>
      </c>
      <c r="B620" s="191" t="s">
        <v>211</v>
      </c>
      <c r="C620" s="191" t="s">
        <v>187</v>
      </c>
      <c r="D620" s="191" t="s">
        <v>6</v>
      </c>
      <c r="E620" s="191" t="s">
        <v>243</v>
      </c>
      <c r="F620" s="190" t="s">
        <v>243</v>
      </c>
      <c r="G620" s="190" t="s">
        <v>203</v>
      </c>
      <c r="H620" s="190" t="s">
        <v>23</v>
      </c>
      <c r="I620" s="191" t="s">
        <v>149</v>
      </c>
      <c r="J620" s="190" t="s">
        <v>149</v>
      </c>
      <c r="K620" s="191" t="s">
        <v>213</v>
      </c>
      <c r="L620" s="192" t="s">
        <v>205</v>
      </c>
      <c r="M620" s="190" t="s">
        <v>206</v>
      </c>
      <c r="N620" s="190">
        <v>25000</v>
      </c>
      <c r="O620" s="190">
        <v>12900</v>
      </c>
      <c r="P620" s="190">
        <v>2</v>
      </c>
      <c r="Q620" s="190">
        <v>2025</v>
      </c>
      <c r="R620" s="190">
        <v>5</v>
      </c>
    </row>
    <row r="621" spans="1:18" x14ac:dyDescent="0.2">
      <c r="A621" s="190" t="s">
        <v>48</v>
      </c>
      <c r="B621" s="191" t="s">
        <v>211</v>
      </c>
      <c r="C621" s="191" t="s">
        <v>187</v>
      </c>
      <c r="D621" s="191" t="s">
        <v>6</v>
      </c>
      <c r="E621" s="191" t="s">
        <v>243</v>
      </c>
      <c r="F621" s="190" t="s">
        <v>243</v>
      </c>
      <c r="G621" s="190" t="s">
        <v>203</v>
      </c>
      <c r="H621" s="190" t="s">
        <v>23</v>
      </c>
      <c r="I621" s="191" t="s">
        <v>149</v>
      </c>
      <c r="J621" s="190" t="s">
        <v>747</v>
      </c>
      <c r="K621" s="191" t="s">
        <v>213</v>
      </c>
      <c r="L621" s="192" t="s">
        <v>205</v>
      </c>
      <c r="M621" s="190" t="s">
        <v>206</v>
      </c>
      <c r="N621" s="190">
        <v>25000</v>
      </c>
      <c r="O621" s="190">
        <v>12900</v>
      </c>
      <c r="P621" s="190">
        <v>2</v>
      </c>
      <c r="Q621" s="190">
        <v>2025</v>
      </c>
      <c r="R621" s="190">
        <v>3</v>
      </c>
    </row>
    <row r="622" spans="1:18" x14ac:dyDescent="0.2">
      <c r="A622" s="190" t="s">
        <v>48</v>
      </c>
      <c r="B622" s="191" t="s">
        <v>211</v>
      </c>
      <c r="C622" s="191" t="s">
        <v>187</v>
      </c>
      <c r="D622" s="191" t="s">
        <v>6</v>
      </c>
      <c r="E622" s="191" t="s">
        <v>243</v>
      </c>
      <c r="F622" s="190" t="s">
        <v>243</v>
      </c>
      <c r="G622" s="190" t="s">
        <v>203</v>
      </c>
      <c r="H622" s="190" t="s">
        <v>23</v>
      </c>
      <c r="I622" s="191" t="s">
        <v>550</v>
      </c>
      <c r="J622" s="190" t="s">
        <v>550</v>
      </c>
      <c r="K622" s="191" t="s">
        <v>213</v>
      </c>
      <c r="L622" s="192" t="s">
        <v>205</v>
      </c>
      <c r="M622" s="190" t="s">
        <v>210</v>
      </c>
      <c r="N622" s="190">
        <v>18000</v>
      </c>
      <c r="O622" s="190">
        <v>11800</v>
      </c>
      <c r="P622" s="190">
        <v>2</v>
      </c>
      <c r="Q622" s="190">
        <v>2023</v>
      </c>
      <c r="R622" s="190">
        <v>2</v>
      </c>
    </row>
    <row r="623" spans="1:18" x14ac:dyDescent="0.2">
      <c r="A623" s="190" t="s">
        <v>48</v>
      </c>
      <c r="B623" s="191" t="s">
        <v>211</v>
      </c>
      <c r="C623" s="191" t="s">
        <v>187</v>
      </c>
      <c r="D623" s="191" t="s">
        <v>6</v>
      </c>
      <c r="E623" s="191" t="s">
        <v>243</v>
      </c>
      <c r="F623" s="190" t="s">
        <v>243</v>
      </c>
      <c r="G623" s="190" t="s">
        <v>203</v>
      </c>
      <c r="H623" s="190" t="s">
        <v>23</v>
      </c>
      <c r="I623" s="191" t="s">
        <v>550</v>
      </c>
      <c r="J623" s="190" t="s">
        <v>550</v>
      </c>
      <c r="K623" s="191" t="s">
        <v>213</v>
      </c>
      <c r="L623" s="192" t="s">
        <v>205</v>
      </c>
      <c r="M623" s="190" t="s">
        <v>210</v>
      </c>
      <c r="N623" s="190">
        <v>20000</v>
      </c>
      <c r="O623" s="190">
        <v>11800</v>
      </c>
      <c r="P623" s="190">
        <v>2</v>
      </c>
      <c r="Q623" s="190">
        <v>2022</v>
      </c>
      <c r="R623" s="190">
        <v>2</v>
      </c>
    </row>
    <row r="624" spans="1:18" x14ac:dyDescent="0.2">
      <c r="A624" s="190" t="s">
        <v>48</v>
      </c>
      <c r="B624" s="191" t="s">
        <v>211</v>
      </c>
      <c r="C624" s="191" t="s">
        <v>187</v>
      </c>
      <c r="D624" s="191" t="s">
        <v>6</v>
      </c>
      <c r="E624" s="191" t="s">
        <v>243</v>
      </c>
      <c r="F624" s="190" t="s">
        <v>243</v>
      </c>
      <c r="G624" s="190" t="s">
        <v>203</v>
      </c>
      <c r="H624" s="190" t="s">
        <v>23</v>
      </c>
      <c r="I624" s="191" t="s">
        <v>551</v>
      </c>
      <c r="J624" s="190" t="s">
        <v>551</v>
      </c>
      <c r="K624" s="191" t="s">
        <v>213</v>
      </c>
      <c r="L624" s="192" t="s">
        <v>205</v>
      </c>
      <c r="M624" s="190" t="s">
        <v>206</v>
      </c>
      <c r="N624" s="190">
        <v>25000</v>
      </c>
      <c r="O624" s="190">
        <v>11800</v>
      </c>
      <c r="P624" s="190">
        <v>2</v>
      </c>
      <c r="Q624" s="190">
        <v>2023</v>
      </c>
      <c r="R624" s="190">
        <v>2</v>
      </c>
    </row>
    <row r="625" spans="1:18" x14ac:dyDescent="0.2">
      <c r="A625" s="190" t="s">
        <v>48</v>
      </c>
      <c r="B625" s="191" t="s">
        <v>211</v>
      </c>
      <c r="C625" s="191" t="s">
        <v>187</v>
      </c>
      <c r="D625" s="191" t="s">
        <v>6</v>
      </c>
      <c r="E625" s="191" t="s">
        <v>243</v>
      </c>
      <c r="F625" s="190" t="s">
        <v>243</v>
      </c>
      <c r="G625" s="190" t="s">
        <v>203</v>
      </c>
      <c r="H625" s="190" t="s">
        <v>23</v>
      </c>
      <c r="I625" s="191" t="s">
        <v>551</v>
      </c>
      <c r="J625" s="190" t="s">
        <v>551</v>
      </c>
      <c r="K625" s="191" t="s">
        <v>213</v>
      </c>
      <c r="L625" s="192" t="s">
        <v>205</v>
      </c>
      <c r="M625" s="190" t="s">
        <v>206</v>
      </c>
      <c r="N625" s="190">
        <v>25000</v>
      </c>
      <c r="O625" s="190">
        <v>11800</v>
      </c>
      <c r="P625" s="190">
        <v>2</v>
      </c>
      <c r="Q625" s="190">
        <v>2025</v>
      </c>
      <c r="R625" s="190">
        <v>1</v>
      </c>
    </row>
    <row r="626" spans="1:18" x14ac:dyDescent="0.2">
      <c r="A626" s="190" t="s">
        <v>48</v>
      </c>
      <c r="B626" s="191" t="s">
        <v>211</v>
      </c>
      <c r="C626" s="191" t="s">
        <v>187</v>
      </c>
      <c r="D626" s="191" t="s">
        <v>6</v>
      </c>
      <c r="E626" s="191" t="s">
        <v>243</v>
      </c>
      <c r="F626" s="190" t="s">
        <v>243</v>
      </c>
      <c r="G626" s="190" t="s">
        <v>203</v>
      </c>
      <c r="H626" s="190" t="s">
        <v>28</v>
      </c>
      <c r="I626" s="191" t="s">
        <v>150</v>
      </c>
      <c r="J626" s="190" t="s">
        <v>150</v>
      </c>
      <c r="K626" s="191" t="s">
        <v>237</v>
      </c>
      <c r="L626" s="192" t="s">
        <v>205</v>
      </c>
      <c r="M626" s="190" t="s">
        <v>206</v>
      </c>
      <c r="N626" s="190">
        <v>25000</v>
      </c>
      <c r="O626" s="190">
        <v>12800</v>
      </c>
      <c r="P626" s="190">
        <v>2</v>
      </c>
      <c r="Q626" s="190">
        <v>2025</v>
      </c>
      <c r="R626" s="190">
        <v>2</v>
      </c>
    </row>
    <row r="627" spans="1:18" x14ac:dyDescent="0.2">
      <c r="A627" s="190" t="s">
        <v>48</v>
      </c>
      <c r="B627" s="191" t="s">
        <v>211</v>
      </c>
      <c r="C627" s="191" t="s">
        <v>187</v>
      </c>
      <c r="D627" s="191" t="s">
        <v>6</v>
      </c>
      <c r="E627" s="191" t="s">
        <v>243</v>
      </c>
      <c r="F627" s="190" t="s">
        <v>243</v>
      </c>
      <c r="G627" s="190" t="s">
        <v>203</v>
      </c>
      <c r="H627" s="190" t="s">
        <v>28</v>
      </c>
      <c r="I627" s="191" t="s">
        <v>151</v>
      </c>
      <c r="J627" s="190" t="s">
        <v>244</v>
      </c>
      <c r="K627" s="191" t="s">
        <v>237</v>
      </c>
      <c r="L627" s="192" t="s">
        <v>205</v>
      </c>
      <c r="M627" s="190" t="s">
        <v>206</v>
      </c>
      <c r="N627" s="190">
        <v>25000</v>
      </c>
      <c r="O627" s="190">
        <v>12800</v>
      </c>
      <c r="P627" s="190">
        <v>2</v>
      </c>
      <c r="Q627" s="190">
        <v>2024</v>
      </c>
      <c r="R627" s="190">
        <v>5</v>
      </c>
    </row>
    <row r="628" spans="1:18" x14ac:dyDescent="0.2">
      <c r="A628" s="190" t="s">
        <v>48</v>
      </c>
      <c r="B628" s="191" t="s">
        <v>211</v>
      </c>
      <c r="C628" s="191" t="s">
        <v>187</v>
      </c>
      <c r="D628" s="191" t="s">
        <v>6</v>
      </c>
      <c r="E628" s="191" t="s">
        <v>243</v>
      </c>
      <c r="F628" s="190" t="s">
        <v>243</v>
      </c>
      <c r="G628" s="190" t="s">
        <v>203</v>
      </c>
      <c r="H628" s="190" t="s">
        <v>28</v>
      </c>
      <c r="I628" s="191" t="s">
        <v>151</v>
      </c>
      <c r="J628" s="190" t="s">
        <v>244</v>
      </c>
      <c r="K628" s="191" t="s">
        <v>237</v>
      </c>
      <c r="L628" s="192" t="s">
        <v>205</v>
      </c>
      <c r="M628" s="190" t="s">
        <v>206</v>
      </c>
      <c r="N628" s="190">
        <v>25000</v>
      </c>
      <c r="O628" s="190">
        <v>12800</v>
      </c>
      <c r="P628" s="190">
        <v>2</v>
      </c>
      <c r="Q628" s="190">
        <v>2025</v>
      </c>
      <c r="R628" s="190">
        <v>1</v>
      </c>
    </row>
    <row r="629" spans="1:18" x14ac:dyDescent="0.2">
      <c r="A629" s="190" t="s">
        <v>48</v>
      </c>
      <c r="B629" s="191" t="s">
        <v>211</v>
      </c>
      <c r="C629" s="191" t="s">
        <v>187</v>
      </c>
      <c r="D629" s="191" t="s">
        <v>6</v>
      </c>
      <c r="E629" s="191" t="s">
        <v>243</v>
      </c>
      <c r="F629" s="190" t="s">
        <v>243</v>
      </c>
      <c r="G629" s="190" t="s">
        <v>203</v>
      </c>
      <c r="H629" s="190" t="s">
        <v>448</v>
      </c>
      <c r="I629" s="191" t="s">
        <v>562</v>
      </c>
      <c r="J629" s="190" t="s">
        <v>333</v>
      </c>
      <c r="K629" s="191" t="s">
        <v>213</v>
      </c>
      <c r="L629" s="192" t="s">
        <v>247</v>
      </c>
      <c r="M629" s="190" t="s">
        <v>206</v>
      </c>
      <c r="N629" s="190">
        <v>33000</v>
      </c>
      <c r="O629" s="190">
        <v>12419</v>
      </c>
      <c r="P629" s="190">
        <v>2</v>
      </c>
      <c r="Q629" s="190">
        <v>2025</v>
      </c>
      <c r="R629" s="190">
        <v>5</v>
      </c>
    </row>
    <row r="630" spans="1:18" x14ac:dyDescent="0.2">
      <c r="A630" s="190" t="s">
        <v>48</v>
      </c>
      <c r="B630" s="191" t="s">
        <v>211</v>
      </c>
      <c r="C630" s="191" t="s">
        <v>187</v>
      </c>
      <c r="D630" s="191" t="s">
        <v>6</v>
      </c>
      <c r="E630" s="191" t="s">
        <v>243</v>
      </c>
      <c r="F630" s="190" t="s">
        <v>243</v>
      </c>
      <c r="G630" s="190" t="s">
        <v>203</v>
      </c>
      <c r="H630" s="190" t="s">
        <v>26</v>
      </c>
      <c r="I630" s="191" t="s">
        <v>553</v>
      </c>
      <c r="J630" s="190" t="s">
        <v>243</v>
      </c>
      <c r="K630" s="191" t="s">
        <v>237</v>
      </c>
      <c r="L630" s="192" t="s">
        <v>205</v>
      </c>
      <c r="M630" s="190" t="s">
        <v>206</v>
      </c>
      <c r="N630" s="190">
        <v>27216</v>
      </c>
      <c r="O630" s="190">
        <v>12400</v>
      </c>
      <c r="P630" s="190">
        <v>2</v>
      </c>
      <c r="Q630" s="190">
        <v>2023</v>
      </c>
      <c r="R630" s="190">
        <v>1</v>
      </c>
    </row>
    <row r="631" spans="1:18" x14ac:dyDescent="0.2">
      <c r="A631" s="190" t="s">
        <v>48</v>
      </c>
      <c r="B631" s="191" t="s">
        <v>211</v>
      </c>
      <c r="C631" s="191" t="s">
        <v>187</v>
      </c>
      <c r="D631" s="191" t="s">
        <v>6</v>
      </c>
      <c r="E631" s="191" t="s">
        <v>243</v>
      </c>
      <c r="F631" s="190" t="s">
        <v>243</v>
      </c>
      <c r="G631" s="190" t="s">
        <v>203</v>
      </c>
      <c r="H631" s="190" t="s">
        <v>26</v>
      </c>
      <c r="I631" s="191" t="s">
        <v>288</v>
      </c>
      <c r="J631" s="190" t="s">
        <v>243</v>
      </c>
      <c r="K631" s="191" t="s">
        <v>237</v>
      </c>
      <c r="L631" s="192" t="s">
        <v>205</v>
      </c>
      <c r="M631" s="190" t="s">
        <v>206</v>
      </c>
      <c r="N631" s="190">
        <v>27488</v>
      </c>
      <c r="O631" s="190">
        <v>14945</v>
      </c>
      <c r="P631" s="190">
        <v>2</v>
      </c>
      <c r="Q631" s="190">
        <v>2025</v>
      </c>
      <c r="R631" s="190">
        <v>11</v>
      </c>
    </row>
    <row r="632" spans="1:18" x14ac:dyDescent="0.2">
      <c r="A632" s="190" t="s">
        <v>48</v>
      </c>
      <c r="B632" s="191" t="s">
        <v>211</v>
      </c>
      <c r="C632" s="191" t="s">
        <v>187</v>
      </c>
      <c r="D632" s="191" t="s">
        <v>6</v>
      </c>
      <c r="E632" s="191" t="s">
        <v>243</v>
      </c>
      <c r="F632" s="190" t="s">
        <v>243</v>
      </c>
      <c r="G632" s="190" t="s">
        <v>203</v>
      </c>
      <c r="H632" s="190" t="s">
        <v>26</v>
      </c>
      <c r="I632" s="191" t="s">
        <v>385</v>
      </c>
      <c r="J632" s="190" t="s">
        <v>243</v>
      </c>
      <c r="K632" s="191" t="s">
        <v>237</v>
      </c>
      <c r="L632" s="192" t="s">
        <v>205</v>
      </c>
      <c r="M632" s="190" t="s">
        <v>206</v>
      </c>
      <c r="N632" s="190">
        <v>27216</v>
      </c>
      <c r="O632" s="190">
        <v>10800</v>
      </c>
      <c r="P632" s="190">
        <v>2</v>
      </c>
      <c r="Q632" s="190">
        <v>2025</v>
      </c>
      <c r="R632" s="190">
        <v>2</v>
      </c>
    </row>
    <row r="633" spans="1:18" x14ac:dyDescent="0.2">
      <c r="A633" s="190" t="s">
        <v>48</v>
      </c>
      <c r="B633" s="191" t="s">
        <v>211</v>
      </c>
      <c r="C633" s="191" t="s">
        <v>187</v>
      </c>
      <c r="D633" s="191" t="s">
        <v>6</v>
      </c>
      <c r="E633" s="191" t="s">
        <v>243</v>
      </c>
      <c r="F633" s="190" t="s">
        <v>243</v>
      </c>
      <c r="G633" s="190" t="s">
        <v>203</v>
      </c>
      <c r="H633" s="190" t="s">
        <v>42</v>
      </c>
      <c r="I633" s="191" t="s">
        <v>322</v>
      </c>
      <c r="J633" s="190" t="s">
        <v>243</v>
      </c>
      <c r="K633" s="191" t="s">
        <v>237</v>
      </c>
      <c r="L633" s="192" t="s">
        <v>205</v>
      </c>
      <c r="M633" s="190" t="s">
        <v>218</v>
      </c>
      <c r="N633" s="190">
        <v>27488</v>
      </c>
      <c r="O633" s="190">
        <v>14900</v>
      </c>
      <c r="P633" s="190">
        <v>2</v>
      </c>
      <c r="Q633" s="190">
        <v>2025</v>
      </c>
      <c r="R633" s="190">
        <v>1</v>
      </c>
    </row>
    <row r="634" spans="1:18" x14ac:dyDescent="0.2">
      <c r="A634" s="190" t="s">
        <v>48</v>
      </c>
      <c r="B634" s="191" t="s">
        <v>211</v>
      </c>
      <c r="C634" s="191" t="s">
        <v>187</v>
      </c>
      <c r="D634" s="191" t="s">
        <v>6</v>
      </c>
      <c r="E634" s="191" t="s">
        <v>243</v>
      </c>
      <c r="F634" s="190" t="s">
        <v>243</v>
      </c>
      <c r="G634" s="190" t="s">
        <v>203</v>
      </c>
      <c r="H634" s="190" t="s">
        <v>42</v>
      </c>
      <c r="I634" s="191" t="s">
        <v>322</v>
      </c>
      <c r="J634" s="190" t="s">
        <v>333</v>
      </c>
      <c r="K634" s="191" t="s">
        <v>237</v>
      </c>
      <c r="L634" s="192" t="s">
        <v>205</v>
      </c>
      <c r="M634" s="190" t="s">
        <v>206</v>
      </c>
      <c r="N634" s="190">
        <v>27488</v>
      </c>
      <c r="O634" s="190">
        <v>14900</v>
      </c>
      <c r="P634" s="190">
        <v>2</v>
      </c>
      <c r="Q634" s="190">
        <v>2024</v>
      </c>
      <c r="R634" s="190">
        <v>5</v>
      </c>
    </row>
    <row r="635" spans="1:18" x14ac:dyDescent="0.2">
      <c r="A635" s="190" t="s">
        <v>48</v>
      </c>
      <c r="B635" s="191" t="s">
        <v>211</v>
      </c>
      <c r="C635" s="191" t="s">
        <v>187</v>
      </c>
      <c r="D635" s="191" t="s">
        <v>6</v>
      </c>
      <c r="E635" s="191" t="s">
        <v>243</v>
      </c>
      <c r="F635" s="190" t="s">
        <v>243</v>
      </c>
      <c r="G635" s="190" t="s">
        <v>203</v>
      </c>
      <c r="H635" s="190" t="s">
        <v>42</v>
      </c>
      <c r="I635" s="191" t="s">
        <v>322</v>
      </c>
      <c r="J635" s="190" t="s">
        <v>333</v>
      </c>
      <c r="K635" s="191" t="s">
        <v>237</v>
      </c>
      <c r="L635" s="192" t="s">
        <v>205</v>
      </c>
      <c r="M635" s="190" t="s">
        <v>206</v>
      </c>
      <c r="N635" s="190">
        <v>27488</v>
      </c>
      <c r="O635" s="190">
        <v>14900</v>
      </c>
      <c r="P635" s="190">
        <v>2</v>
      </c>
      <c r="Q635" s="190">
        <v>2025</v>
      </c>
      <c r="R635" s="190">
        <v>8</v>
      </c>
    </row>
    <row r="636" spans="1:18" x14ac:dyDescent="0.2">
      <c r="A636" s="190" t="s">
        <v>48</v>
      </c>
      <c r="B636" s="191" t="s">
        <v>211</v>
      </c>
      <c r="C636" s="191" t="s">
        <v>187</v>
      </c>
      <c r="D636" s="191" t="s">
        <v>6</v>
      </c>
      <c r="E636" s="191" t="s">
        <v>243</v>
      </c>
      <c r="F636" s="190" t="s">
        <v>243</v>
      </c>
      <c r="G636" s="190" t="s">
        <v>203</v>
      </c>
      <c r="H636" s="190" t="s">
        <v>42</v>
      </c>
      <c r="I636" s="191" t="s">
        <v>322</v>
      </c>
      <c r="J636" s="190" t="s">
        <v>294</v>
      </c>
      <c r="K636" s="191" t="s">
        <v>237</v>
      </c>
      <c r="L636" s="192" t="s">
        <v>205</v>
      </c>
      <c r="M636" s="190" t="s">
        <v>206</v>
      </c>
      <c r="N636" s="190">
        <v>27488</v>
      </c>
      <c r="O636" s="190">
        <v>14900</v>
      </c>
      <c r="P636" s="190">
        <v>2</v>
      </c>
      <c r="Q636" s="190">
        <v>2024</v>
      </c>
      <c r="R636" s="190">
        <v>2</v>
      </c>
    </row>
    <row r="637" spans="1:18" x14ac:dyDescent="0.2">
      <c r="A637" s="190" t="s">
        <v>48</v>
      </c>
      <c r="B637" s="191" t="s">
        <v>211</v>
      </c>
      <c r="C637" s="191" t="s">
        <v>187</v>
      </c>
      <c r="D637" s="191" t="s">
        <v>6</v>
      </c>
      <c r="E637" s="191" t="s">
        <v>243</v>
      </c>
      <c r="F637" s="190" t="s">
        <v>243</v>
      </c>
      <c r="G637" s="190" t="s">
        <v>203</v>
      </c>
      <c r="H637" s="190" t="s">
        <v>42</v>
      </c>
      <c r="I637" s="191" t="s">
        <v>322</v>
      </c>
      <c r="J637" s="190" t="s">
        <v>294</v>
      </c>
      <c r="K637" s="191" t="s">
        <v>237</v>
      </c>
      <c r="L637" s="192" t="s">
        <v>205</v>
      </c>
      <c r="M637" s="190" t="s">
        <v>206</v>
      </c>
      <c r="N637" s="190">
        <v>27488</v>
      </c>
      <c r="O637" s="190">
        <v>14900</v>
      </c>
      <c r="P637" s="190">
        <v>2</v>
      </c>
      <c r="Q637" s="190">
        <v>2025</v>
      </c>
      <c r="R637" s="190">
        <v>3</v>
      </c>
    </row>
    <row r="638" spans="1:18" x14ac:dyDescent="0.2">
      <c r="A638" s="190" t="s">
        <v>48</v>
      </c>
      <c r="B638" s="191" t="s">
        <v>211</v>
      </c>
      <c r="C638" s="191" t="s">
        <v>187</v>
      </c>
      <c r="D638" s="191" t="s">
        <v>6</v>
      </c>
      <c r="E638" s="191" t="s">
        <v>243</v>
      </c>
      <c r="F638" s="190" t="s">
        <v>243</v>
      </c>
      <c r="G638" s="190" t="s">
        <v>203</v>
      </c>
      <c r="H638" s="190" t="s">
        <v>42</v>
      </c>
      <c r="I638" s="191" t="s">
        <v>322</v>
      </c>
      <c r="J638" s="190" t="s">
        <v>708</v>
      </c>
      <c r="K638" s="191" t="s">
        <v>237</v>
      </c>
      <c r="L638" s="192" t="s">
        <v>205</v>
      </c>
      <c r="M638" s="190" t="s">
        <v>206</v>
      </c>
      <c r="N638" s="190">
        <v>27488</v>
      </c>
      <c r="O638" s="190">
        <v>14900</v>
      </c>
      <c r="P638" s="190">
        <v>2</v>
      </c>
      <c r="Q638" s="190">
        <v>2024</v>
      </c>
      <c r="R638" s="190">
        <v>1</v>
      </c>
    </row>
    <row r="639" spans="1:18" x14ac:dyDescent="0.2">
      <c r="A639" s="190" t="s">
        <v>48</v>
      </c>
      <c r="B639" s="191" t="s">
        <v>211</v>
      </c>
      <c r="C639" s="191" t="s">
        <v>187</v>
      </c>
      <c r="D639" s="191" t="s">
        <v>6</v>
      </c>
      <c r="E639" s="191" t="s">
        <v>243</v>
      </c>
      <c r="F639" s="190" t="s">
        <v>243</v>
      </c>
      <c r="G639" s="190" t="s">
        <v>203</v>
      </c>
      <c r="H639" s="190" t="s">
        <v>19</v>
      </c>
      <c r="I639" s="191" t="s">
        <v>323</v>
      </c>
      <c r="J639" s="190" t="s">
        <v>323</v>
      </c>
      <c r="K639" s="191" t="s">
        <v>240</v>
      </c>
      <c r="L639" s="192" t="s">
        <v>205</v>
      </c>
      <c r="M639" s="190" t="s">
        <v>206</v>
      </c>
      <c r="N639" s="190">
        <v>28500</v>
      </c>
      <c r="O639" s="190">
        <v>12800</v>
      </c>
      <c r="P639" s="190">
        <v>2</v>
      </c>
      <c r="Q639" s="190">
        <v>2025</v>
      </c>
      <c r="R639" s="190">
        <v>1</v>
      </c>
    </row>
    <row r="640" spans="1:18" x14ac:dyDescent="0.2">
      <c r="A640" s="190" t="s">
        <v>48</v>
      </c>
      <c r="B640" s="191" t="s">
        <v>211</v>
      </c>
      <c r="C640" s="191" t="s">
        <v>187</v>
      </c>
      <c r="D640" s="191" t="s">
        <v>6</v>
      </c>
      <c r="E640" s="191" t="s">
        <v>243</v>
      </c>
      <c r="F640" s="190" t="s">
        <v>243</v>
      </c>
      <c r="G640" s="190" t="s">
        <v>203</v>
      </c>
      <c r="H640" s="190" t="s">
        <v>25</v>
      </c>
      <c r="I640" s="191" t="s">
        <v>152</v>
      </c>
      <c r="J640" s="190" t="s">
        <v>403</v>
      </c>
      <c r="K640" s="191" t="s">
        <v>204</v>
      </c>
      <c r="L640" s="192" t="s">
        <v>205</v>
      </c>
      <c r="M640" s="190" t="s">
        <v>206</v>
      </c>
      <c r="N640" s="190">
        <v>28500</v>
      </c>
      <c r="O640" s="190">
        <v>12700</v>
      </c>
      <c r="P640" s="190">
        <v>2</v>
      </c>
      <c r="Q640" s="190">
        <v>2025</v>
      </c>
      <c r="R640" s="190">
        <v>27</v>
      </c>
    </row>
    <row r="641" spans="1:18" x14ac:dyDescent="0.2">
      <c r="A641" s="190" t="s">
        <v>48</v>
      </c>
      <c r="B641" s="191" t="s">
        <v>211</v>
      </c>
      <c r="C641" s="191" t="s">
        <v>187</v>
      </c>
      <c r="D641" s="191" t="s">
        <v>6</v>
      </c>
      <c r="E641" s="191" t="s">
        <v>243</v>
      </c>
      <c r="F641" s="190" t="s">
        <v>243</v>
      </c>
      <c r="G641" s="190" t="s">
        <v>203</v>
      </c>
      <c r="H641" s="190" t="s">
        <v>25</v>
      </c>
      <c r="I641" s="191" t="s">
        <v>152</v>
      </c>
      <c r="J641" s="190" t="s">
        <v>650</v>
      </c>
      <c r="K641" s="191" t="s">
        <v>204</v>
      </c>
      <c r="L641" s="192" t="s">
        <v>205</v>
      </c>
      <c r="M641" s="190" t="s">
        <v>206</v>
      </c>
      <c r="N641" s="190">
        <v>28500</v>
      </c>
      <c r="O641" s="190">
        <v>12700</v>
      </c>
      <c r="P641" s="190">
        <v>2</v>
      </c>
      <c r="Q641" s="190">
        <v>2025</v>
      </c>
      <c r="R641" s="190">
        <v>2</v>
      </c>
    </row>
    <row r="642" spans="1:18" x14ac:dyDescent="0.2">
      <c r="A642" s="190" t="s">
        <v>48</v>
      </c>
      <c r="B642" s="191" t="s">
        <v>211</v>
      </c>
      <c r="C642" s="191" t="s">
        <v>187</v>
      </c>
      <c r="D642" s="191" t="s">
        <v>6</v>
      </c>
      <c r="E642" s="191" t="s">
        <v>243</v>
      </c>
      <c r="F642" s="190" t="s">
        <v>243</v>
      </c>
      <c r="G642" s="190" t="s">
        <v>203</v>
      </c>
      <c r="H642" s="190" t="s">
        <v>25</v>
      </c>
      <c r="I642" s="191" t="s">
        <v>388</v>
      </c>
      <c r="J642" s="190" t="s">
        <v>425</v>
      </c>
      <c r="K642" s="191" t="s">
        <v>204</v>
      </c>
      <c r="L642" s="192" t="s">
        <v>205</v>
      </c>
      <c r="M642" s="190" t="s">
        <v>206</v>
      </c>
      <c r="N642" s="190">
        <v>28500</v>
      </c>
      <c r="O642" s="190">
        <v>12700</v>
      </c>
      <c r="P642" s="190">
        <v>2</v>
      </c>
      <c r="Q642" s="190">
        <v>2025</v>
      </c>
      <c r="R642" s="190">
        <v>3</v>
      </c>
    </row>
    <row r="643" spans="1:18" x14ac:dyDescent="0.2">
      <c r="A643" s="190" t="s">
        <v>48</v>
      </c>
      <c r="B643" s="191" t="s">
        <v>211</v>
      </c>
      <c r="C643" s="191" t="s">
        <v>187</v>
      </c>
      <c r="D643" s="191" t="s">
        <v>6</v>
      </c>
      <c r="E643" s="191" t="s">
        <v>243</v>
      </c>
      <c r="F643" s="190" t="s">
        <v>243</v>
      </c>
      <c r="G643" s="190" t="s">
        <v>203</v>
      </c>
      <c r="H643" s="190" t="s">
        <v>25</v>
      </c>
      <c r="I643" s="191" t="s">
        <v>388</v>
      </c>
      <c r="J643" s="190" t="s">
        <v>394</v>
      </c>
      <c r="K643" s="191" t="s">
        <v>204</v>
      </c>
      <c r="L643" s="192" t="s">
        <v>205</v>
      </c>
      <c r="M643" s="190" t="s">
        <v>206</v>
      </c>
      <c r="N643" s="190">
        <v>28500</v>
      </c>
      <c r="O643" s="190">
        <v>12700</v>
      </c>
      <c r="P643" s="190">
        <v>2</v>
      </c>
      <c r="Q643" s="190">
        <v>2025</v>
      </c>
      <c r="R643" s="190">
        <v>9</v>
      </c>
    </row>
    <row r="644" spans="1:18" x14ac:dyDescent="0.2">
      <c r="A644" s="190" t="s">
        <v>48</v>
      </c>
      <c r="B644" s="191" t="s">
        <v>211</v>
      </c>
      <c r="C644" s="191" t="s">
        <v>187</v>
      </c>
      <c r="D644" s="191" t="s">
        <v>6</v>
      </c>
      <c r="E644" s="191" t="s">
        <v>243</v>
      </c>
      <c r="F644" s="190" t="s">
        <v>243</v>
      </c>
      <c r="G644" s="190" t="s">
        <v>203</v>
      </c>
      <c r="H644" s="190" t="s">
        <v>25</v>
      </c>
      <c r="I644" s="191" t="s">
        <v>324</v>
      </c>
      <c r="J644" s="190" t="s">
        <v>346</v>
      </c>
      <c r="K644" s="191" t="s">
        <v>266</v>
      </c>
      <c r="L644" s="192" t="s">
        <v>247</v>
      </c>
      <c r="M644" s="190" t="s">
        <v>206</v>
      </c>
      <c r="N644" s="190">
        <v>33500</v>
      </c>
      <c r="O644" s="190">
        <v>12740</v>
      </c>
      <c r="P644" s="190">
        <v>2</v>
      </c>
      <c r="Q644" s="190">
        <v>2023</v>
      </c>
      <c r="R644" s="190">
        <v>3</v>
      </c>
    </row>
    <row r="645" spans="1:18" x14ac:dyDescent="0.2">
      <c r="A645" s="190" t="s">
        <v>48</v>
      </c>
      <c r="B645" s="191" t="s">
        <v>211</v>
      </c>
      <c r="C645" s="191" t="s">
        <v>187</v>
      </c>
      <c r="D645" s="191" t="s">
        <v>6</v>
      </c>
      <c r="E645" s="191" t="s">
        <v>243</v>
      </c>
      <c r="F645" s="190" t="s">
        <v>243</v>
      </c>
      <c r="G645" s="190" t="s">
        <v>203</v>
      </c>
      <c r="H645" s="190" t="s">
        <v>25</v>
      </c>
      <c r="I645" s="191" t="s">
        <v>153</v>
      </c>
      <c r="J645" s="190" t="s">
        <v>246</v>
      </c>
      <c r="K645" s="191" t="s">
        <v>204</v>
      </c>
      <c r="L645" s="192" t="s">
        <v>205</v>
      </c>
      <c r="M645" s="190" t="s">
        <v>210</v>
      </c>
      <c r="N645" s="190">
        <v>20500</v>
      </c>
      <c r="O645" s="190">
        <v>12700</v>
      </c>
      <c r="P645" s="190">
        <v>2</v>
      </c>
      <c r="Q645" s="190">
        <v>2025</v>
      </c>
      <c r="R645" s="190">
        <v>1</v>
      </c>
    </row>
    <row r="646" spans="1:18" x14ac:dyDescent="0.2">
      <c r="A646" s="190" t="s">
        <v>48</v>
      </c>
      <c r="B646" s="191" t="s">
        <v>211</v>
      </c>
      <c r="C646" s="191" t="s">
        <v>187</v>
      </c>
      <c r="D646" s="191" t="s">
        <v>6</v>
      </c>
      <c r="E646" s="191" t="s">
        <v>243</v>
      </c>
      <c r="F646" s="190" t="s">
        <v>243</v>
      </c>
      <c r="G646" s="190" t="s">
        <v>203</v>
      </c>
      <c r="H646" s="190" t="s">
        <v>25</v>
      </c>
      <c r="I646" s="191" t="s">
        <v>154</v>
      </c>
      <c r="J646" s="190" t="s">
        <v>279</v>
      </c>
      <c r="K646" s="191" t="s">
        <v>204</v>
      </c>
      <c r="L646" s="192" t="s">
        <v>205</v>
      </c>
      <c r="M646" s="190" t="s">
        <v>206</v>
      </c>
      <c r="N646" s="190">
        <v>28100</v>
      </c>
      <c r="O646" s="190">
        <v>12700</v>
      </c>
      <c r="P646" s="190">
        <v>2</v>
      </c>
      <c r="Q646" s="190">
        <v>2025</v>
      </c>
      <c r="R646" s="190">
        <v>2</v>
      </c>
    </row>
    <row r="647" spans="1:18" x14ac:dyDescent="0.2">
      <c r="A647" s="190" t="s">
        <v>48</v>
      </c>
      <c r="B647" s="191" t="s">
        <v>211</v>
      </c>
      <c r="C647" s="191" t="s">
        <v>187</v>
      </c>
      <c r="D647" s="191" t="s">
        <v>6</v>
      </c>
      <c r="E647" s="191" t="s">
        <v>243</v>
      </c>
      <c r="F647" s="190" t="s">
        <v>243</v>
      </c>
      <c r="G647" s="190" t="s">
        <v>203</v>
      </c>
      <c r="H647" s="190" t="s">
        <v>25</v>
      </c>
      <c r="I647" s="191" t="s">
        <v>154</v>
      </c>
      <c r="J647" s="190" t="s">
        <v>279</v>
      </c>
      <c r="K647" s="191" t="s">
        <v>204</v>
      </c>
      <c r="L647" s="192" t="s">
        <v>205</v>
      </c>
      <c r="M647" s="190" t="s">
        <v>206</v>
      </c>
      <c r="N647" s="190">
        <v>28500</v>
      </c>
      <c r="O647" s="190">
        <v>12700</v>
      </c>
      <c r="P647" s="190">
        <v>2</v>
      </c>
      <c r="Q647" s="190">
        <v>2025</v>
      </c>
      <c r="R647" s="190">
        <v>11</v>
      </c>
    </row>
    <row r="648" spans="1:18" x14ac:dyDescent="0.2">
      <c r="A648" s="190" t="s">
        <v>48</v>
      </c>
      <c r="B648" s="191" t="s">
        <v>211</v>
      </c>
      <c r="C648" s="191" t="s">
        <v>187</v>
      </c>
      <c r="D648" s="191" t="s">
        <v>6</v>
      </c>
      <c r="E648" s="191" t="s">
        <v>243</v>
      </c>
      <c r="F648" s="190" t="s">
        <v>243</v>
      </c>
      <c r="G648" s="190" t="s">
        <v>203</v>
      </c>
      <c r="H648" s="190" t="s">
        <v>25</v>
      </c>
      <c r="I648" s="191" t="s">
        <v>555</v>
      </c>
      <c r="J648" s="190" t="s">
        <v>709</v>
      </c>
      <c r="K648" s="191" t="s">
        <v>204</v>
      </c>
      <c r="L648" s="192" t="s">
        <v>205</v>
      </c>
      <c r="M648" s="190" t="s">
        <v>206</v>
      </c>
      <c r="N648" s="190">
        <v>28500</v>
      </c>
      <c r="O648" s="190">
        <v>12700</v>
      </c>
      <c r="P648" s="190">
        <v>2</v>
      </c>
      <c r="Q648" s="190">
        <v>2025</v>
      </c>
      <c r="R648" s="190">
        <v>12</v>
      </c>
    </row>
    <row r="649" spans="1:18" x14ac:dyDescent="0.2">
      <c r="A649" s="190" t="s">
        <v>48</v>
      </c>
      <c r="B649" s="191" t="s">
        <v>211</v>
      </c>
      <c r="C649" s="191" t="s">
        <v>187</v>
      </c>
      <c r="D649" s="191" t="s">
        <v>6</v>
      </c>
      <c r="E649" s="191" t="s">
        <v>243</v>
      </c>
      <c r="F649" s="190" t="s">
        <v>243</v>
      </c>
      <c r="G649" s="190" t="s">
        <v>203</v>
      </c>
      <c r="H649" s="190" t="s">
        <v>25</v>
      </c>
      <c r="I649" s="191" t="s">
        <v>556</v>
      </c>
      <c r="J649" s="190" t="s">
        <v>710</v>
      </c>
      <c r="K649" s="191" t="s">
        <v>204</v>
      </c>
      <c r="L649" s="192" t="s">
        <v>205</v>
      </c>
      <c r="M649" s="190" t="s">
        <v>206</v>
      </c>
      <c r="N649" s="190">
        <v>28500</v>
      </c>
      <c r="O649" s="190">
        <v>12700</v>
      </c>
      <c r="P649" s="190">
        <v>2</v>
      </c>
      <c r="Q649" s="190">
        <v>2025</v>
      </c>
      <c r="R649" s="190">
        <v>1</v>
      </c>
    </row>
    <row r="650" spans="1:18" x14ac:dyDescent="0.2">
      <c r="A650" s="190" t="s">
        <v>48</v>
      </c>
      <c r="B650" s="191" t="s">
        <v>211</v>
      </c>
      <c r="C650" s="191" t="s">
        <v>187</v>
      </c>
      <c r="D650" s="191" t="s">
        <v>6</v>
      </c>
      <c r="E650" s="191" t="s">
        <v>243</v>
      </c>
      <c r="F650" s="190" t="s">
        <v>243</v>
      </c>
      <c r="G650" s="190" t="s">
        <v>203</v>
      </c>
      <c r="H650" s="190" t="s">
        <v>25</v>
      </c>
      <c r="I650" s="191" t="s">
        <v>556</v>
      </c>
      <c r="J650" s="190" t="s">
        <v>748</v>
      </c>
      <c r="K650" s="191" t="s">
        <v>204</v>
      </c>
      <c r="L650" s="192" t="s">
        <v>205</v>
      </c>
      <c r="M650" s="190" t="s">
        <v>206</v>
      </c>
      <c r="N650" s="190">
        <v>28500</v>
      </c>
      <c r="O650" s="190">
        <v>12700</v>
      </c>
      <c r="P650" s="190">
        <v>2</v>
      </c>
      <c r="Q650" s="190">
        <v>2025</v>
      </c>
      <c r="R650" s="190">
        <v>2</v>
      </c>
    </row>
    <row r="651" spans="1:18" x14ac:dyDescent="0.2">
      <c r="A651" s="190" t="s">
        <v>48</v>
      </c>
      <c r="B651" s="191" t="s">
        <v>211</v>
      </c>
      <c r="C651" s="191" t="s">
        <v>187</v>
      </c>
      <c r="D651" s="191" t="s">
        <v>6</v>
      </c>
      <c r="E651" s="191" t="s">
        <v>243</v>
      </c>
      <c r="F651" s="190" t="s">
        <v>243</v>
      </c>
      <c r="G651" s="190" t="s">
        <v>203</v>
      </c>
      <c r="H651" s="190" t="s">
        <v>25</v>
      </c>
      <c r="I651" s="191" t="s">
        <v>557</v>
      </c>
      <c r="J651" s="190" t="s">
        <v>711</v>
      </c>
      <c r="K651" s="191" t="s">
        <v>204</v>
      </c>
      <c r="L651" s="192" t="s">
        <v>205</v>
      </c>
      <c r="M651" s="190" t="s">
        <v>206</v>
      </c>
      <c r="N651" s="190">
        <v>28500</v>
      </c>
      <c r="O651" s="190">
        <v>12700</v>
      </c>
      <c r="P651" s="190">
        <v>2</v>
      </c>
      <c r="Q651" s="190">
        <v>2025</v>
      </c>
      <c r="R651" s="190">
        <v>2</v>
      </c>
    </row>
    <row r="652" spans="1:18" x14ac:dyDescent="0.2">
      <c r="A652" s="190" t="s">
        <v>48</v>
      </c>
      <c r="B652" s="191" t="s">
        <v>211</v>
      </c>
      <c r="C652" s="191" t="s">
        <v>187</v>
      </c>
      <c r="D652" s="191" t="s">
        <v>6</v>
      </c>
      <c r="E652" s="191" t="s">
        <v>243</v>
      </c>
      <c r="F652" s="190" t="s">
        <v>243</v>
      </c>
      <c r="G652" s="190" t="s">
        <v>203</v>
      </c>
      <c r="H652" s="190" t="s">
        <v>31</v>
      </c>
      <c r="I652" s="191" t="s">
        <v>289</v>
      </c>
      <c r="J652" s="190" t="s">
        <v>289</v>
      </c>
      <c r="K652" s="191" t="s">
        <v>213</v>
      </c>
      <c r="L652" s="192" t="s">
        <v>205</v>
      </c>
      <c r="M652" s="190" t="s">
        <v>206</v>
      </c>
      <c r="N652" s="190">
        <v>30500</v>
      </c>
      <c r="O652" s="190">
        <v>13000</v>
      </c>
      <c r="P652" s="190">
        <v>2</v>
      </c>
      <c r="Q652" s="190">
        <v>2024</v>
      </c>
      <c r="R652" s="190">
        <v>3</v>
      </c>
    </row>
    <row r="653" spans="1:18" x14ac:dyDescent="0.2">
      <c r="A653" s="190" t="s">
        <v>48</v>
      </c>
      <c r="B653" s="191" t="s">
        <v>211</v>
      </c>
      <c r="C653" s="191" t="s">
        <v>187</v>
      </c>
      <c r="D653" s="191" t="s">
        <v>6</v>
      </c>
      <c r="E653" s="191" t="s">
        <v>243</v>
      </c>
      <c r="F653" s="190" t="s">
        <v>243</v>
      </c>
      <c r="G653" s="190" t="s">
        <v>203</v>
      </c>
      <c r="H653" s="190" t="s">
        <v>31</v>
      </c>
      <c r="I653" s="191" t="s">
        <v>289</v>
      </c>
      <c r="J653" s="190" t="s">
        <v>294</v>
      </c>
      <c r="K653" s="191" t="s">
        <v>213</v>
      </c>
      <c r="L653" s="192" t="s">
        <v>205</v>
      </c>
      <c r="M653" s="190" t="s">
        <v>206</v>
      </c>
      <c r="N653" s="190">
        <v>30500</v>
      </c>
      <c r="O653" s="190">
        <v>13000</v>
      </c>
      <c r="P653" s="190">
        <v>2</v>
      </c>
      <c r="Q653" s="190">
        <v>2024</v>
      </c>
      <c r="R653" s="190">
        <v>1</v>
      </c>
    </row>
    <row r="654" spans="1:18" x14ac:dyDescent="0.2">
      <c r="A654" s="190" t="s">
        <v>48</v>
      </c>
      <c r="B654" s="191" t="s">
        <v>211</v>
      </c>
      <c r="C654" s="191" t="s">
        <v>187</v>
      </c>
      <c r="D654" s="191" t="s">
        <v>6</v>
      </c>
      <c r="E654" s="191" t="s">
        <v>243</v>
      </c>
      <c r="F654" s="190" t="s">
        <v>243</v>
      </c>
      <c r="G654" s="190" t="s">
        <v>203</v>
      </c>
      <c r="H654" s="190" t="s">
        <v>31</v>
      </c>
      <c r="I654" s="191" t="s">
        <v>558</v>
      </c>
      <c r="J654" s="190" t="s">
        <v>294</v>
      </c>
      <c r="K654" s="191" t="s">
        <v>213</v>
      </c>
      <c r="L654" s="192" t="s">
        <v>247</v>
      </c>
      <c r="M654" s="190" t="s">
        <v>206</v>
      </c>
      <c r="N654" s="190">
        <v>30500</v>
      </c>
      <c r="O654" s="190">
        <v>12540</v>
      </c>
      <c r="P654" s="190">
        <v>2</v>
      </c>
      <c r="Q654" s="190">
        <v>2024</v>
      </c>
      <c r="R654" s="190">
        <v>6</v>
      </c>
    </row>
    <row r="655" spans="1:18" x14ac:dyDescent="0.2">
      <c r="A655" s="190" t="s">
        <v>48</v>
      </c>
      <c r="B655" s="191" t="s">
        <v>211</v>
      </c>
      <c r="C655" s="191" t="s">
        <v>187</v>
      </c>
      <c r="D655" s="191" t="s">
        <v>6</v>
      </c>
      <c r="E655" s="191" t="s">
        <v>243</v>
      </c>
      <c r="F655" s="190" t="s">
        <v>243</v>
      </c>
      <c r="G655" s="190" t="s">
        <v>203</v>
      </c>
      <c r="H655" s="190" t="s">
        <v>31</v>
      </c>
      <c r="I655" s="191" t="s">
        <v>559</v>
      </c>
      <c r="J655" s="190" t="s">
        <v>559</v>
      </c>
      <c r="K655" s="191" t="s">
        <v>213</v>
      </c>
      <c r="L655" s="192" t="s">
        <v>205</v>
      </c>
      <c r="M655" s="190" t="s">
        <v>206</v>
      </c>
      <c r="N655" s="190">
        <v>25000</v>
      </c>
      <c r="O655" s="190">
        <v>12540</v>
      </c>
      <c r="P655" s="190">
        <v>2</v>
      </c>
      <c r="Q655" s="190">
        <v>2025</v>
      </c>
      <c r="R655" s="190">
        <v>2</v>
      </c>
    </row>
    <row r="656" spans="1:18" x14ac:dyDescent="0.2">
      <c r="A656" s="190" t="s">
        <v>48</v>
      </c>
      <c r="B656" s="191" t="s">
        <v>211</v>
      </c>
      <c r="C656" s="191" t="s">
        <v>187</v>
      </c>
      <c r="D656" s="191" t="s">
        <v>6</v>
      </c>
      <c r="E656" s="191" t="s">
        <v>243</v>
      </c>
      <c r="F656" s="190" t="s">
        <v>243</v>
      </c>
      <c r="G656" s="190" t="s">
        <v>203</v>
      </c>
      <c r="H656" s="190" t="s">
        <v>31</v>
      </c>
      <c r="I656" s="191" t="s">
        <v>560</v>
      </c>
      <c r="J656" s="190" t="s">
        <v>294</v>
      </c>
      <c r="K656" s="191" t="s">
        <v>213</v>
      </c>
      <c r="L656" s="192" t="s">
        <v>205</v>
      </c>
      <c r="M656" s="190" t="s">
        <v>206</v>
      </c>
      <c r="N656" s="190">
        <v>33500</v>
      </c>
      <c r="O656" s="190">
        <v>12000</v>
      </c>
      <c r="P656" s="190">
        <v>2</v>
      </c>
      <c r="Q656" s="190">
        <v>2024</v>
      </c>
      <c r="R656" s="190">
        <v>2</v>
      </c>
    </row>
    <row r="657" spans="1:18" x14ac:dyDescent="0.2">
      <c r="A657" s="190" t="s">
        <v>48</v>
      </c>
      <c r="B657" s="191" t="s">
        <v>211</v>
      </c>
      <c r="C657" s="191" t="s">
        <v>187</v>
      </c>
      <c r="D657" s="191" t="s">
        <v>6</v>
      </c>
      <c r="E657" s="191" t="s">
        <v>243</v>
      </c>
      <c r="F657" s="190" t="s">
        <v>243</v>
      </c>
      <c r="G657" s="190" t="s">
        <v>203</v>
      </c>
      <c r="H657" s="190" t="s">
        <v>31</v>
      </c>
      <c r="I657" s="191" t="s">
        <v>561</v>
      </c>
      <c r="J657" s="190" t="s">
        <v>561</v>
      </c>
      <c r="K657" s="191" t="s">
        <v>213</v>
      </c>
      <c r="L657" s="192" t="s">
        <v>347</v>
      </c>
      <c r="M657" s="190" t="s">
        <v>206</v>
      </c>
      <c r="N657" s="190">
        <v>25000</v>
      </c>
      <c r="O657" s="190">
        <v>12540</v>
      </c>
      <c r="P657" s="190">
        <v>2</v>
      </c>
      <c r="Q657" s="190">
        <v>2025</v>
      </c>
      <c r="R657" s="190">
        <v>1</v>
      </c>
    </row>
    <row r="658" spans="1:18" x14ac:dyDescent="0.2">
      <c r="A658" s="190" t="s">
        <v>48</v>
      </c>
      <c r="B658" s="191" t="s">
        <v>211</v>
      </c>
      <c r="C658" s="191" t="s">
        <v>187</v>
      </c>
      <c r="D658" s="191" t="s">
        <v>6</v>
      </c>
      <c r="E658" s="191" t="s">
        <v>243</v>
      </c>
      <c r="F658" s="190" t="s">
        <v>243</v>
      </c>
      <c r="G658" s="190" t="s">
        <v>203</v>
      </c>
      <c r="H658" s="190" t="s">
        <v>34</v>
      </c>
      <c r="I658" s="191" t="s">
        <v>401</v>
      </c>
      <c r="J658" s="190" t="s">
        <v>290</v>
      </c>
      <c r="K658" s="191" t="s">
        <v>213</v>
      </c>
      <c r="L658" s="192" t="s">
        <v>205</v>
      </c>
      <c r="M658" s="190" t="s">
        <v>206</v>
      </c>
      <c r="N658" s="190">
        <v>33000</v>
      </c>
      <c r="O658" s="190">
        <v>12419</v>
      </c>
      <c r="P658" s="190">
        <v>2</v>
      </c>
      <c r="Q658" s="190">
        <v>2024</v>
      </c>
      <c r="R658" s="190">
        <v>1</v>
      </c>
    </row>
    <row r="659" spans="1:18" x14ac:dyDescent="0.2">
      <c r="A659" s="190" t="s">
        <v>48</v>
      </c>
      <c r="B659" s="191" t="s">
        <v>211</v>
      </c>
      <c r="C659" s="191" t="s">
        <v>187</v>
      </c>
      <c r="D659" s="191" t="s">
        <v>6</v>
      </c>
      <c r="E659" s="191" t="s">
        <v>243</v>
      </c>
      <c r="F659" s="190" t="s">
        <v>243</v>
      </c>
      <c r="G659" s="190" t="s">
        <v>203</v>
      </c>
      <c r="H659" s="190" t="s">
        <v>34</v>
      </c>
      <c r="I659" s="191" t="s">
        <v>401</v>
      </c>
      <c r="J659" s="190" t="s">
        <v>290</v>
      </c>
      <c r="K659" s="191" t="s">
        <v>213</v>
      </c>
      <c r="L659" s="192" t="s">
        <v>205</v>
      </c>
      <c r="M659" s="190" t="s">
        <v>206</v>
      </c>
      <c r="N659" s="190">
        <v>33100</v>
      </c>
      <c r="O659" s="190">
        <v>12419</v>
      </c>
      <c r="P659" s="190">
        <v>2</v>
      </c>
      <c r="Q659" s="190">
        <v>2025</v>
      </c>
      <c r="R659" s="190">
        <v>5</v>
      </c>
    </row>
    <row r="660" spans="1:18" x14ac:dyDescent="0.2">
      <c r="A660" s="190" t="s">
        <v>48</v>
      </c>
      <c r="B660" s="191" t="s">
        <v>211</v>
      </c>
      <c r="C660" s="191" t="s">
        <v>187</v>
      </c>
      <c r="D660" s="191" t="s">
        <v>6</v>
      </c>
      <c r="E660" s="191" t="s">
        <v>243</v>
      </c>
      <c r="F660" s="190" t="s">
        <v>243</v>
      </c>
      <c r="G660" s="190" t="s">
        <v>203</v>
      </c>
      <c r="H660" s="190" t="s">
        <v>34</v>
      </c>
      <c r="I660" s="191" t="s">
        <v>401</v>
      </c>
      <c r="J660" s="190" t="s">
        <v>290</v>
      </c>
      <c r="K660" s="191" t="s">
        <v>213</v>
      </c>
      <c r="L660" s="192" t="s">
        <v>205</v>
      </c>
      <c r="M660" s="190" t="s">
        <v>206</v>
      </c>
      <c r="N660" s="190">
        <v>33500</v>
      </c>
      <c r="O660" s="190">
        <v>12419</v>
      </c>
      <c r="P660" s="190">
        <v>2</v>
      </c>
      <c r="Q660" s="190">
        <v>2025</v>
      </c>
      <c r="R660" s="190">
        <v>4</v>
      </c>
    </row>
    <row r="661" spans="1:18" x14ac:dyDescent="0.2">
      <c r="A661" s="190" t="s">
        <v>48</v>
      </c>
      <c r="B661" s="191" t="s">
        <v>211</v>
      </c>
      <c r="C661" s="191" t="s">
        <v>187</v>
      </c>
      <c r="D661" s="191" t="s">
        <v>6</v>
      </c>
      <c r="E661" s="191" t="s">
        <v>243</v>
      </c>
      <c r="F661" s="190" t="s">
        <v>243</v>
      </c>
      <c r="G661" s="190" t="s">
        <v>203</v>
      </c>
      <c r="H661" s="190" t="s">
        <v>34</v>
      </c>
      <c r="I661" s="191" t="s">
        <v>431</v>
      </c>
      <c r="J661" s="190" t="s">
        <v>290</v>
      </c>
      <c r="K661" s="191" t="s">
        <v>213</v>
      </c>
      <c r="L661" s="192" t="s">
        <v>247</v>
      </c>
      <c r="M661" s="190" t="s">
        <v>206</v>
      </c>
      <c r="N661" s="190">
        <v>33000</v>
      </c>
      <c r="O661" s="190">
        <v>12419</v>
      </c>
      <c r="P661" s="190">
        <v>2</v>
      </c>
      <c r="Q661" s="190">
        <v>2025</v>
      </c>
      <c r="R661" s="190">
        <v>3</v>
      </c>
    </row>
    <row r="662" spans="1:18" x14ac:dyDescent="0.2">
      <c r="A662" s="190" t="s">
        <v>48</v>
      </c>
      <c r="B662" s="191" t="s">
        <v>211</v>
      </c>
      <c r="C662" s="191" t="s">
        <v>187</v>
      </c>
      <c r="D662" s="191" t="s">
        <v>6</v>
      </c>
      <c r="E662" s="191" t="s">
        <v>243</v>
      </c>
      <c r="F662" s="190" t="s">
        <v>243</v>
      </c>
      <c r="G662" s="190" t="s">
        <v>203</v>
      </c>
      <c r="H662" s="190" t="s">
        <v>34</v>
      </c>
      <c r="I662" s="191" t="s">
        <v>431</v>
      </c>
      <c r="J662" s="190" t="s">
        <v>290</v>
      </c>
      <c r="K662" s="191" t="s">
        <v>213</v>
      </c>
      <c r="L662" s="192" t="s">
        <v>247</v>
      </c>
      <c r="M662" s="190" t="s">
        <v>206</v>
      </c>
      <c r="N662" s="190">
        <v>33100</v>
      </c>
      <c r="O662" s="190">
        <v>12419</v>
      </c>
      <c r="P662" s="190">
        <v>2</v>
      </c>
      <c r="Q662" s="190">
        <v>2024</v>
      </c>
      <c r="R662" s="190">
        <v>2</v>
      </c>
    </row>
    <row r="663" spans="1:18" x14ac:dyDescent="0.2">
      <c r="A663" s="190" t="s">
        <v>48</v>
      </c>
      <c r="B663" s="191" t="s">
        <v>211</v>
      </c>
      <c r="C663" s="191" t="s">
        <v>187</v>
      </c>
      <c r="D663" s="191" t="s">
        <v>6</v>
      </c>
      <c r="E663" s="191" t="s">
        <v>243</v>
      </c>
      <c r="F663" s="190" t="s">
        <v>243</v>
      </c>
      <c r="G663" s="190" t="s">
        <v>203</v>
      </c>
      <c r="H663" s="190" t="s">
        <v>34</v>
      </c>
      <c r="I663" s="191" t="s">
        <v>562</v>
      </c>
      <c r="J663" s="190" t="s">
        <v>712</v>
      </c>
      <c r="K663" s="191" t="s">
        <v>213</v>
      </c>
      <c r="L663" s="192" t="s">
        <v>247</v>
      </c>
      <c r="M663" s="190" t="s">
        <v>206</v>
      </c>
      <c r="N663" s="190">
        <v>25000</v>
      </c>
      <c r="O663" s="190">
        <v>12419</v>
      </c>
      <c r="P663" s="190">
        <v>2</v>
      </c>
      <c r="Q663" s="190">
        <v>2025</v>
      </c>
      <c r="R663" s="190">
        <v>6</v>
      </c>
    </row>
    <row r="664" spans="1:18" x14ac:dyDescent="0.2">
      <c r="A664" s="190" t="s">
        <v>48</v>
      </c>
      <c r="B664" s="191" t="s">
        <v>211</v>
      </c>
      <c r="C664" s="191" t="s">
        <v>187</v>
      </c>
      <c r="D664" s="191" t="s">
        <v>6</v>
      </c>
      <c r="E664" s="191" t="s">
        <v>243</v>
      </c>
      <c r="F664" s="190" t="s">
        <v>243</v>
      </c>
      <c r="G664" s="190" t="s">
        <v>203</v>
      </c>
      <c r="H664" s="190" t="s">
        <v>34</v>
      </c>
      <c r="I664" s="191" t="s">
        <v>563</v>
      </c>
      <c r="J664" s="190" t="s">
        <v>713</v>
      </c>
      <c r="K664" s="191" t="s">
        <v>213</v>
      </c>
      <c r="L664" s="192" t="s">
        <v>205</v>
      </c>
      <c r="M664" s="190" t="s">
        <v>206</v>
      </c>
      <c r="N664" s="190">
        <v>33000</v>
      </c>
      <c r="O664" s="190">
        <v>12419</v>
      </c>
      <c r="P664" s="190">
        <v>2</v>
      </c>
      <c r="Q664" s="190">
        <v>2025</v>
      </c>
      <c r="R664" s="190">
        <v>1</v>
      </c>
    </row>
    <row r="665" spans="1:18" x14ac:dyDescent="0.2">
      <c r="A665" s="190" t="s">
        <v>48</v>
      </c>
      <c r="B665" s="191" t="s">
        <v>211</v>
      </c>
      <c r="C665" s="191" t="s">
        <v>187</v>
      </c>
      <c r="D665" s="191" t="s">
        <v>6</v>
      </c>
      <c r="E665" s="191" t="s">
        <v>243</v>
      </c>
      <c r="F665" s="190" t="s">
        <v>243</v>
      </c>
      <c r="G665" s="190" t="s">
        <v>203</v>
      </c>
      <c r="H665" s="190" t="s">
        <v>34</v>
      </c>
      <c r="I665" s="191" t="s">
        <v>564</v>
      </c>
      <c r="J665" s="190" t="s">
        <v>676</v>
      </c>
      <c r="K665" s="191" t="s">
        <v>213</v>
      </c>
      <c r="L665" s="192" t="s">
        <v>205</v>
      </c>
      <c r="M665" s="190" t="s">
        <v>206</v>
      </c>
      <c r="N665" s="190">
        <v>25000</v>
      </c>
      <c r="O665" s="190">
        <v>12419</v>
      </c>
      <c r="P665" s="190">
        <v>2</v>
      </c>
      <c r="Q665" s="190">
        <v>2024</v>
      </c>
      <c r="R665" s="190">
        <v>1</v>
      </c>
    </row>
    <row r="666" spans="1:18" x14ac:dyDescent="0.2">
      <c r="A666" s="190" t="s">
        <v>48</v>
      </c>
      <c r="B666" s="191" t="s">
        <v>211</v>
      </c>
      <c r="C666" s="191" t="s">
        <v>187</v>
      </c>
      <c r="D666" s="191" t="s">
        <v>6</v>
      </c>
      <c r="E666" s="191" t="s">
        <v>243</v>
      </c>
      <c r="F666" s="190" t="s">
        <v>243</v>
      </c>
      <c r="G666" s="190" t="s">
        <v>203</v>
      </c>
      <c r="H666" s="190" t="s">
        <v>34</v>
      </c>
      <c r="I666" s="191" t="s">
        <v>565</v>
      </c>
      <c r="J666" s="190" t="s">
        <v>712</v>
      </c>
      <c r="K666" s="191" t="s">
        <v>213</v>
      </c>
      <c r="L666" s="192" t="s">
        <v>347</v>
      </c>
      <c r="M666" s="190" t="s">
        <v>206</v>
      </c>
      <c r="N666" s="190">
        <v>25000</v>
      </c>
      <c r="O666" s="190">
        <v>12419</v>
      </c>
      <c r="P666" s="190">
        <v>2</v>
      </c>
      <c r="Q666" s="190">
        <v>2024</v>
      </c>
      <c r="R666" s="190">
        <v>1</v>
      </c>
    </row>
    <row r="667" spans="1:18" x14ac:dyDescent="0.2">
      <c r="A667" s="190" t="s">
        <v>48</v>
      </c>
      <c r="B667" s="191" t="s">
        <v>211</v>
      </c>
      <c r="C667" s="191" t="s">
        <v>187</v>
      </c>
      <c r="D667" s="191" t="s">
        <v>6</v>
      </c>
      <c r="E667" s="191" t="s">
        <v>243</v>
      </c>
      <c r="F667" s="190" t="s">
        <v>243</v>
      </c>
      <c r="G667" s="190" t="s">
        <v>203</v>
      </c>
      <c r="H667" s="190" t="s">
        <v>44</v>
      </c>
      <c r="I667" s="191" t="s">
        <v>325</v>
      </c>
      <c r="J667" s="190" t="s">
        <v>422</v>
      </c>
      <c r="K667" s="191" t="s">
        <v>213</v>
      </c>
      <c r="L667" s="192" t="s">
        <v>247</v>
      </c>
      <c r="M667" s="190" t="s">
        <v>206</v>
      </c>
      <c r="N667" s="190">
        <v>33100</v>
      </c>
      <c r="O667" s="190">
        <v>12419</v>
      </c>
      <c r="P667" s="190">
        <v>2</v>
      </c>
      <c r="Q667" s="190">
        <v>2025</v>
      </c>
      <c r="R667" s="190">
        <v>6</v>
      </c>
    </row>
    <row r="668" spans="1:18" x14ac:dyDescent="0.2">
      <c r="A668" s="190" t="s">
        <v>48</v>
      </c>
      <c r="B668" s="191" t="s">
        <v>211</v>
      </c>
      <c r="C668" s="191" t="s">
        <v>187</v>
      </c>
      <c r="D668" s="191" t="s">
        <v>6</v>
      </c>
      <c r="E668" s="191" t="s">
        <v>243</v>
      </c>
      <c r="F668" s="190" t="s">
        <v>243</v>
      </c>
      <c r="G668" s="190" t="s">
        <v>203</v>
      </c>
      <c r="H668" s="190" t="s">
        <v>20</v>
      </c>
      <c r="I668" s="191" t="s">
        <v>155</v>
      </c>
      <c r="J668" s="190" t="s">
        <v>155</v>
      </c>
      <c r="K668" s="191" t="s">
        <v>204</v>
      </c>
      <c r="L668" s="192" t="s">
        <v>205</v>
      </c>
      <c r="M668" s="190" t="s">
        <v>206</v>
      </c>
      <c r="N668" s="190">
        <v>28500</v>
      </c>
      <c r="O668" s="190">
        <v>12800</v>
      </c>
      <c r="P668" s="190">
        <v>2</v>
      </c>
      <c r="Q668" s="190">
        <v>2025</v>
      </c>
      <c r="R668" s="190">
        <v>40</v>
      </c>
    </row>
    <row r="669" spans="1:18" x14ac:dyDescent="0.2">
      <c r="A669" s="190" t="s">
        <v>48</v>
      </c>
      <c r="B669" s="191" t="s">
        <v>211</v>
      </c>
      <c r="C669" s="191" t="s">
        <v>187</v>
      </c>
      <c r="D669" s="191" t="s">
        <v>6</v>
      </c>
      <c r="E669" s="191" t="s">
        <v>243</v>
      </c>
      <c r="F669" s="190" t="s">
        <v>243</v>
      </c>
      <c r="G669" s="190" t="s">
        <v>203</v>
      </c>
      <c r="H669" s="190" t="s">
        <v>20</v>
      </c>
      <c r="I669" s="191" t="s">
        <v>155</v>
      </c>
      <c r="J669" s="190" t="s">
        <v>155</v>
      </c>
      <c r="K669" s="191" t="s">
        <v>204</v>
      </c>
      <c r="L669" s="192" t="s">
        <v>205</v>
      </c>
      <c r="M669" s="190" t="s">
        <v>206</v>
      </c>
      <c r="N669" s="190">
        <v>41000</v>
      </c>
      <c r="O669" s="190">
        <v>12800</v>
      </c>
      <c r="P669" s="190">
        <v>2</v>
      </c>
      <c r="Q669" s="190">
        <v>2025</v>
      </c>
      <c r="R669" s="190">
        <v>2</v>
      </c>
    </row>
    <row r="670" spans="1:18" x14ac:dyDescent="0.2">
      <c r="A670" s="190" t="s">
        <v>48</v>
      </c>
      <c r="B670" s="191" t="s">
        <v>211</v>
      </c>
      <c r="C670" s="191" t="s">
        <v>187</v>
      </c>
      <c r="D670" s="191" t="s">
        <v>6</v>
      </c>
      <c r="E670" s="191" t="s">
        <v>243</v>
      </c>
      <c r="F670" s="190" t="s">
        <v>243</v>
      </c>
      <c r="G670" s="190" t="s">
        <v>203</v>
      </c>
      <c r="H670" s="190" t="s">
        <v>20</v>
      </c>
      <c r="I670" s="191" t="s">
        <v>155</v>
      </c>
      <c r="J670" s="190" t="s">
        <v>155</v>
      </c>
      <c r="K670" s="191" t="s">
        <v>368</v>
      </c>
      <c r="L670" s="192" t="s">
        <v>205</v>
      </c>
      <c r="M670" s="190" t="s">
        <v>206</v>
      </c>
      <c r="N670" s="190">
        <v>28500</v>
      </c>
      <c r="O670" s="190">
        <v>12800</v>
      </c>
      <c r="P670" s="190">
        <v>2</v>
      </c>
      <c r="Q670" s="190">
        <v>2025</v>
      </c>
      <c r="R670" s="190">
        <v>8</v>
      </c>
    </row>
    <row r="671" spans="1:18" x14ac:dyDescent="0.2">
      <c r="A671" s="190" t="s">
        <v>48</v>
      </c>
      <c r="B671" s="191" t="s">
        <v>211</v>
      </c>
      <c r="C671" s="191" t="s">
        <v>187</v>
      </c>
      <c r="D671" s="191" t="s">
        <v>6</v>
      </c>
      <c r="E671" s="191" t="s">
        <v>243</v>
      </c>
      <c r="F671" s="190" t="s">
        <v>243</v>
      </c>
      <c r="G671" s="190" t="s">
        <v>203</v>
      </c>
      <c r="H671" s="190" t="s">
        <v>20</v>
      </c>
      <c r="I671" s="191" t="s">
        <v>155</v>
      </c>
      <c r="J671" s="190" t="s">
        <v>155</v>
      </c>
      <c r="K671" s="191" t="s">
        <v>368</v>
      </c>
      <c r="L671" s="192" t="s">
        <v>714</v>
      </c>
      <c r="M671" s="190" t="s">
        <v>206</v>
      </c>
      <c r="N671" s="190">
        <v>28500</v>
      </c>
      <c r="O671" s="190">
        <v>12800</v>
      </c>
      <c r="P671" s="190">
        <v>2</v>
      </c>
      <c r="Q671" s="190">
        <v>2025</v>
      </c>
      <c r="R671" s="190">
        <v>2</v>
      </c>
    </row>
    <row r="672" spans="1:18" x14ac:dyDescent="0.2">
      <c r="A672" s="190" t="s">
        <v>48</v>
      </c>
      <c r="B672" s="191" t="s">
        <v>211</v>
      </c>
      <c r="C672" s="191" t="s">
        <v>187</v>
      </c>
      <c r="D672" s="191" t="s">
        <v>6</v>
      </c>
      <c r="E672" s="191" t="s">
        <v>243</v>
      </c>
      <c r="F672" s="190" t="s">
        <v>243</v>
      </c>
      <c r="G672" s="190" t="s">
        <v>203</v>
      </c>
      <c r="H672" s="190" t="s">
        <v>20</v>
      </c>
      <c r="I672" s="191" t="s">
        <v>156</v>
      </c>
      <c r="J672" s="190" t="s">
        <v>156</v>
      </c>
      <c r="K672" s="191" t="s">
        <v>204</v>
      </c>
      <c r="L672" s="192" t="s">
        <v>205</v>
      </c>
      <c r="M672" s="190" t="s">
        <v>206</v>
      </c>
      <c r="N672" s="190">
        <v>28500</v>
      </c>
      <c r="O672" s="190">
        <v>12800</v>
      </c>
      <c r="P672" s="190">
        <v>2</v>
      </c>
      <c r="Q672" s="190">
        <v>2025</v>
      </c>
      <c r="R672" s="190">
        <v>18</v>
      </c>
    </row>
    <row r="673" spans="1:18" x14ac:dyDescent="0.2">
      <c r="A673" s="190" t="s">
        <v>48</v>
      </c>
      <c r="B673" s="191" t="s">
        <v>211</v>
      </c>
      <c r="C673" s="191" t="s">
        <v>187</v>
      </c>
      <c r="D673" s="191" t="s">
        <v>6</v>
      </c>
      <c r="E673" s="191" t="s">
        <v>243</v>
      </c>
      <c r="F673" s="190" t="s">
        <v>243</v>
      </c>
      <c r="G673" s="190" t="s">
        <v>203</v>
      </c>
      <c r="H673" s="190" t="s">
        <v>20</v>
      </c>
      <c r="I673" s="191" t="s">
        <v>156</v>
      </c>
      <c r="J673" s="190" t="s">
        <v>156</v>
      </c>
      <c r="K673" s="191" t="s">
        <v>368</v>
      </c>
      <c r="L673" s="192" t="s">
        <v>205</v>
      </c>
      <c r="M673" s="190" t="s">
        <v>206</v>
      </c>
      <c r="N673" s="190">
        <v>28500</v>
      </c>
      <c r="O673" s="190">
        <v>12800</v>
      </c>
      <c r="P673" s="190">
        <v>2</v>
      </c>
      <c r="Q673" s="190">
        <v>2025</v>
      </c>
      <c r="R673" s="190">
        <v>2</v>
      </c>
    </row>
    <row r="674" spans="1:18" x14ac:dyDescent="0.2">
      <c r="A674" s="190" t="s">
        <v>48</v>
      </c>
      <c r="B674" s="191" t="s">
        <v>248</v>
      </c>
      <c r="C674" s="191" t="s">
        <v>187</v>
      </c>
      <c r="D674" s="191" t="s">
        <v>4</v>
      </c>
      <c r="E674" s="191" t="s">
        <v>202</v>
      </c>
      <c r="F674" s="190" t="s">
        <v>622</v>
      </c>
      <c r="G674" s="190" t="s">
        <v>203</v>
      </c>
      <c r="H674" s="190" t="s">
        <v>20</v>
      </c>
      <c r="I674" s="191" t="s">
        <v>145</v>
      </c>
      <c r="J674" s="190" t="s">
        <v>145</v>
      </c>
      <c r="K674" s="191" t="s">
        <v>204</v>
      </c>
      <c r="L674" s="192" t="s">
        <v>205</v>
      </c>
      <c r="M674" s="190" t="s">
        <v>206</v>
      </c>
      <c r="N674" s="190">
        <v>34000</v>
      </c>
      <c r="O674" s="190">
        <v>7700</v>
      </c>
      <c r="P674" s="190">
        <v>3</v>
      </c>
      <c r="Q674" s="190">
        <v>2025</v>
      </c>
      <c r="R674" s="190">
        <v>1</v>
      </c>
    </row>
    <row r="675" spans="1:18" x14ac:dyDescent="0.2">
      <c r="A675" s="190" t="s">
        <v>48</v>
      </c>
      <c r="B675" s="191" t="s">
        <v>248</v>
      </c>
      <c r="C675" s="191" t="s">
        <v>5</v>
      </c>
      <c r="D675" s="191" t="s">
        <v>249</v>
      </c>
      <c r="E675" s="191" t="s">
        <v>250</v>
      </c>
      <c r="F675" s="190" t="s">
        <v>250</v>
      </c>
      <c r="G675" s="190" t="s">
        <v>251</v>
      </c>
      <c r="H675" s="190" t="s">
        <v>23</v>
      </c>
      <c r="I675" s="191" t="s">
        <v>389</v>
      </c>
      <c r="J675" s="190" t="s">
        <v>391</v>
      </c>
      <c r="K675" s="191" t="s">
        <v>213</v>
      </c>
      <c r="L675" s="192" t="s">
        <v>205</v>
      </c>
      <c r="M675" s="190" t="s">
        <v>210</v>
      </c>
      <c r="N675" s="190">
        <v>4035</v>
      </c>
      <c r="O675" s="190">
        <v>2780</v>
      </c>
      <c r="P675" s="190">
        <v>19</v>
      </c>
      <c r="Q675" s="190">
        <v>2024</v>
      </c>
      <c r="R675" s="190">
        <v>5</v>
      </c>
    </row>
    <row r="676" spans="1:18" x14ac:dyDescent="0.2">
      <c r="A676" s="190" t="s">
        <v>48</v>
      </c>
      <c r="B676" s="191" t="s">
        <v>248</v>
      </c>
      <c r="C676" s="191" t="s">
        <v>5</v>
      </c>
      <c r="D676" s="191" t="s">
        <v>249</v>
      </c>
      <c r="E676" s="191" t="s">
        <v>250</v>
      </c>
      <c r="F676" s="190" t="s">
        <v>250</v>
      </c>
      <c r="G676" s="190" t="s">
        <v>251</v>
      </c>
      <c r="H676" s="190" t="s">
        <v>23</v>
      </c>
      <c r="I676" s="191" t="s">
        <v>389</v>
      </c>
      <c r="J676" s="190" t="s">
        <v>391</v>
      </c>
      <c r="K676" s="191" t="s">
        <v>213</v>
      </c>
      <c r="L676" s="192" t="s">
        <v>205</v>
      </c>
      <c r="M676" s="190" t="s">
        <v>210</v>
      </c>
      <c r="N676" s="190">
        <v>4035</v>
      </c>
      <c r="O676" s="190">
        <v>2780</v>
      </c>
      <c r="P676" s="190">
        <v>19</v>
      </c>
      <c r="Q676" s="190">
        <v>2025</v>
      </c>
      <c r="R676" s="190">
        <v>3</v>
      </c>
    </row>
    <row r="677" spans="1:18" x14ac:dyDescent="0.2">
      <c r="A677" s="190" t="s">
        <v>48</v>
      </c>
      <c r="B677" s="191" t="s">
        <v>248</v>
      </c>
      <c r="C677" s="191" t="s">
        <v>5</v>
      </c>
      <c r="D677" s="191" t="s">
        <v>249</v>
      </c>
      <c r="E677" s="191" t="s">
        <v>250</v>
      </c>
      <c r="F677" s="190" t="s">
        <v>250</v>
      </c>
      <c r="G677" s="190" t="s">
        <v>251</v>
      </c>
      <c r="H677" s="190" t="s">
        <v>23</v>
      </c>
      <c r="I677" s="191" t="s">
        <v>326</v>
      </c>
      <c r="J677" s="190" t="s">
        <v>280</v>
      </c>
      <c r="K677" s="191" t="s">
        <v>213</v>
      </c>
      <c r="L677" s="192" t="s">
        <v>205</v>
      </c>
      <c r="M677" s="190" t="s">
        <v>210</v>
      </c>
      <c r="N677" s="190">
        <v>4200</v>
      </c>
      <c r="O677" s="190">
        <v>2780</v>
      </c>
      <c r="P677" s="190">
        <v>18</v>
      </c>
      <c r="Q677" s="190">
        <v>2025</v>
      </c>
      <c r="R677" s="190">
        <v>1</v>
      </c>
    </row>
    <row r="678" spans="1:18" x14ac:dyDescent="0.2">
      <c r="A678" s="190" t="s">
        <v>48</v>
      </c>
      <c r="B678" s="191" t="s">
        <v>248</v>
      </c>
      <c r="C678" s="191" t="s">
        <v>5</v>
      </c>
      <c r="D678" s="191" t="s">
        <v>249</v>
      </c>
      <c r="E678" s="191" t="s">
        <v>250</v>
      </c>
      <c r="F678" s="190" t="s">
        <v>250</v>
      </c>
      <c r="G678" s="190" t="s">
        <v>251</v>
      </c>
      <c r="H678" s="190" t="s">
        <v>23</v>
      </c>
      <c r="I678" s="191" t="s">
        <v>280</v>
      </c>
      <c r="J678" s="190" t="s">
        <v>280</v>
      </c>
      <c r="K678" s="191" t="s">
        <v>213</v>
      </c>
      <c r="L678" s="192" t="s">
        <v>205</v>
      </c>
      <c r="M678" s="190" t="s">
        <v>210</v>
      </c>
      <c r="N678" s="190">
        <v>3499</v>
      </c>
      <c r="O678" s="190">
        <v>2800</v>
      </c>
      <c r="P678" s="190">
        <v>18</v>
      </c>
      <c r="Q678" s="190">
        <v>2025</v>
      </c>
      <c r="R678" s="190">
        <v>2</v>
      </c>
    </row>
    <row r="679" spans="1:18" x14ac:dyDescent="0.2">
      <c r="A679" s="190" t="s">
        <v>48</v>
      </c>
      <c r="B679" s="191" t="s">
        <v>248</v>
      </c>
      <c r="C679" s="191" t="s">
        <v>5</v>
      </c>
      <c r="D679" s="191" t="s">
        <v>249</v>
      </c>
      <c r="E679" s="191" t="s">
        <v>250</v>
      </c>
      <c r="F679" s="190" t="s">
        <v>250</v>
      </c>
      <c r="G679" s="190" t="s">
        <v>251</v>
      </c>
      <c r="H679" s="190" t="s">
        <v>21</v>
      </c>
      <c r="I679" s="191" t="s">
        <v>570</v>
      </c>
      <c r="J679" s="190" t="s">
        <v>665</v>
      </c>
      <c r="K679" s="191" t="s">
        <v>666</v>
      </c>
      <c r="L679" s="192" t="s">
        <v>205</v>
      </c>
      <c r="M679" s="190" t="s">
        <v>210</v>
      </c>
      <c r="N679" s="190">
        <v>4000</v>
      </c>
      <c r="O679" s="190">
        <v>2497</v>
      </c>
      <c r="P679" s="190">
        <v>19</v>
      </c>
      <c r="Q679" s="190">
        <v>2024</v>
      </c>
      <c r="R679" s="190">
        <v>2</v>
      </c>
    </row>
    <row r="680" spans="1:18" x14ac:dyDescent="0.2">
      <c r="A680" s="190" t="s">
        <v>48</v>
      </c>
      <c r="B680" s="191" t="s">
        <v>248</v>
      </c>
      <c r="C680" s="191" t="s">
        <v>5</v>
      </c>
      <c r="D680" s="191" t="s">
        <v>249</v>
      </c>
      <c r="E680" s="191" t="s">
        <v>250</v>
      </c>
      <c r="F680" s="190" t="s">
        <v>250</v>
      </c>
      <c r="G680" s="190" t="s">
        <v>251</v>
      </c>
      <c r="H680" s="190" t="s">
        <v>29</v>
      </c>
      <c r="I680" s="191" t="s">
        <v>163</v>
      </c>
      <c r="J680" s="190" t="s">
        <v>281</v>
      </c>
      <c r="K680" s="191" t="s">
        <v>213</v>
      </c>
      <c r="L680" s="192" t="s">
        <v>205</v>
      </c>
      <c r="M680" s="190" t="s">
        <v>210</v>
      </c>
      <c r="N680" s="190">
        <v>4000</v>
      </c>
      <c r="O680" s="190">
        <v>2746</v>
      </c>
      <c r="P680" s="190">
        <v>17</v>
      </c>
      <c r="Q680" s="190">
        <v>2025</v>
      </c>
      <c r="R680" s="190">
        <v>2</v>
      </c>
    </row>
    <row r="681" spans="1:18" x14ac:dyDescent="0.2">
      <c r="A681" s="190" t="s">
        <v>48</v>
      </c>
      <c r="B681" s="191" t="s">
        <v>248</v>
      </c>
      <c r="C681" s="191" t="s">
        <v>5</v>
      </c>
      <c r="D681" s="191" t="s">
        <v>249</v>
      </c>
      <c r="E681" s="191" t="s">
        <v>250</v>
      </c>
      <c r="F681" s="190" t="s">
        <v>250</v>
      </c>
      <c r="G681" s="190" t="s">
        <v>251</v>
      </c>
      <c r="H681" s="190" t="s">
        <v>29</v>
      </c>
      <c r="I681" s="191" t="s">
        <v>163</v>
      </c>
      <c r="J681" s="190" t="s">
        <v>261</v>
      </c>
      <c r="K681" s="191" t="s">
        <v>213</v>
      </c>
      <c r="L681" s="192" t="s">
        <v>205</v>
      </c>
      <c r="M681" s="190" t="s">
        <v>210</v>
      </c>
      <c r="N681" s="190">
        <v>4000</v>
      </c>
      <c r="O681" s="190">
        <v>2746</v>
      </c>
      <c r="P681" s="190">
        <v>18</v>
      </c>
      <c r="Q681" s="190">
        <v>2025</v>
      </c>
      <c r="R681" s="190">
        <v>6</v>
      </c>
    </row>
    <row r="682" spans="1:18" x14ac:dyDescent="0.2">
      <c r="A682" s="190" t="s">
        <v>48</v>
      </c>
      <c r="B682" s="191" t="s">
        <v>248</v>
      </c>
      <c r="C682" s="191" t="s">
        <v>5</v>
      </c>
      <c r="D682" s="191" t="s">
        <v>249</v>
      </c>
      <c r="E682" s="191" t="s">
        <v>250</v>
      </c>
      <c r="F682" s="190" t="s">
        <v>250</v>
      </c>
      <c r="G682" s="190" t="s">
        <v>251</v>
      </c>
      <c r="H682" s="190" t="s">
        <v>32</v>
      </c>
      <c r="I682" s="191" t="s">
        <v>165</v>
      </c>
      <c r="J682" s="190" t="s">
        <v>670</v>
      </c>
      <c r="K682" s="191" t="s">
        <v>213</v>
      </c>
      <c r="L682" s="192" t="s">
        <v>205</v>
      </c>
      <c r="M682" s="190" t="s">
        <v>210</v>
      </c>
      <c r="N682" s="190">
        <v>3980</v>
      </c>
      <c r="O682" s="190">
        <v>2982</v>
      </c>
      <c r="P682" s="190">
        <v>20</v>
      </c>
      <c r="Q682" s="190">
        <v>2024</v>
      </c>
      <c r="R682" s="190">
        <v>1</v>
      </c>
    </row>
    <row r="683" spans="1:18" x14ac:dyDescent="0.2">
      <c r="A683" s="190" t="s">
        <v>48</v>
      </c>
      <c r="B683" s="191" t="s">
        <v>248</v>
      </c>
      <c r="C683" s="191" t="s">
        <v>5</v>
      </c>
      <c r="D683" s="191" t="s">
        <v>249</v>
      </c>
      <c r="E683" s="191" t="s">
        <v>250</v>
      </c>
      <c r="F683" s="190" t="s">
        <v>250</v>
      </c>
      <c r="G683" s="190" t="s">
        <v>251</v>
      </c>
      <c r="H683" s="190" t="s">
        <v>32</v>
      </c>
      <c r="I683" s="191" t="s">
        <v>165</v>
      </c>
      <c r="J683" s="190" t="s">
        <v>670</v>
      </c>
      <c r="K683" s="191" t="s">
        <v>213</v>
      </c>
      <c r="L683" s="192" t="s">
        <v>205</v>
      </c>
      <c r="M683" s="190" t="s">
        <v>210</v>
      </c>
      <c r="N683" s="190">
        <v>3980</v>
      </c>
      <c r="O683" s="190">
        <v>2982</v>
      </c>
      <c r="P683" s="190">
        <v>20</v>
      </c>
      <c r="Q683" s="190">
        <v>2025</v>
      </c>
      <c r="R683" s="190">
        <v>1</v>
      </c>
    </row>
    <row r="684" spans="1:18" x14ac:dyDescent="0.2">
      <c r="A684" s="190" t="s">
        <v>48</v>
      </c>
      <c r="B684" s="191" t="s">
        <v>248</v>
      </c>
      <c r="C684" s="191" t="s">
        <v>5</v>
      </c>
      <c r="D684" s="191" t="s">
        <v>249</v>
      </c>
      <c r="E684" s="191" t="s">
        <v>250</v>
      </c>
      <c r="F684" s="190" t="s">
        <v>250</v>
      </c>
      <c r="G684" s="190" t="s">
        <v>251</v>
      </c>
      <c r="H684" s="190" t="s">
        <v>32</v>
      </c>
      <c r="I684" s="191" t="s">
        <v>165</v>
      </c>
      <c r="J684" s="190" t="s">
        <v>337</v>
      </c>
      <c r="K684" s="191" t="s">
        <v>213</v>
      </c>
      <c r="L684" s="192" t="s">
        <v>205</v>
      </c>
      <c r="M684" s="190" t="s">
        <v>210</v>
      </c>
      <c r="N684" s="190">
        <v>3980</v>
      </c>
      <c r="O684" s="190">
        <v>2982</v>
      </c>
      <c r="P684" s="190">
        <v>20</v>
      </c>
      <c r="Q684" s="190">
        <v>2024</v>
      </c>
      <c r="R684" s="190">
        <v>1</v>
      </c>
    </row>
    <row r="685" spans="1:18" x14ac:dyDescent="0.2">
      <c r="A685" s="190" t="s">
        <v>48</v>
      </c>
      <c r="B685" s="191" t="s">
        <v>248</v>
      </c>
      <c r="C685" s="191" t="s">
        <v>5</v>
      </c>
      <c r="D685" s="191" t="s">
        <v>249</v>
      </c>
      <c r="E685" s="191" t="s">
        <v>250</v>
      </c>
      <c r="F685" s="190" t="s">
        <v>250</v>
      </c>
      <c r="G685" s="190" t="s">
        <v>251</v>
      </c>
      <c r="H685" s="190" t="s">
        <v>32</v>
      </c>
      <c r="I685" s="191" t="s">
        <v>165</v>
      </c>
      <c r="J685" s="190" t="s">
        <v>671</v>
      </c>
      <c r="K685" s="191" t="s">
        <v>213</v>
      </c>
      <c r="L685" s="192" t="s">
        <v>205</v>
      </c>
      <c r="M685" s="190" t="s">
        <v>210</v>
      </c>
      <c r="N685" s="190">
        <v>3980</v>
      </c>
      <c r="O685" s="190">
        <v>2498</v>
      </c>
      <c r="P685" s="190">
        <v>20</v>
      </c>
      <c r="Q685" s="190">
        <v>2024</v>
      </c>
      <c r="R685" s="190">
        <v>1</v>
      </c>
    </row>
    <row r="686" spans="1:18" x14ac:dyDescent="0.2">
      <c r="A686" s="190" t="s">
        <v>48</v>
      </c>
      <c r="B686" s="191" t="s">
        <v>248</v>
      </c>
      <c r="C686" s="191" t="s">
        <v>5</v>
      </c>
      <c r="D686" s="191" t="s">
        <v>249</v>
      </c>
      <c r="E686" s="191" t="s">
        <v>250</v>
      </c>
      <c r="F686" s="190" t="s">
        <v>250</v>
      </c>
      <c r="G686" s="190" t="s">
        <v>251</v>
      </c>
      <c r="H686" s="190" t="s">
        <v>32</v>
      </c>
      <c r="I686" s="191" t="s">
        <v>165</v>
      </c>
      <c r="J686" s="190" t="s">
        <v>659</v>
      </c>
      <c r="K686" s="191" t="s">
        <v>213</v>
      </c>
      <c r="L686" s="192" t="s">
        <v>205</v>
      </c>
      <c r="M686" s="190" t="s">
        <v>210</v>
      </c>
      <c r="N686" s="190">
        <v>3980</v>
      </c>
      <c r="O686" s="190">
        <v>2982</v>
      </c>
      <c r="P686" s="190">
        <v>20</v>
      </c>
      <c r="Q686" s="190">
        <v>2024</v>
      </c>
      <c r="R686" s="190">
        <v>1</v>
      </c>
    </row>
    <row r="687" spans="1:18" x14ac:dyDescent="0.2">
      <c r="A687" s="190" t="s">
        <v>48</v>
      </c>
      <c r="B687" s="191" t="s">
        <v>248</v>
      </c>
      <c r="C687" s="191" t="s">
        <v>5</v>
      </c>
      <c r="D687" s="191" t="s">
        <v>249</v>
      </c>
      <c r="E687" s="191" t="s">
        <v>250</v>
      </c>
      <c r="F687" s="190" t="s">
        <v>250</v>
      </c>
      <c r="G687" s="190" t="s">
        <v>251</v>
      </c>
      <c r="H687" s="190" t="s">
        <v>32</v>
      </c>
      <c r="I687" s="191" t="s">
        <v>165</v>
      </c>
      <c r="J687" s="190" t="s">
        <v>668</v>
      </c>
      <c r="K687" s="191" t="s">
        <v>213</v>
      </c>
      <c r="L687" s="192" t="s">
        <v>205</v>
      </c>
      <c r="M687" s="190" t="s">
        <v>210</v>
      </c>
      <c r="N687" s="190">
        <v>3980</v>
      </c>
      <c r="O687" s="190">
        <v>2498</v>
      </c>
      <c r="P687" s="190">
        <v>20</v>
      </c>
      <c r="Q687" s="190">
        <v>2024</v>
      </c>
      <c r="R687" s="190">
        <v>1</v>
      </c>
    </row>
    <row r="688" spans="1:18" x14ac:dyDescent="0.2">
      <c r="A688" s="190" t="s">
        <v>48</v>
      </c>
      <c r="B688" s="191" t="s">
        <v>248</v>
      </c>
      <c r="C688" s="191" t="s">
        <v>5</v>
      </c>
      <c r="D688" s="191" t="s">
        <v>249</v>
      </c>
      <c r="E688" s="191" t="s">
        <v>250</v>
      </c>
      <c r="F688" s="190" t="s">
        <v>250</v>
      </c>
      <c r="G688" s="190" t="s">
        <v>251</v>
      </c>
      <c r="H688" s="190" t="s">
        <v>32</v>
      </c>
      <c r="I688" s="191" t="s">
        <v>165</v>
      </c>
      <c r="J688" s="190" t="s">
        <v>395</v>
      </c>
      <c r="K688" s="191" t="s">
        <v>213</v>
      </c>
      <c r="L688" s="192" t="s">
        <v>205</v>
      </c>
      <c r="M688" s="190" t="s">
        <v>210</v>
      </c>
      <c r="N688" s="190">
        <v>3980</v>
      </c>
      <c r="O688" s="190">
        <v>2982</v>
      </c>
      <c r="P688" s="190">
        <v>20</v>
      </c>
      <c r="Q688" s="190">
        <v>2024</v>
      </c>
      <c r="R688" s="190">
        <v>1</v>
      </c>
    </row>
    <row r="689" spans="1:18" x14ac:dyDescent="0.2">
      <c r="A689" s="190" t="s">
        <v>48</v>
      </c>
      <c r="B689" s="191" t="s">
        <v>248</v>
      </c>
      <c r="C689" s="191" t="s">
        <v>5</v>
      </c>
      <c r="D689" s="191" t="s">
        <v>249</v>
      </c>
      <c r="E689" s="191" t="s">
        <v>250</v>
      </c>
      <c r="F689" s="190" t="s">
        <v>250</v>
      </c>
      <c r="G689" s="190" t="s">
        <v>251</v>
      </c>
      <c r="H689" s="190" t="s">
        <v>32</v>
      </c>
      <c r="I689" s="191" t="s">
        <v>165</v>
      </c>
      <c r="J689" s="190" t="s">
        <v>395</v>
      </c>
      <c r="K689" s="191" t="s">
        <v>213</v>
      </c>
      <c r="L689" s="192" t="s">
        <v>205</v>
      </c>
      <c r="M689" s="190" t="s">
        <v>210</v>
      </c>
      <c r="N689" s="190">
        <v>3980</v>
      </c>
      <c r="O689" s="190">
        <v>2982</v>
      </c>
      <c r="P689" s="190">
        <v>20</v>
      </c>
      <c r="Q689" s="190">
        <v>2025</v>
      </c>
      <c r="R689" s="190">
        <v>11</v>
      </c>
    </row>
    <row r="690" spans="1:18" x14ac:dyDescent="0.2">
      <c r="A690" s="190" t="s">
        <v>48</v>
      </c>
      <c r="B690" s="191" t="s">
        <v>248</v>
      </c>
      <c r="C690" s="191" t="s">
        <v>5</v>
      </c>
      <c r="D690" s="191" t="s">
        <v>249</v>
      </c>
      <c r="E690" s="191" t="s">
        <v>250</v>
      </c>
      <c r="F690" s="190" t="s">
        <v>250</v>
      </c>
      <c r="G690" s="190" t="s">
        <v>251</v>
      </c>
      <c r="H690" s="190" t="s">
        <v>32</v>
      </c>
      <c r="I690" s="191" t="s">
        <v>166</v>
      </c>
      <c r="J690" s="190" t="s">
        <v>370</v>
      </c>
      <c r="K690" s="191" t="s">
        <v>213</v>
      </c>
      <c r="L690" s="192" t="s">
        <v>205</v>
      </c>
      <c r="M690" s="190" t="s">
        <v>210</v>
      </c>
      <c r="N690" s="190">
        <v>3510</v>
      </c>
      <c r="O690" s="190">
        <v>2498</v>
      </c>
      <c r="P690" s="190">
        <v>17</v>
      </c>
      <c r="Q690" s="190">
        <v>2024</v>
      </c>
      <c r="R690" s="190">
        <v>1</v>
      </c>
    </row>
    <row r="691" spans="1:18" x14ac:dyDescent="0.2">
      <c r="A691" s="190" t="s">
        <v>48</v>
      </c>
      <c r="B691" s="191" t="s">
        <v>248</v>
      </c>
      <c r="C691" s="191" t="s">
        <v>5</v>
      </c>
      <c r="D691" s="191" t="s">
        <v>249</v>
      </c>
      <c r="E691" s="191" t="s">
        <v>250</v>
      </c>
      <c r="F691" s="190" t="s">
        <v>250</v>
      </c>
      <c r="G691" s="190" t="s">
        <v>251</v>
      </c>
      <c r="H691" s="190" t="s">
        <v>33</v>
      </c>
      <c r="I691" s="191" t="s">
        <v>575</v>
      </c>
      <c r="J691" s="190" t="s">
        <v>168</v>
      </c>
      <c r="K691" s="191" t="s">
        <v>213</v>
      </c>
      <c r="L691" s="192" t="s">
        <v>205</v>
      </c>
      <c r="M691" s="190" t="s">
        <v>210</v>
      </c>
      <c r="N691" s="190">
        <v>3900</v>
      </c>
      <c r="O691" s="190">
        <v>3000</v>
      </c>
      <c r="P691" s="190">
        <v>20</v>
      </c>
      <c r="Q691" s="190">
        <v>2025</v>
      </c>
      <c r="R691" s="190">
        <v>1</v>
      </c>
    </row>
    <row r="692" spans="1:18" x14ac:dyDescent="0.2">
      <c r="A692" s="190" t="s">
        <v>48</v>
      </c>
      <c r="B692" s="191" t="s">
        <v>248</v>
      </c>
      <c r="C692" s="191" t="s">
        <v>5</v>
      </c>
      <c r="D692" s="191" t="s">
        <v>249</v>
      </c>
      <c r="E692" s="191" t="s">
        <v>250</v>
      </c>
      <c r="F692" s="190" t="s">
        <v>250</v>
      </c>
      <c r="G692" s="190" t="s">
        <v>251</v>
      </c>
      <c r="H692" s="190" t="s">
        <v>33</v>
      </c>
      <c r="I692" s="191" t="s">
        <v>576</v>
      </c>
      <c r="J692" s="190" t="s">
        <v>167</v>
      </c>
      <c r="K692" s="191" t="s">
        <v>213</v>
      </c>
      <c r="L692" s="192" t="s">
        <v>205</v>
      </c>
      <c r="M692" s="190" t="s">
        <v>210</v>
      </c>
      <c r="N692" s="190">
        <v>3380</v>
      </c>
      <c r="O692" s="190">
        <v>2488</v>
      </c>
      <c r="P692" s="190">
        <v>17</v>
      </c>
      <c r="Q692" s="190">
        <v>2025</v>
      </c>
      <c r="R692" s="190">
        <v>3</v>
      </c>
    </row>
    <row r="693" spans="1:18" x14ac:dyDescent="0.2">
      <c r="A693" s="190" t="s">
        <v>48</v>
      </c>
      <c r="B693" s="191" t="s">
        <v>248</v>
      </c>
      <c r="C693" s="191" t="s">
        <v>5</v>
      </c>
      <c r="D693" s="191" t="s">
        <v>249</v>
      </c>
      <c r="E693" s="191" t="s">
        <v>250</v>
      </c>
      <c r="F693" s="190" t="s">
        <v>250</v>
      </c>
      <c r="G693" s="190" t="s">
        <v>251</v>
      </c>
      <c r="H693" s="190" t="s">
        <v>447</v>
      </c>
      <c r="I693" s="191" t="s">
        <v>580</v>
      </c>
      <c r="J693" s="190" t="s">
        <v>580</v>
      </c>
      <c r="K693" s="191" t="s">
        <v>213</v>
      </c>
      <c r="L693" s="192" t="s">
        <v>205</v>
      </c>
      <c r="M693" s="190" t="s">
        <v>210</v>
      </c>
      <c r="N693" s="190">
        <v>4050</v>
      </c>
      <c r="O693" s="190">
        <v>1996</v>
      </c>
      <c r="P693" s="190">
        <v>16</v>
      </c>
      <c r="Q693" s="190">
        <v>2024</v>
      </c>
      <c r="R693" s="190">
        <v>2</v>
      </c>
    </row>
    <row r="694" spans="1:18" x14ac:dyDescent="0.2">
      <c r="A694" s="190" t="s">
        <v>48</v>
      </c>
      <c r="B694" s="191" t="s">
        <v>248</v>
      </c>
      <c r="C694" s="191" t="s">
        <v>5</v>
      </c>
      <c r="D694" s="191" t="s">
        <v>249</v>
      </c>
      <c r="E694" s="191" t="s">
        <v>250</v>
      </c>
      <c r="F694" s="190" t="s">
        <v>250</v>
      </c>
      <c r="G694" s="190" t="s">
        <v>251</v>
      </c>
      <c r="H694" s="190" t="s">
        <v>447</v>
      </c>
      <c r="I694" s="191" t="s">
        <v>580</v>
      </c>
      <c r="J694" s="190" t="s">
        <v>580</v>
      </c>
      <c r="K694" s="191" t="s">
        <v>213</v>
      </c>
      <c r="L694" s="192" t="s">
        <v>205</v>
      </c>
      <c r="M694" s="190" t="s">
        <v>210</v>
      </c>
      <c r="N694" s="190">
        <v>4050</v>
      </c>
      <c r="O694" s="190">
        <v>1996</v>
      </c>
      <c r="P694" s="190">
        <v>16</v>
      </c>
      <c r="Q694" s="190">
        <v>2025</v>
      </c>
      <c r="R694" s="190">
        <v>2</v>
      </c>
    </row>
    <row r="695" spans="1:18" x14ac:dyDescent="0.2">
      <c r="A695" s="190" t="s">
        <v>48</v>
      </c>
      <c r="B695" s="191" t="s">
        <v>248</v>
      </c>
      <c r="C695" s="191" t="s">
        <v>5</v>
      </c>
      <c r="D695" s="191" t="s">
        <v>249</v>
      </c>
      <c r="E695" s="191" t="s">
        <v>250</v>
      </c>
      <c r="F695" s="190" t="s">
        <v>250</v>
      </c>
      <c r="G695" s="190" t="s">
        <v>251</v>
      </c>
      <c r="H695" s="190" t="s">
        <v>447</v>
      </c>
      <c r="I695" s="191" t="s">
        <v>581</v>
      </c>
      <c r="J695" s="190" t="s">
        <v>749</v>
      </c>
      <c r="K695" s="191" t="s">
        <v>213</v>
      </c>
      <c r="L695" s="192" t="s">
        <v>678</v>
      </c>
      <c r="M695" s="190" t="s">
        <v>210</v>
      </c>
      <c r="N695" s="190">
        <v>4050</v>
      </c>
      <c r="O695" s="190">
        <v>0</v>
      </c>
      <c r="P695" s="190">
        <v>16</v>
      </c>
      <c r="Q695" s="190">
        <v>2025</v>
      </c>
      <c r="R695" s="190">
        <v>1</v>
      </c>
    </row>
    <row r="696" spans="1:18" x14ac:dyDescent="0.2">
      <c r="A696" s="190" t="s">
        <v>48</v>
      </c>
      <c r="B696" s="191" t="s">
        <v>248</v>
      </c>
      <c r="C696" s="191" t="s">
        <v>5</v>
      </c>
      <c r="D696" s="191" t="s">
        <v>249</v>
      </c>
      <c r="E696" s="191" t="s">
        <v>250</v>
      </c>
      <c r="F696" s="190" t="s">
        <v>250</v>
      </c>
      <c r="G696" s="190" t="s">
        <v>251</v>
      </c>
      <c r="H696" s="190" t="s">
        <v>19</v>
      </c>
      <c r="I696" s="191" t="s">
        <v>585</v>
      </c>
      <c r="J696" s="190" t="s">
        <v>652</v>
      </c>
      <c r="K696" s="191" t="s">
        <v>252</v>
      </c>
      <c r="L696" s="192" t="s">
        <v>205</v>
      </c>
      <c r="M696" s="190" t="s">
        <v>210</v>
      </c>
      <c r="N696" s="190">
        <v>5000</v>
      </c>
      <c r="O696" s="190">
        <v>1950</v>
      </c>
      <c r="P696" s="190">
        <v>21</v>
      </c>
      <c r="Q696" s="190">
        <v>2025</v>
      </c>
      <c r="R696" s="190">
        <v>1</v>
      </c>
    </row>
    <row r="697" spans="1:18" x14ac:dyDescent="0.2">
      <c r="A697" s="190" t="s">
        <v>48</v>
      </c>
      <c r="B697" s="191" t="s">
        <v>248</v>
      </c>
      <c r="C697" s="191" t="s">
        <v>5</v>
      </c>
      <c r="D697" s="191" t="s">
        <v>249</v>
      </c>
      <c r="E697" s="191" t="s">
        <v>250</v>
      </c>
      <c r="F697" s="190" t="s">
        <v>250</v>
      </c>
      <c r="G697" s="190" t="s">
        <v>251</v>
      </c>
      <c r="H697" s="190" t="s">
        <v>19</v>
      </c>
      <c r="I697" s="191" t="s">
        <v>586</v>
      </c>
      <c r="J697" s="190" t="s">
        <v>735</v>
      </c>
      <c r="K697" s="191" t="s">
        <v>252</v>
      </c>
      <c r="L697" s="192" t="s">
        <v>205</v>
      </c>
      <c r="M697" s="190" t="s">
        <v>210</v>
      </c>
      <c r="N697" s="190">
        <v>3880</v>
      </c>
      <c r="O697" s="190">
        <v>1950</v>
      </c>
      <c r="P697" s="190">
        <v>19</v>
      </c>
      <c r="Q697" s="190">
        <v>2024</v>
      </c>
      <c r="R697" s="190">
        <v>1</v>
      </c>
    </row>
    <row r="698" spans="1:18" x14ac:dyDescent="0.2">
      <c r="A698" s="190" t="s">
        <v>48</v>
      </c>
      <c r="B698" s="191" t="s">
        <v>248</v>
      </c>
      <c r="C698" s="191" t="s">
        <v>5</v>
      </c>
      <c r="D698" s="191" t="s">
        <v>249</v>
      </c>
      <c r="E698" s="191" t="s">
        <v>250</v>
      </c>
      <c r="F698" s="190" t="s">
        <v>250</v>
      </c>
      <c r="G698" s="190" t="s">
        <v>251</v>
      </c>
      <c r="H698" s="190" t="s">
        <v>19</v>
      </c>
      <c r="I698" s="191" t="s">
        <v>586</v>
      </c>
      <c r="J698" s="190" t="s">
        <v>651</v>
      </c>
      <c r="K698" s="191" t="s">
        <v>252</v>
      </c>
      <c r="L698" s="192" t="s">
        <v>205</v>
      </c>
      <c r="M698" s="190" t="s">
        <v>210</v>
      </c>
      <c r="N698" s="190">
        <v>3880</v>
      </c>
      <c r="O698" s="190">
        <v>1950</v>
      </c>
      <c r="P698" s="190">
        <v>19</v>
      </c>
      <c r="Q698" s="190">
        <v>2025</v>
      </c>
      <c r="R698" s="190">
        <v>2</v>
      </c>
    </row>
    <row r="699" spans="1:18" x14ac:dyDescent="0.2">
      <c r="A699" s="190" t="s">
        <v>48</v>
      </c>
      <c r="B699" s="191" t="s">
        <v>248</v>
      </c>
      <c r="C699" s="191" t="s">
        <v>5</v>
      </c>
      <c r="D699" s="191" t="s">
        <v>249</v>
      </c>
      <c r="E699" s="191" t="s">
        <v>250</v>
      </c>
      <c r="F699" s="190" t="s">
        <v>250</v>
      </c>
      <c r="G699" s="190" t="s">
        <v>251</v>
      </c>
      <c r="H699" s="190" t="s">
        <v>426</v>
      </c>
      <c r="I699" s="191" t="s">
        <v>610</v>
      </c>
      <c r="J699" s="190" t="s">
        <v>663</v>
      </c>
      <c r="K699" s="191" t="s">
        <v>213</v>
      </c>
      <c r="L699" s="192" t="s">
        <v>205</v>
      </c>
      <c r="M699" s="190" t="s">
        <v>210</v>
      </c>
      <c r="N699" s="190">
        <v>4480</v>
      </c>
      <c r="O699" s="190">
        <v>2982</v>
      </c>
      <c r="P699" s="190">
        <v>17</v>
      </c>
      <c r="Q699" s="190">
        <v>2024</v>
      </c>
      <c r="R699" s="190">
        <v>2</v>
      </c>
    </row>
    <row r="700" spans="1:18" x14ac:dyDescent="0.2">
      <c r="A700" s="190" t="s">
        <v>48</v>
      </c>
      <c r="B700" s="191" t="s">
        <v>248</v>
      </c>
      <c r="C700" s="191" t="s">
        <v>5</v>
      </c>
      <c r="D700" s="191" t="s">
        <v>249</v>
      </c>
      <c r="E700" s="191" t="s">
        <v>250</v>
      </c>
      <c r="F700" s="190" t="s">
        <v>250</v>
      </c>
      <c r="G700" s="190" t="s">
        <v>253</v>
      </c>
      <c r="H700" s="190" t="s">
        <v>68</v>
      </c>
      <c r="I700" s="191" t="s">
        <v>298</v>
      </c>
      <c r="J700" s="190" t="s">
        <v>661</v>
      </c>
      <c r="K700" s="191" t="s">
        <v>213</v>
      </c>
      <c r="L700" s="192" t="s">
        <v>205</v>
      </c>
      <c r="M700" s="190" t="s">
        <v>210</v>
      </c>
      <c r="N700" s="190">
        <v>5415</v>
      </c>
      <c r="O700" s="190">
        <v>2800</v>
      </c>
      <c r="P700" s="190">
        <v>23</v>
      </c>
      <c r="Q700" s="190">
        <v>2025</v>
      </c>
      <c r="R700" s="190">
        <v>6</v>
      </c>
    </row>
    <row r="701" spans="1:18" x14ac:dyDescent="0.2">
      <c r="A701" s="190" t="s">
        <v>48</v>
      </c>
      <c r="B701" s="191" t="s">
        <v>248</v>
      </c>
      <c r="C701" s="191" t="s">
        <v>5</v>
      </c>
      <c r="D701" s="191" t="s">
        <v>249</v>
      </c>
      <c r="E701" s="191" t="s">
        <v>250</v>
      </c>
      <c r="F701" s="190" t="s">
        <v>250</v>
      </c>
      <c r="G701" s="190" t="s">
        <v>253</v>
      </c>
      <c r="H701" s="190" t="s">
        <v>65</v>
      </c>
      <c r="I701" s="191" t="s">
        <v>160</v>
      </c>
      <c r="J701" s="190" t="s">
        <v>254</v>
      </c>
      <c r="K701" s="191" t="s">
        <v>221</v>
      </c>
      <c r="L701" s="192" t="s">
        <v>205</v>
      </c>
      <c r="M701" s="190" t="s">
        <v>210</v>
      </c>
      <c r="N701" s="190">
        <v>6200</v>
      </c>
      <c r="O701" s="190">
        <v>4899</v>
      </c>
      <c r="P701" s="190">
        <v>33</v>
      </c>
      <c r="Q701" s="190">
        <v>2025</v>
      </c>
      <c r="R701" s="190">
        <v>8</v>
      </c>
    </row>
    <row r="702" spans="1:18" x14ac:dyDescent="0.2">
      <c r="A702" s="190" t="s">
        <v>48</v>
      </c>
      <c r="B702" s="191" t="s">
        <v>248</v>
      </c>
      <c r="C702" s="191" t="s">
        <v>5</v>
      </c>
      <c r="D702" s="191" t="s">
        <v>249</v>
      </c>
      <c r="E702" s="191" t="s">
        <v>250</v>
      </c>
      <c r="F702" s="190" t="s">
        <v>250</v>
      </c>
      <c r="G702" s="190" t="s">
        <v>253</v>
      </c>
      <c r="H702" s="190" t="s">
        <v>21</v>
      </c>
      <c r="I702" s="191" t="s">
        <v>162</v>
      </c>
      <c r="J702" s="190" t="s">
        <v>255</v>
      </c>
      <c r="K702" s="191" t="s">
        <v>227</v>
      </c>
      <c r="L702" s="192" t="s">
        <v>205</v>
      </c>
      <c r="M702" s="190" t="s">
        <v>210</v>
      </c>
      <c r="N702" s="190">
        <v>6895</v>
      </c>
      <c r="O702" s="190">
        <v>3933</v>
      </c>
      <c r="P702" s="190">
        <v>32</v>
      </c>
      <c r="Q702" s="190">
        <v>2025</v>
      </c>
      <c r="R702" s="190">
        <v>6</v>
      </c>
    </row>
    <row r="703" spans="1:18" x14ac:dyDescent="0.2">
      <c r="A703" s="190" t="s">
        <v>48</v>
      </c>
      <c r="B703" s="191" t="s">
        <v>248</v>
      </c>
      <c r="C703" s="191" t="s">
        <v>5</v>
      </c>
      <c r="D703" s="191" t="s">
        <v>249</v>
      </c>
      <c r="E703" s="191" t="s">
        <v>250</v>
      </c>
      <c r="F703" s="190" t="s">
        <v>250</v>
      </c>
      <c r="G703" s="190" t="s">
        <v>253</v>
      </c>
      <c r="H703" s="190" t="s">
        <v>21</v>
      </c>
      <c r="I703" s="191" t="s">
        <v>162</v>
      </c>
      <c r="J703" s="190" t="s">
        <v>255</v>
      </c>
      <c r="K703" s="191" t="s">
        <v>227</v>
      </c>
      <c r="L703" s="192" t="s">
        <v>205</v>
      </c>
      <c r="M703" s="190" t="s">
        <v>210</v>
      </c>
      <c r="N703" s="190">
        <v>6320</v>
      </c>
      <c r="O703" s="190">
        <v>3933</v>
      </c>
      <c r="P703" s="190">
        <v>28</v>
      </c>
      <c r="Q703" s="190">
        <v>2025</v>
      </c>
      <c r="R703" s="190">
        <v>8</v>
      </c>
    </row>
    <row r="704" spans="1:18" x14ac:dyDescent="0.2">
      <c r="A704" s="190" t="s">
        <v>48</v>
      </c>
      <c r="B704" s="191" t="s">
        <v>248</v>
      </c>
      <c r="C704" s="191" t="s">
        <v>5</v>
      </c>
      <c r="D704" s="191" t="s">
        <v>249</v>
      </c>
      <c r="E704" s="191" t="s">
        <v>250</v>
      </c>
      <c r="F704" s="190" t="s">
        <v>250</v>
      </c>
      <c r="G704" s="190" t="s">
        <v>253</v>
      </c>
      <c r="H704" s="190" t="s">
        <v>21</v>
      </c>
      <c r="I704" s="191" t="s">
        <v>162</v>
      </c>
      <c r="J704" s="190" t="s">
        <v>255</v>
      </c>
      <c r="K704" s="191" t="s">
        <v>381</v>
      </c>
      <c r="L704" s="192" t="s">
        <v>205</v>
      </c>
      <c r="M704" s="190" t="s">
        <v>210</v>
      </c>
      <c r="N704" s="190">
        <v>6895</v>
      </c>
      <c r="O704" s="190">
        <v>3933</v>
      </c>
      <c r="P704" s="190">
        <v>32</v>
      </c>
      <c r="Q704" s="190">
        <v>2025</v>
      </c>
      <c r="R704" s="190">
        <v>1</v>
      </c>
    </row>
    <row r="705" spans="1:18" x14ac:dyDescent="0.2">
      <c r="A705" s="190" t="s">
        <v>48</v>
      </c>
      <c r="B705" s="191" t="s">
        <v>248</v>
      </c>
      <c r="C705" s="191" t="s">
        <v>5</v>
      </c>
      <c r="D705" s="191" t="s">
        <v>249</v>
      </c>
      <c r="E705" s="191" t="s">
        <v>250</v>
      </c>
      <c r="F705" s="190" t="s">
        <v>250</v>
      </c>
      <c r="G705" s="190" t="s">
        <v>253</v>
      </c>
      <c r="H705" s="190" t="s">
        <v>45</v>
      </c>
      <c r="I705" s="191" t="s">
        <v>327</v>
      </c>
      <c r="J705" s="190" t="s">
        <v>348</v>
      </c>
      <c r="K705" s="191" t="s">
        <v>204</v>
      </c>
      <c r="L705" s="192" t="s">
        <v>205</v>
      </c>
      <c r="M705" s="190" t="s">
        <v>210</v>
      </c>
      <c r="N705" s="190">
        <v>5050</v>
      </c>
      <c r="O705" s="190">
        <v>2998</v>
      </c>
      <c r="P705" s="190">
        <v>19</v>
      </c>
      <c r="Q705" s="190">
        <v>2023</v>
      </c>
      <c r="R705" s="190">
        <v>3</v>
      </c>
    </row>
    <row r="706" spans="1:18" x14ac:dyDescent="0.2">
      <c r="A706" s="190" t="s">
        <v>48</v>
      </c>
      <c r="B706" s="191" t="s">
        <v>248</v>
      </c>
      <c r="C706" s="191" t="s">
        <v>5</v>
      </c>
      <c r="D706" s="191" t="s">
        <v>249</v>
      </c>
      <c r="E706" s="191" t="s">
        <v>250</v>
      </c>
      <c r="F706" s="190" t="s">
        <v>250</v>
      </c>
      <c r="G706" s="190" t="s">
        <v>253</v>
      </c>
      <c r="H706" s="190" t="s">
        <v>19</v>
      </c>
      <c r="I706" s="191" t="s">
        <v>585</v>
      </c>
      <c r="J706" s="190" t="s">
        <v>652</v>
      </c>
      <c r="K706" s="191" t="s">
        <v>252</v>
      </c>
      <c r="L706" s="192" t="s">
        <v>205</v>
      </c>
      <c r="M706" s="190" t="s">
        <v>210</v>
      </c>
      <c r="N706" s="190">
        <v>5050</v>
      </c>
      <c r="O706" s="190">
        <v>1950</v>
      </c>
      <c r="P706" s="190">
        <v>20</v>
      </c>
      <c r="Q706" s="190">
        <v>2025</v>
      </c>
      <c r="R706" s="190">
        <v>2</v>
      </c>
    </row>
    <row r="707" spans="1:18" x14ac:dyDescent="0.2">
      <c r="A707" s="190" t="s">
        <v>48</v>
      </c>
      <c r="B707" s="191" t="s">
        <v>248</v>
      </c>
      <c r="C707" s="191" t="s">
        <v>5</v>
      </c>
      <c r="D707" s="191" t="s">
        <v>249</v>
      </c>
      <c r="E707" s="191" t="s">
        <v>250</v>
      </c>
      <c r="F707" s="190" t="s">
        <v>250</v>
      </c>
      <c r="G707" s="190" t="s">
        <v>253</v>
      </c>
      <c r="H707" s="190" t="s">
        <v>19</v>
      </c>
      <c r="I707" s="191" t="s">
        <v>585</v>
      </c>
      <c r="J707" s="190" t="s">
        <v>652</v>
      </c>
      <c r="K707" s="191" t="s">
        <v>252</v>
      </c>
      <c r="L707" s="192" t="s">
        <v>205</v>
      </c>
      <c r="M707" s="190" t="s">
        <v>210</v>
      </c>
      <c r="N707" s="190">
        <v>5050</v>
      </c>
      <c r="O707" s="190">
        <v>1950</v>
      </c>
      <c r="P707" s="190">
        <v>21</v>
      </c>
      <c r="Q707" s="190">
        <v>2025</v>
      </c>
      <c r="R707" s="190">
        <v>3</v>
      </c>
    </row>
    <row r="708" spans="1:18" x14ac:dyDescent="0.2">
      <c r="A708" s="190" t="s">
        <v>48</v>
      </c>
      <c r="B708" s="191" t="s">
        <v>248</v>
      </c>
      <c r="C708" s="191" t="s">
        <v>5</v>
      </c>
      <c r="D708" s="191" t="s">
        <v>249</v>
      </c>
      <c r="E708" s="191" t="s">
        <v>250</v>
      </c>
      <c r="F708" s="190" t="s">
        <v>250</v>
      </c>
      <c r="G708" s="190" t="s">
        <v>253</v>
      </c>
      <c r="H708" s="190" t="s">
        <v>19</v>
      </c>
      <c r="I708" s="191" t="s">
        <v>585</v>
      </c>
      <c r="J708" s="190" t="s">
        <v>652</v>
      </c>
      <c r="K708" s="191" t="s">
        <v>240</v>
      </c>
      <c r="L708" s="192" t="s">
        <v>205</v>
      </c>
      <c r="M708" s="190" t="s">
        <v>210</v>
      </c>
      <c r="N708" s="190">
        <v>5050</v>
      </c>
      <c r="O708" s="190">
        <v>1950</v>
      </c>
      <c r="P708" s="190">
        <v>21</v>
      </c>
      <c r="Q708" s="190">
        <v>2025</v>
      </c>
      <c r="R708" s="190">
        <v>1</v>
      </c>
    </row>
    <row r="709" spans="1:18" x14ac:dyDescent="0.2">
      <c r="A709" s="190" t="s">
        <v>48</v>
      </c>
      <c r="B709" s="191" t="s">
        <v>248</v>
      </c>
      <c r="C709" s="191" t="s">
        <v>5</v>
      </c>
      <c r="D709" s="191" t="s">
        <v>249</v>
      </c>
      <c r="E709" s="191" t="s">
        <v>250</v>
      </c>
      <c r="F709" s="190" t="s">
        <v>250</v>
      </c>
      <c r="G709" s="190" t="s">
        <v>253</v>
      </c>
      <c r="H709" s="190" t="s">
        <v>453</v>
      </c>
      <c r="I709" s="191" t="s">
        <v>591</v>
      </c>
      <c r="J709" s="190" t="s">
        <v>716</v>
      </c>
      <c r="K709" s="191" t="s">
        <v>204</v>
      </c>
      <c r="L709" s="192" t="s">
        <v>205</v>
      </c>
      <c r="M709" s="190" t="s">
        <v>234</v>
      </c>
      <c r="N709" s="190">
        <v>8500</v>
      </c>
      <c r="O709" s="190">
        <v>3760</v>
      </c>
      <c r="P709" s="190">
        <v>20</v>
      </c>
      <c r="Q709" s="190">
        <v>2025</v>
      </c>
      <c r="R709" s="190">
        <v>1</v>
      </c>
    </row>
    <row r="710" spans="1:18" x14ac:dyDescent="0.2">
      <c r="A710" s="190" t="s">
        <v>48</v>
      </c>
      <c r="B710" s="191" t="s">
        <v>248</v>
      </c>
      <c r="C710" s="191" t="s">
        <v>5</v>
      </c>
      <c r="D710" s="191" t="s">
        <v>249</v>
      </c>
      <c r="E710" s="191" t="s">
        <v>256</v>
      </c>
      <c r="F710" s="190" t="s">
        <v>256</v>
      </c>
      <c r="G710" s="190" t="s">
        <v>253</v>
      </c>
      <c r="H710" s="190" t="s">
        <v>33</v>
      </c>
      <c r="I710" s="191" t="s">
        <v>577</v>
      </c>
      <c r="J710" s="190" t="s">
        <v>717</v>
      </c>
      <c r="K710" s="191" t="s">
        <v>213</v>
      </c>
      <c r="L710" s="192" t="s">
        <v>678</v>
      </c>
      <c r="M710" s="190" t="s">
        <v>210</v>
      </c>
      <c r="N710" s="190">
        <v>18000</v>
      </c>
      <c r="O710" s="190">
        <v>0</v>
      </c>
      <c r="P710" s="190">
        <v>46</v>
      </c>
      <c r="Q710" s="190">
        <v>2025</v>
      </c>
      <c r="R710" s="190">
        <v>3</v>
      </c>
    </row>
    <row r="711" spans="1:18" x14ac:dyDescent="0.2">
      <c r="A711" s="190" t="s">
        <v>48</v>
      </c>
      <c r="B711" s="191" t="s">
        <v>248</v>
      </c>
      <c r="C711" s="191" t="s">
        <v>5</v>
      </c>
      <c r="D711" s="191" t="s">
        <v>249</v>
      </c>
      <c r="E711" s="191" t="s">
        <v>256</v>
      </c>
      <c r="F711" s="190" t="s">
        <v>256</v>
      </c>
      <c r="G711" s="190" t="s">
        <v>253</v>
      </c>
      <c r="H711" s="190" t="s">
        <v>33</v>
      </c>
      <c r="I711" s="191" t="s">
        <v>579</v>
      </c>
      <c r="J711" s="190" t="s">
        <v>333</v>
      </c>
      <c r="K711" s="191" t="s">
        <v>213</v>
      </c>
      <c r="L711" s="192" t="s">
        <v>678</v>
      </c>
      <c r="M711" s="190" t="s">
        <v>210</v>
      </c>
      <c r="N711" s="190">
        <v>15000</v>
      </c>
      <c r="O711" s="190">
        <v>0</v>
      </c>
      <c r="P711" s="190">
        <v>28</v>
      </c>
      <c r="Q711" s="190">
        <v>2025</v>
      </c>
      <c r="R711" s="190">
        <v>2</v>
      </c>
    </row>
    <row r="712" spans="1:18" x14ac:dyDescent="0.2">
      <c r="A712" s="190" t="s">
        <v>48</v>
      </c>
      <c r="B712" s="191" t="s">
        <v>248</v>
      </c>
      <c r="C712" s="191" t="s">
        <v>5</v>
      </c>
      <c r="D712" s="191" t="s">
        <v>249</v>
      </c>
      <c r="E712" s="191" t="s">
        <v>256</v>
      </c>
      <c r="F712" s="190" t="s">
        <v>256</v>
      </c>
      <c r="G712" s="190" t="s">
        <v>253</v>
      </c>
      <c r="H712" s="190" t="s">
        <v>19</v>
      </c>
      <c r="I712" s="191" t="s">
        <v>390</v>
      </c>
      <c r="J712" s="190" t="s">
        <v>404</v>
      </c>
      <c r="K712" s="191" t="s">
        <v>204</v>
      </c>
      <c r="L712" s="192" t="s">
        <v>205</v>
      </c>
      <c r="M712" s="190" t="s">
        <v>242</v>
      </c>
      <c r="N712" s="190">
        <v>24000</v>
      </c>
      <c r="O712" s="190">
        <v>11967</v>
      </c>
      <c r="P712" s="190">
        <v>63</v>
      </c>
      <c r="Q712" s="190">
        <v>2025</v>
      </c>
      <c r="R712" s="190">
        <v>11</v>
      </c>
    </row>
    <row r="713" spans="1:18" x14ac:dyDescent="0.2">
      <c r="A713" s="190" t="s">
        <v>48</v>
      </c>
      <c r="B713" s="191" t="s">
        <v>248</v>
      </c>
      <c r="C713" s="191" t="s">
        <v>5</v>
      </c>
      <c r="D713" s="191" t="s">
        <v>249</v>
      </c>
      <c r="E713" s="191" t="s">
        <v>256</v>
      </c>
      <c r="F713" s="190" t="s">
        <v>256</v>
      </c>
      <c r="G713" s="190" t="s">
        <v>253</v>
      </c>
      <c r="H713" s="190" t="s">
        <v>19</v>
      </c>
      <c r="I713" s="191" t="s">
        <v>390</v>
      </c>
      <c r="J713" s="190" t="s">
        <v>718</v>
      </c>
      <c r="K713" s="191" t="s">
        <v>204</v>
      </c>
      <c r="L713" s="192" t="s">
        <v>205</v>
      </c>
      <c r="M713" s="190" t="s">
        <v>242</v>
      </c>
      <c r="N713" s="190">
        <v>24000</v>
      </c>
      <c r="O713" s="190">
        <v>12816</v>
      </c>
      <c r="P713" s="190">
        <v>46</v>
      </c>
      <c r="Q713" s="190">
        <v>2025</v>
      </c>
      <c r="R713" s="190">
        <v>7</v>
      </c>
    </row>
    <row r="714" spans="1:18" x14ac:dyDescent="0.2">
      <c r="A714" s="190" t="s">
        <v>48</v>
      </c>
      <c r="B714" s="191" t="s">
        <v>248</v>
      </c>
      <c r="C714" s="191" t="s">
        <v>5</v>
      </c>
      <c r="D714" s="191" t="s">
        <v>249</v>
      </c>
      <c r="E714" s="191" t="s">
        <v>256</v>
      </c>
      <c r="F714" s="190" t="s">
        <v>256</v>
      </c>
      <c r="G714" s="190" t="s">
        <v>253</v>
      </c>
      <c r="H714" s="190" t="s">
        <v>19</v>
      </c>
      <c r="I714" s="191" t="s">
        <v>390</v>
      </c>
      <c r="J714" s="190" t="s">
        <v>718</v>
      </c>
      <c r="K714" s="191" t="s">
        <v>204</v>
      </c>
      <c r="L714" s="192" t="s">
        <v>205</v>
      </c>
      <c r="M714" s="190" t="s">
        <v>242</v>
      </c>
      <c r="N714" s="190">
        <v>24000</v>
      </c>
      <c r="O714" s="190">
        <v>12816</v>
      </c>
      <c r="P714" s="190">
        <v>59</v>
      </c>
      <c r="Q714" s="190">
        <v>2025</v>
      </c>
      <c r="R714" s="190">
        <v>2</v>
      </c>
    </row>
    <row r="715" spans="1:18" x14ac:dyDescent="0.2">
      <c r="A715" s="190" t="s">
        <v>48</v>
      </c>
      <c r="B715" s="191" t="s">
        <v>248</v>
      </c>
      <c r="C715" s="191" t="s">
        <v>5</v>
      </c>
      <c r="D715" s="191" t="s">
        <v>249</v>
      </c>
      <c r="E715" s="191" t="s">
        <v>256</v>
      </c>
      <c r="F715" s="190" t="s">
        <v>256</v>
      </c>
      <c r="G715" s="190" t="s">
        <v>253</v>
      </c>
      <c r="H715" s="190" t="s">
        <v>19</v>
      </c>
      <c r="I715" s="191" t="s">
        <v>390</v>
      </c>
      <c r="J715" s="190" t="s">
        <v>718</v>
      </c>
      <c r="K715" s="191" t="s">
        <v>204</v>
      </c>
      <c r="L715" s="192" t="s">
        <v>205</v>
      </c>
      <c r="M715" s="190" t="s">
        <v>242</v>
      </c>
      <c r="N715" s="190">
        <v>24000</v>
      </c>
      <c r="O715" s="190">
        <v>12816</v>
      </c>
      <c r="P715" s="190">
        <v>43</v>
      </c>
      <c r="Q715" s="190">
        <v>2024</v>
      </c>
      <c r="R715" s="190">
        <v>11</v>
      </c>
    </row>
    <row r="716" spans="1:18" x14ac:dyDescent="0.2">
      <c r="A716" s="190" t="s">
        <v>48</v>
      </c>
      <c r="B716" s="191" t="s">
        <v>248</v>
      </c>
      <c r="C716" s="191" t="s">
        <v>5</v>
      </c>
      <c r="D716" s="191" t="s">
        <v>249</v>
      </c>
      <c r="E716" s="191" t="s">
        <v>256</v>
      </c>
      <c r="F716" s="190" t="s">
        <v>256</v>
      </c>
      <c r="G716" s="190" t="s">
        <v>253</v>
      </c>
      <c r="H716" s="190" t="s">
        <v>19</v>
      </c>
      <c r="I716" s="191" t="s">
        <v>390</v>
      </c>
      <c r="J716" s="190" t="s">
        <v>718</v>
      </c>
      <c r="K716" s="191" t="s">
        <v>204</v>
      </c>
      <c r="L716" s="192" t="s">
        <v>205</v>
      </c>
      <c r="M716" s="190" t="s">
        <v>242</v>
      </c>
      <c r="N716" s="190">
        <v>24000</v>
      </c>
      <c r="O716" s="190">
        <v>12816</v>
      </c>
      <c r="P716" s="190">
        <v>45</v>
      </c>
      <c r="Q716" s="190">
        <v>2025</v>
      </c>
      <c r="R716" s="190">
        <v>2</v>
      </c>
    </row>
    <row r="717" spans="1:18" x14ac:dyDescent="0.2">
      <c r="A717" s="190" t="s">
        <v>48</v>
      </c>
      <c r="B717" s="191" t="s">
        <v>248</v>
      </c>
      <c r="C717" s="191" t="s">
        <v>5</v>
      </c>
      <c r="D717" s="191" t="s">
        <v>249</v>
      </c>
      <c r="E717" s="191" t="s">
        <v>256</v>
      </c>
      <c r="F717" s="190" t="s">
        <v>256</v>
      </c>
      <c r="G717" s="190" t="s">
        <v>253</v>
      </c>
      <c r="H717" s="190" t="s">
        <v>19</v>
      </c>
      <c r="I717" s="191" t="s">
        <v>583</v>
      </c>
      <c r="J717" s="190" t="s">
        <v>653</v>
      </c>
      <c r="K717" s="191" t="s">
        <v>204</v>
      </c>
      <c r="L717" s="192" t="s">
        <v>205</v>
      </c>
      <c r="M717" s="190" t="s">
        <v>210</v>
      </c>
      <c r="N717" s="190">
        <v>17900</v>
      </c>
      <c r="O717" s="190">
        <v>7200</v>
      </c>
      <c r="P717" s="190">
        <v>47</v>
      </c>
      <c r="Q717" s="190">
        <v>2023</v>
      </c>
      <c r="R717" s="190">
        <v>2</v>
      </c>
    </row>
    <row r="718" spans="1:18" x14ac:dyDescent="0.2">
      <c r="A718" s="190" t="s">
        <v>48</v>
      </c>
      <c r="B718" s="191" t="s">
        <v>248</v>
      </c>
      <c r="C718" s="191" t="s">
        <v>5</v>
      </c>
      <c r="D718" s="191" t="s">
        <v>249</v>
      </c>
      <c r="E718" s="191" t="s">
        <v>256</v>
      </c>
      <c r="F718" s="190" t="s">
        <v>256</v>
      </c>
      <c r="G718" s="190" t="s">
        <v>253</v>
      </c>
      <c r="H718" s="190" t="s">
        <v>19</v>
      </c>
      <c r="I718" s="191" t="s">
        <v>366</v>
      </c>
      <c r="J718" s="190" t="s">
        <v>654</v>
      </c>
      <c r="K718" s="191" t="s">
        <v>204</v>
      </c>
      <c r="L718" s="192" t="s">
        <v>205</v>
      </c>
      <c r="M718" s="190" t="s">
        <v>210</v>
      </c>
      <c r="N718" s="190">
        <v>19600</v>
      </c>
      <c r="O718" s="190">
        <v>12816</v>
      </c>
      <c r="P718" s="190">
        <v>48</v>
      </c>
      <c r="Q718" s="190">
        <v>2024</v>
      </c>
      <c r="R718" s="190">
        <v>5</v>
      </c>
    </row>
    <row r="719" spans="1:18" x14ac:dyDescent="0.2">
      <c r="A719" s="190" t="s">
        <v>48</v>
      </c>
      <c r="B719" s="191" t="s">
        <v>248</v>
      </c>
      <c r="C719" s="191" t="s">
        <v>5</v>
      </c>
      <c r="D719" s="191" t="s">
        <v>249</v>
      </c>
      <c r="E719" s="191" t="s">
        <v>256</v>
      </c>
      <c r="F719" s="190" t="s">
        <v>256</v>
      </c>
      <c r="G719" s="190" t="s">
        <v>253</v>
      </c>
      <c r="H719" s="190" t="s">
        <v>25</v>
      </c>
      <c r="I719" s="191" t="s">
        <v>588</v>
      </c>
      <c r="J719" s="190" t="s">
        <v>588</v>
      </c>
      <c r="K719" s="191" t="s">
        <v>204</v>
      </c>
      <c r="L719" s="192" t="s">
        <v>205</v>
      </c>
      <c r="M719" s="190" t="s">
        <v>210</v>
      </c>
      <c r="N719" s="190">
        <v>19500</v>
      </c>
      <c r="O719" s="190">
        <v>9300</v>
      </c>
      <c r="P719" s="190">
        <v>28</v>
      </c>
      <c r="Q719" s="190">
        <v>2025</v>
      </c>
      <c r="R719" s="190">
        <v>2</v>
      </c>
    </row>
    <row r="720" spans="1:18" x14ac:dyDescent="0.2">
      <c r="A720" s="190" t="s">
        <v>48</v>
      </c>
      <c r="B720" s="191" t="s">
        <v>248</v>
      </c>
      <c r="C720" s="191" t="s">
        <v>5</v>
      </c>
      <c r="D720" s="191" t="s">
        <v>249</v>
      </c>
      <c r="E720" s="191" t="s">
        <v>256</v>
      </c>
      <c r="F720" s="190" t="s">
        <v>256</v>
      </c>
      <c r="G720" s="190" t="s">
        <v>253</v>
      </c>
      <c r="H720" s="190" t="s">
        <v>25</v>
      </c>
      <c r="I720" s="191" t="s">
        <v>406</v>
      </c>
      <c r="J720" s="190" t="s">
        <v>406</v>
      </c>
      <c r="K720" s="191" t="s">
        <v>204</v>
      </c>
      <c r="L720" s="192" t="s">
        <v>205</v>
      </c>
      <c r="M720" s="190" t="s">
        <v>242</v>
      </c>
      <c r="N720" s="190">
        <v>25000</v>
      </c>
      <c r="O720" s="190">
        <v>12700</v>
      </c>
      <c r="P720" s="190">
        <v>58</v>
      </c>
      <c r="Q720" s="190">
        <v>2025</v>
      </c>
      <c r="R720" s="190">
        <v>2</v>
      </c>
    </row>
    <row r="721" spans="1:18" x14ac:dyDescent="0.2">
      <c r="A721" s="190" t="s">
        <v>48</v>
      </c>
      <c r="B721" s="191" t="s">
        <v>248</v>
      </c>
      <c r="C721" s="191" t="s">
        <v>5</v>
      </c>
      <c r="D721" s="191" t="s">
        <v>249</v>
      </c>
      <c r="E721" s="191" t="s">
        <v>256</v>
      </c>
      <c r="F721" s="190" t="s">
        <v>256</v>
      </c>
      <c r="G721" s="190" t="s">
        <v>253</v>
      </c>
      <c r="H721" s="190" t="s">
        <v>25</v>
      </c>
      <c r="I721" s="191" t="s">
        <v>406</v>
      </c>
      <c r="J721" s="190" t="s">
        <v>406</v>
      </c>
      <c r="K721" s="191" t="s">
        <v>204</v>
      </c>
      <c r="L721" s="192" t="s">
        <v>205</v>
      </c>
      <c r="M721" s="190" t="s">
        <v>242</v>
      </c>
      <c r="N721" s="190">
        <v>25000</v>
      </c>
      <c r="O721" s="190">
        <v>12700</v>
      </c>
      <c r="P721" s="190">
        <v>62</v>
      </c>
      <c r="Q721" s="190">
        <v>2025</v>
      </c>
      <c r="R721" s="190">
        <v>3</v>
      </c>
    </row>
    <row r="722" spans="1:18" x14ac:dyDescent="0.2">
      <c r="A722" s="190" t="s">
        <v>48</v>
      </c>
      <c r="B722" s="191" t="s">
        <v>248</v>
      </c>
      <c r="C722" s="191" t="s">
        <v>5</v>
      </c>
      <c r="D722" s="191" t="s">
        <v>249</v>
      </c>
      <c r="E722" s="191" t="s">
        <v>256</v>
      </c>
      <c r="F722" s="190" t="s">
        <v>256</v>
      </c>
      <c r="G722" s="190" t="s">
        <v>253</v>
      </c>
      <c r="H722" s="190" t="s">
        <v>25</v>
      </c>
      <c r="I722" s="191" t="s">
        <v>406</v>
      </c>
      <c r="J722" s="190" t="s">
        <v>406</v>
      </c>
      <c r="K722" s="191" t="s">
        <v>204</v>
      </c>
      <c r="L722" s="192" t="s">
        <v>205</v>
      </c>
      <c r="M722" s="190" t="s">
        <v>242</v>
      </c>
      <c r="N722" s="190">
        <v>25000</v>
      </c>
      <c r="O722" s="190">
        <v>12700</v>
      </c>
      <c r="P722" s="190">
        <v>34</v>
      </c>
      <c r="Q722" s="190">
        <v>2025</v>
      </c>
      <c r="R722" s="190">
        <v>1</v>
      </c>
    </row>
    <row r="723" spans="1:18" x14ac:dyDescent="0.2">
      <c r="A723" s="190" t="s">
        <v>48</v>
      </c>
      <c r="B723" s="191" t="s">
        <v>248</v>
      </c>
      <c r="C723" s="191" t="s">
        <v>5</v>
      </c>
      <c r="D723" s="191" t="s">
        <v>249</v>
      </c>
      <c r="E723" s="191" t="s">
        <v>256</v>
      </c>
      <c r="F723" s="190" t="s">
        <v>256</v>
      </c>
      <c r="G723" s="190" t="s">
        <v>253</v>
      </c>
      <c r="H723" s="190" t="s">
        <v>25</v>
      </c>
      <c r="I723" s="191" t="s">
        <v>406</v>
      </c>
      <c r="J723" s="190" t="s">
        <v>406</v>
      </c>
      <c r="K723" s="191" t="s">
        <v>204</v>
      </c>
      <c r="L723" s="192" t="s">
        <v>205</v>
      </c>
      <c r="M723" s="190" t="s">
        <v>242</v>
      </c>
      <c r="N723" s="190">
        <v>25000</v>
      </c>
      <c r="O723" s="190">
        <v>12700</v>
      </c>
      <c r="P723" s="190">
        <v>45</v>
      </c>
      <c r="Q723" s="190">
        <v>2025</v>
      </c>
      <c r="R723" s="190">
        <v>1</v>
      </c>
    </row>
    <row r="724" spans="1:18" x14ac:dyDescent="0.2">
      <c r="A724" s="190" t="s">
        <v>48</v>
      </c>
      <c r="B724" s="191" t="s">
        <v>248</v>
      </c>
      <c r="C724" s="191" t="s">
        <v>5</v>
      </c>
      <c r="D724" s="191" t="s">
        <v>249</v>
      </c>
      <c r="E724" s="191" t="s">
        <v>256</v>
      </c>
      <c r="F724" s="190" t="s">
        <v>256</v>
      </c>
      <c r="G724" s="190" t="s">
        <v>253</v>
      </c>
      <c r="H724" s="190" t="s">
        <v>25</v>
      </c>
      <c r="I724" s="191" t="s">
        <v>406</v>
      </c>
      <c r="J724" s="190" t="s">
        <v>719</v>
      </c>
      <c r="K724" s="191" t="s">
        <v>204</v>
      </c>
      <c r="L724" s="192" t="s">
        <v>205</v>
      </c>
      <c r="M724" s="190" t="s">
        <v>242</v>
      </c>
      <c r="N724" s="190">
        <v>25000</v>
      </c>
      <c r="O724" s="190">
        <v>12700</v>
      </c>
      <c r="P724" s="190">
        <v>62</v>
      </c>
      <c r="Q724" s="190">
        <v>2025</v>
      </c>
      <c r="R724" s="190">
        <v>2</v>
      </c>
    </row>
    <row r="725" spans="1:18" x14ac:dyDescent="0.2">
      <c r="A725" s="190" t="s">
        <v>48</v>
      </c>
      <c r="B725" s="191" t="s">
        <v>248</v>
      </c>
      <c r="C725" s="191" t="s">
        <v>5</v>
      </c>
      <c r="D725" s="191" t="s">
        <v>249</v>
      </c>
      <c r="E725" s="191" t="s">
        <v>256</v>
      </c>
      <c r="F725" s="190" t="s">
        <v>256</v>
      </c>
      <c r="G725" s="190" t="s">
        <v>253</v>
      </c>
      <c r="H725" s="190" t="s">
        <v>25</v>
      </c>
      <c r="I725" s="191" t="s">
        <v>589</v>
      </c>
      <c r="J725" s="190" t="s">
        <v>589</v>
      </c>
      <c r="K725" s="191" t="s">
        <v>204</v>
      </c>
      <c r="L725" s="192" t="s">
        <v>205</v>
      </c>
      <c r="M725" s="190" t="s">
        <v>210</v>
      </c>
      <c r="N725" s="190">
        <v>19500</v>
      </c>
      <c r="O725" s="190">
        <v>12700</v>
      </c>
      <c r="P725" s="190">
        <v>48</v>
      </c>
      <c r="Q725" s="190">
        <v>2025</v>
      </c>
      <c r="R725" s="190">
        <v>2</v>
      </c>
    </row>
    <row r="726" spans="1:18" x14ac:dyDescent="0.2">
      <c r="A726" s="190" t="s">
        <v>48</v>
      </c>
      <c r="B726" s="191" t="s">
        <v>248</v>
      </c>
      <c r="C726" s="191" t="s">
        <v>5</v>
      </c>
      <c r="D726" s="191" t="s">
        <v>249</v>
      </c>
      <c r="E726" s="191" t="s">
        <v>256</v>
      </c>
      <c r="F726" s="190" t="s">
        <v>256</v>
      </c>
      <c r="G726" s="190" t="s">
        <v>253</v>
      </c>
      <c r="H726" s="190" t="s">
        <v>20</v>
      </c>
      <c r="I726" s="191" t="s">
        <v>329</v>
      </c>
      <c r="J726" s="190" t="s">
        <v>329</v>
      </c>
      <c r="K726" s="191" t="s">
        <v>204</v>
      </c>
      <c r="L726" s="192" t="s">
        <v>205</v>
      </c>
      <c r="M726" s="190" t="s">
        <v>242</v>
      </c>
      <c r="N726" s="190">
        <v>26500</v>
      </c>
      <c r="O726" s="190">
        <v>10800</v>
      </c>
      <c r="P726" s="190">
        <v>62</v>
      </c>
      <c r="Q726" s="190">
        <v>2025</v>
      </c>
      <c r="R726" s="190">
        <v>4</v>
      </c>
    </row>
    <row r="727" spans="1:18" x14ac:dyDescent="0.2">
      <c r="A727" s="190" t="s">
        <v>48</v>
      </c>
      <c r="B727" s="191" t="s">
        <v>248</v>
      </c>
      <c r="C727" s="191" t="s">
        <v>5</v>
      </c>
      <c r="D727" s="191" t="s">
        <v>249</v>
      </c>
      <c r="E727" s="191" t="s">
        <v>256</v>
      </c>
      <c r="F727" s="190" t="s">
        <v>256</v>
      </c>
      <c r="G727" s="190" t="s">
        <v>253</v>
      </c>
      <c r="H727" s="190" t="s">
        <v>20</v>
      </c>
      <c r="I727" s="191" t="s">
        <v>329</v>
      </c>
      <c r="J727" s="190" t="s">
        <v>329</v>
      </c>
      <c r="K727" s="191" t="s">
        <v>204</v>
      </c>
      <c r="L727" s="192" t="s">
        <v>205</v>
      </c>
      <c r="M727" s="190" t="s">
        <v>242</v>
      </c>
      <c r="N727" s="190">
        <v>26500</v>
      </c>
      <c r="O727" s="190">
        <v>10800</v>
      </c>
      <c r="P727" s="190">
        <v>45</v>
      </c>
      <c r="Q727" s="190">
        <v>2025</v>
      </c>
      <c r="R727" s="190">
        <v>1</v>
      </c>
    </row>
    <row r="728" spans="1:18" x14ac:dyDescent="0.2">
      <c r="A728" s="190" t="s">
        <v>48</v>
      </c>
      <c r="B728" s="191" t="s">
        <v>248</v>
      </c>
      <c r="C728" s="191" t="s">
        <v>5</v>
      </c>
      <c r="D728" s="191" t="s">
        <v>249</v>
      </c>
      <c r="E728" s="191" t="s">
        <v>256</v>
      </c>
      <c r="F728" s="190" t="s">
        <v>256</v>
      </c>
      <c r="G728" s="190" t="s">
        <v>253</v>
      </c>
      <c r="H728" s="190" t="s">
        <v>36</v>
      </c>
      <c r="I728" s="191" t="s">
        <v>598</v>
      </c>
      <c r="J728" s="190" t="s">
        <v>715</v>
      </c>
      <c r="K728" s="191" t="s">
        <v>213</v>
      </c>
      <c r="L728" s="192" t="s">
        <v>205</v>
      </c>
      <c r="M728" s="190" t="s">
        <v>210</v>
      </c>
      <c r="N728" s="190">
        <v>10500</v>
      </c>
      <c r="O728" s="190">
        <v>4500</v>
      </c>
      <c r="P728" s="190">
        <v>31</v>
      </c>
      <c r="Q728" s="190">
        <v>2026</v>
      </c>
      <c r="R728" s="190">
        <v>2</v>
      </c>
    </row>
    <row r="729" spans="1:18" x14ac:dyDescent="0.2">
      <c r="A729" s="190" t="s">
        <v>48</v>
      </c>
      <c r="B729" s="191" t="s">
        <v>248</v>
      </c>
      <c r="C729" s="191" t="s">
        <v>5</v>
      </c>
      <c r="D729" s="191" t="s">
        <v>249</v>
      </c>
      <c r="E729" s="191" t="s">
        <v>256</v>
      </c>
      <c r="F729" s="190" t="s">
        <v>256</v>
      </c>
      <c r="G729" s="190" t="s">
        <v>253</v>
      </c>
      <c r="H729" s="190" t="s">
        <v>36</v>
      </c>
      <c r="I729" s="191" t="s">
        <v>599</v>
      </c>
      <c r="J729" s="190" t="s">
        <v>396</v>
      </c>
      <c r="K729" s="191" t="s">
        <v>213</v>
      </c>
      <c r="L729" s="192" t="s">
        <v>205</v>
      </c>
      <c r="M729" s="190" t="s">
        <v>210</v>
      </c>
      <c r="N729" s="190">
        <v>18000</v>
      </c>
      <c r="O729" s="190">
        <v>9460</v>
      </c>
      <c r="P729" s="190">
        <v>57</v>
      </c>
      <c r="Q729" s="190">
        <v>2024</v>
      </c>
      <c r="R729" s="190">
        <v>1</v>
      </c>
    </row>
    <row r="730" spans="1:18" x14ac:dyDescent="0.2">
      <c r="A730" s="190" t="s">
        <v>48</v>
      </c>
      <c r="B730" s="191" t="s">
        <v>248</v>
      </c>
      <c r="C730" s="191" t="s">
        <v>5</v>
      </c>
      <c r="D730" s="191" t="s">
        <v>249</v>
      </c>
      <c r="E730" s="191" t="s">
        <v>256</v>
      </c>
      <c r="F730" s="190" t="s">
        <v>256</v>
      </c>
      <c r="G730" s="190" t="s">
        <v>253</v>
      </c>
      <c r="H730" s="190" t="s">
        <v>36</v>
      </c>
      <c r="I730" s="191" t="s">
        <v>601</v>
      </c>
      <c r="J730" s="190" t="s">
        <v>333</v>
      </c>
      <c r="K730" s="191" t="s">
        <v>213</v>
      </c>
      <c r="L730" s="192" t="s">
        <v>205</v>
      </c>
      <c r="M730" s="190" t="s">
        <v>210</v>
      </c>
      <c r="N730" s="190">
        <v>13900</v>
      </c>
      <c r="O730" s="190">
        <v>6700</v>
      </c>
      <c r="P730" s="190">
        <v>28</v>
      </c>
      <c r="Q730" s="190">
        <v>2025</v>
      </c>
      <c r="R730" s="190">
        <v>1</v>
      </c>
    </row>
    <row r="731" spans="1:18" x14ac:dyDescent="0.2">
      <c r="A731" s="190" t="s">
        <v>48</v>
      </c>
      <c r="B731" s="191" t="s">
        <v>248</v>
      </c>
      <c r="C731" s="191" t="s">
        <v>5</v>
      </c>
      <c r="D731" s="191" t="s">
        <v>249</v>
      </c>
      <c r="E731" s="191" t="s">
        <v>256</v>
      </c>
      <c r="F731" s="190" t="s">
        <v>256</v>
      </c>
      <c r="G731" s="190" t="s">
        <v>253</v>
      </c>
      <c r="H731" s="190" t="s">
        <v>36</v>
      </c>
      <c r="I731" s="191" t="s">
        <v>604</v>
      </c>
      <c r="J731" s="190" t="s">
        <v>333</v>
      </c>
      <c r="K731" s="191" t="s">
        <v>213</v>
      </c>
      <c r="L731" s="192" t="s">
        <v>247</v>
      </c>
      <c r="M731" s="190" t="s">
        <v>210</v>
      </c>
      <c r="N731" s="190">
        <v>19700</v>
      </c>
      <c r="O731" s="190">
        <v>10338</v>
      </c>
      <c r="P731" s="190">
        <v>57</v>
      </c>
      <c r="Q731" s="190">
        <v>2026</v>
      </c>
      <c r="R731" s="190">
        <v>1</v>
      </c>
    </row>
    <row r="732" spans="1:18" x14ac:dyDescent="0.2">
      <c r="A732" s="190" t="s">
        <v>48</v>
      </c>
      <c r="B732" s="191" t="s">
        <v>248</v>
      </c>
      <c r="C732" s="191" t="s">
        <v>5</v>
      </c>
      <c r="D732" s="191" t="s">
        <v>249</v>
      </c>
      <c r="E732" s="191" t="s">
        <v>256</v>
      </c>
      <c r="F732" s="190" t="s">
        <v>256</v>
      </c>
      <c r="G732" s="190" t="s">
        <v>253</v>
      </c>
      <c r="H732" s="190" t="s">
        <v>36</v>
      </c>
      <c r="I732" s="191" t="s">
        <v>606</v>
      </c>
      <c r="J732" s="190" t="s">
        <v>715</v>
      </c>
      <c r="K732" s="191" t="s">
        <v>213</v>
      </c>
      <c r="L732" s="192" t="s">
        <v>205</v>
      </c>
      <c r="M732" s="190" t="s">
        <v>210</v>
      </c>
      <c r="N732" s="190">
        <v>19300</v>
      </c>
      <c r="O732" s="190">
        <v>10800</v>
      </c>
      <c r="P732" s="190">
        <v>52</v>
      </c>
      <c r="Q732" s="190">
        <v>2026</v>
      </c>
      <c r="R732" s="190">
        <v>2</v>
      </c>
    </row>
    <row r="733" spans="1:18" x14ac:dyDescent="0.2">
      <c r="A733" s="190" t="s">
        <v>48</v>
      </c>
      <c r="B733" s="191" t="s">
        <v>248</v>
      </c>
      <c r="C733" s="191" t="s">
        <v>5</v>
      </c>
      <c r="D733" s="191" t="s">
        <v>249</v>
      </c>
      <c r="E733" s="191" t="s">
        <v>335</v>
      </c>
      <c r="F733" s="190" t="s">
        <v>335</v>
      </c>
      <c r="G733" s="190" t="s">
        <v>258</v>
      </c>
      <c r="H733" s="190" t="s">
        <v>452</v>
      </c>
      <c r="I733" s="191" t="s">
        <v>609</v>
      </c>
      <c r="J733" s="190" t="s">
        <v>333</v>
      </c>
      <c r="K733" s="191" t="s">
        <v>292</v>
      </c>
      <c r="L733" s="192" t="s">
        <v>205</v>
      </c>
      <c r="M733" s="190" t="s">
        <v>210</v>
      </c>
      <c r="N733" s="190">
        <v>7800</v>
      </c>
      <c r="O733" s="190">
        <v>2998</v>
      </c>
      <c r="P733" s="190">
        <v>34</v>
      </c>
      <c r="Q733" s="190">
        <v>2021</v>
      </c>
      <c r="R733" s="190">
        <v>1</v>
      </c>
    </row>
    <row r="734" spans="1:18" x14ac:dyDescent="0.2">
      <c r="A734" s="190" t="s">
        <v>48</v>
      </c>
      <c r="B734" s="191" t="s">
        <v>248</v>
      </c>
      <c r="C734" s="191" t="s">
        <v>5</v>
      </c>
      <c r="D734" s="191" t="s">
        <v>249</v>
      </c>
      <c r="E734" s="191" t="s">
        <v>335</v>
      </c>
      <c r="F734" s="190" t="s">
        <v>335</v>
      </c>
      <c r="G734" s="190" t="s">
        <v>258</v>
      </c>
      <c r="H734" s="190" t="s">
        <v>27</v>
      </c>
      <c r="I734" s="191" t="s">
        <v>592</v>
      </c>
      <c r="J734" s="190" t="s">
        <v>720</v>
      </c>
      <c r="K734" s="191" t="s">
        <v>292</v>
      </c>
      <c r="L734" s="192" t="s">
        <v>247</v>
      </c>
      <c r="M734" s="190" t="s">
        <v>210</v>
      </c>
      <c r="N734" s="190">
        <v>17300</v>
      </c>
      <c r="O734" s="190">
        <v>5900</v>
      </c>
      <c r="P734" s="190">
        <v>53</v>
      </c>
      <c r="Q734" s="190">
        <v>2024</v>
      </c>
      <c r="R734" s="190">
        <v>3</v>
      </c>
    </row>
    <row r="735" spans="1:18" x14ac:dyDescent="0.2">
      <c r="A735" s="190" t="s">
        <v>48</v>
      </c>
      <c r="B735" s="191" t="s">
        <v>248</v>
      </c>
      <c r="C735" s="191" t="s">
        <v>5</v>
      </c>
      <c r="D735" s="191" t="s">
        <v>249</v>
      </c>
      <c r="E735" s="191" t="s">
        <v>335</v>
      </c>
      <c r="F735" s="190" t="s">
        <v>335</v>
      </c>
      <c r="G735" s="190" t="s">
        <v>258</v>
      </c>
      <c r="H735" s="190" t="s">
        <v>27</v>
      </c>
      <c r="I735" s="191" t="s">
        <v>592</v>
      </c>
      <c r="J735" s="190" t="s">
        <v>720</v>
      </c>
      <c r="K735" s="191" t="s">
        <v>292</v>
      </c>
      <c r="L735" s="192" t="s">
        <v>247</v>
      </c>
      <c r="M735" s="190" t="s">
        <v>210</v>
      </c>
      <c r="N735" s="190">
        <v>17300</v>
      </c>
      <c r="O735" s="190">
        <v>5900</v>
      </c>
      <c r="P735" s="190">
        <v>53</v>
      </c>
      <c r="Q735" s="190">
        <v>2025</v>
      </c>
      <c r="R735" s="190">
        <v>7</v>
      </c>
    </row>
    <row r="736" spans="1:18" x14ac:dyDescent="0.2">
      <c r="A736" s="190" t="s">
        <v>48</v>
      </c>
      <c r="B736" s="191" t="s">
        <v>248</v>
      </c>
      <c r="C736" s="191" t="s">
        <v>5</v>
      </c>
      <c r="D736" s="191" t="s">
        <v>249</v>
      </c>
      <c r="E736" s="191" t="s">
        <v>335</v>
      </c>
      <c r="F736" s="190" t="s">
        <v>335</v>
      </c>
      <c r="G736" s="190" t="s">
        <v>258</v>
      </c>
      <c r="H736" s="190" t="s">
        <v>27</v>
      </c>
      <c r="I736" s="191" t="s">
        <v>592</v>
      </c>
      <c r="J736" s="190" t="s">
        <v>720</v>
      </c>
      <c r="K736" s="191" t="s">
        <v>292</v>
      </c>
      <c r="L736" s="192" t="s">
        <v>247</v>
      </c>
      <c r="M736" s="190" t="s">
        <v>210</v>
      </c>
      <c r="N736" s="190">
        <v>17300</v>
      </c>
      <c r="O736" s="190">
        <v>7470</v>
      </c>
      <c r="P736" s="190">
        <v>53</v>
      </c>
      <c r="Q736" s="190">
        <v>2025</v>
      </c>
      <c r="R736" s="190">
        <v>2</v>
      </c>
    </row>
    <row r="737" spans="1:18" x14ac:dyDescent="0.2">
      <c r="A737" s="190" t="s">
        <v>48</v>
      </c>
      <c r="B737" s="191" t="s">
        <v>248</v>
      </c>
      <c r="C737" s="191" t="s">
        <v>5</v>
      </c>
      <c r="D737" s="191" t="s">
        <v>249</v>
      </c>
      <c r="E737" s="191" t="s">
        <v>335</v>
      </c>
      <c r="F737" s="190" t="s">
        <v>335</v>
      </c>
      <c r="G737" s="190" t="s">
        <v>253</v>
      </c>
      <c r="H737" s="190" t="s">
        <v>33</v>
      </c>
      <c r="I737" s="191" t="s">
        <v>578</v>
      </c>
      <c r="J737" s="190" t="s">
        <v>333</v>
      </c>
      <c r="K737" s="191" t="s">
        <v>213</v>
      </c>
      <c r="L737" s="192" t="s">
        <v>247</v>
      </c>
      <c r="M737" s="190" t="s">
        <v>210</v>
      </c>
      <c r="N737" s="190">
        <v>18000</v>
      </c>
      <c r="O737" s="190">
        <v>10340</v>
      </c>
      <c r="P737" s="190">
        <v>43</v>
      </c>
      <c r="Q737" s="190">
        <v>2025</v>
      </c>
      <c r="R737" s="190">
        <v>2</v>
      </c>
    </row>
    <row r="738" spans="1:18" x14ac:dyDescent="0.2">
      <c r="A738" s="190" t="s">
        <v>48</v>
      </c>
      <c r="B738" s="191" t="s">
        <v>248</v>
      </c>
      <c r="C738" s="191" t="s">
        <v>5</v>
      </c>
      <c r="D738" s="191" t="s">
        <v>249</v>
      </c>
      <c r="E738" s="191" t="s">
        <v>722</v>
      </c>
      <c r="F738" s="190" t="s">
        <v>256</v>
      </c>
      <c r="G738" s="190" t="s">
        <v>253</v>
      </c>
      <c r="H738" s="190" t="s">
        <v>36</v>
      </c>
      <c r="I738" s="191" t="s">
        <v>599</v>
      </c>
      <c r="J738" s="190" t="s">
        <v>333</v>
      </c>
      <c r="K738" s="191" t="s">
        <v>213</v>
      </c>
      <c r="L738" s="192" t="s">
        <v>205</v>
      </c>
      <c r="M738" s="190" t="s">
        <v>210</v>
      </c>
      <c r="N738" s="190">
        <v>18000</v>
      </c>
      <c r="O738" s="190">
        <v>9460</v>
      </c>
      <c r="P738" s="190">
        <v>57</v>
      </c>
      <c r="Q738" s="190">
        <v>2025</v>
      </c>
      <c r="R738" s="190">
        <v>1</v>
      </c>
    </row>
    <row r="739" spans="1:18" x14ac:dyDescent="0.2">
      <c r="A739" s="190" t="s">
        <v>48</v>
      </c>
      <c r="B739" s="191" t="s">
        <v>248</v>
      </c>
      <c r="C739" s="191" t="s">
        <v>5</v>
      </c>
      <c r="D739" s="191" t="s">
        <v>249</v>
      </c>
      <c r="E739" s="191" t="s">
        <v>722</v>
      </c>
      <c r="F739" s="190" t="s">
        <v>256</v>
      </c>
      <c r="G739" s="190" t="s">
        <v>253</v>
      </c>
      <c r="H739" s="190" t="s">
        <v>36</v>
      </c>
      <c r="I739" s="191" t="s">
        <v>600</v>
      </c>
      <c r="J739" s="190" t="s">
        <v>750</v>
      </c>
      <c r="K739" s="191" t="s">
        <v>213</v>
      </c>
      <c r="L739" s="192" t="s">
        <v>205</v>
      </c>
      <c r="M739" s="190" t="s">
        <v>210</v>
      </c>
      <c r="N739" s="190">
        <v>15900</v>
      </c>
      <c r="O739" s="190">
        <v>8424</v>
      </c>
      <c r="P739" s="190">
        <v>36</v>
      </c>
      <c r="Q739" s="190">
        <v>2025</v>
      </c>
      <c r="R739" s="190">
        <v>1</v>
      </c>
    </row>
    <row r="740" spans="1:18" x14ac:dyDescent="0.2">
      <c r="A740" s="190" t="s">
        <v>48</v>
      </c>
      <c r="B740" s="191" t="s">
        <v>248</v>
      </c>
      <c r="C740" s="191" t="s">
        <v>5</v>
      </c>
      <c r="D740" s="191" t="s">
        <v>249</v>
      </c>
      <c r="E740" s="191" t="s">
        <v>722</v>
      </c>
      <c r="F740" s="190" t="s">
        <v>256</v>
      </c>
      <c r="G740" s="190" t="s">
        <v>253</v>
      </c>
      <c r="H740" s="190" t="s">
        <v>36</v>
      </c>
      <c r="I740" s="191" t="s">
        <v>602</v>
      </c>
      <c r="J740" s="190" t="s">
        <v>723</v>
      </c>
      <c r="K740" s="191" t="s">
        <v>213</v>
      </c>
      <c r="L740" s="192" t="s">
        <v>247</v>
      </c>
      <c r="M740" s="190" t="s">
        <v>210</v>
      </c>
      <c r="N740" s="190">
        <v>13500</v>
      </c>
      <c r="O740" s="190">
        <v>7800</v>
      </c>
      <c r="P740" s="190">
        <v>42</v>
      </c>
      <c r="Q740" s="190">
        <v>2025</v>
      </c>
      <c r="R740" s="190">
        <v>1</v>
      </c>
    </row>
    <row r="741" spans="1:18" x14ac:dyDescent="0.2">
      <c r="A741" s="190" t="s">
        <v>48</v>
      </c>
      <c r="B741" s="191" t="s">
        <v>248</v>
      </c>
      <c r="C741" s="191" t="s">
        <v>5</v>
      </c>
      <c r="D741" s="191" t="s">
        <v>249</v>
      </c>
      <c r="E741" s="191" t="s">
        <v>722</v>
      </c>
      <c r="F741" s="190" t="s">
        <v>256</v>
      </c>
      <c r="G741" s="190" t="s">
        <v>253</v>
      </c>
      <c r="H741" s="190" t="s">
        <v>36</v>
      </c>
      <c r="I741" s="191" t="s">
        <v>602</v>
      </c>
      <c r="J741" s="190" t="s">
        <v>655</v>
      </c>
      <c r="K741" s="191" t="s">
        <v>213</v>
      </c>
      <c r="L741" s="192" t="s">
        <v>247</v>
      </c>
      <c r="M741" s="190" t="s">
        <v>210</v>
      </c>
      <c r="N741" s="190">
        <v>13500</v>
      </c>
      <c r="O741" s="190">
        <v>7800</v>
      </c>
      <c r="P741" s="190">
        <v>43</v>
      </c>
      <c r="Q741" s="190">
        <v>2026</v>
      </c>
      <c r="R741" s="190">
        <v>2</v>
      </c>
    </row>
    <row r="742" spans="1:18" x14ac:dyDescent="0.2">
      <c r="A742" s="190" t="s">
        <v>48</v>
      </c>
      <c r="B742" s="191" t="s">
        <v>248</v>
      </c>
      <c r="C742" s="191" t="s">
        <v>5</v>
      </c>
      <c r="D742" s="191" t="s">
        <v>249</v>
      </c>
      <c r="E742" s="191" t="s">
        <v>722</v>
      </c>
      <c r="F742" s="190" t="s">
        <v>256</v>
      </c>
      <c r="G742" s="190" t="s">
        <v>253</v>
      </c>
      <c r="H742" s="190" t="s">
        <v>36</v>
      </c>
      <c r="I742" s="191" t="s">
        <v>604</v>
      </c>
      <c r="J742" s="190" t="s">
        <v>655</v>
      </c>
      <c r="K742" s="191" t="s">
        <v>213</v>
      </c>
      <c r="L742" s="192" t="s">
        <v>247</v>
      </c>
      <c r="M742" s="190" t="s">
        <v>210</v>
      </c>
      <c r="N742" s="190">
        <v>19700</v>
      </c>
      <c r="O742" s="190">
        <v>10338</v>
      </c>
      <c r="P742" s="190">
        <v>57</v>
      </c>
      <c r="Q742" s="190">
        <v>2026</v>
      </c>
      <c r="R742" s="190">
        <v>1</v>
      </c>
    </row>
    <row r="743" spans="1:18" x14ac:dyDescent="0.2">
      <c r="A743" s="190" t="s">
        <v>48</v>
      </c>
      <c r="B743" s="191" t="s">
        <v>248</v>
      </c>
      <c r="C743" s="191" t="s">
        <v>5</v>
      </c>
      <c r="D743" s="191" t="s">
        <v>249</v>
      </c>
      <c r="E743" s="191" t="s">
        <v>722</v>
      </c>
      <c r="F743" s="190" t="s">
        <v>256</v>
      </c>
      <c r="G743" s="190" t="s">
        <v>253</v>
      </c>
      <c r="H743" s="190" t="s">
        <v>36</v>
      </c>
      <c r="I743" s="191" t="s">
        <v>605</v>
      </c>
      <c r="J743" s="190" t="s">
        <v>333</v>
      </c>
      <c r="K743" s="191" t="s">
        <v>213</v>
      </c>
      <c r="L743" s="192" t="s">
        <v>678</v>
      </c>
      <c r="M743" s="190" t="s">
        <v>210</v>
      </c>
      <c r="N743" s="190">
        <v>19400</v>
      </c>
      <c r="O743" s="190">
        <v>0</v>
      </c>
      <c r="P743" s="190">
        <v>50</v>
      </c>
      <c r="Q743" s="190">
        <v>2025</v>
      </c>
      <c r="R743" s="190">
        <v>1</v>
      </c>
    </row>
    <row r="744" spans="1:18" x14ac:dyDescent="0.2">
      <c r="A744" s="190" t="s">
        <v>48</v>
      </c>
      <c r="B744" s="191" t="s">
        <v>248</v>
      </c>
      <c r="C744" s="191" t="s">
        <v>5</v>
      </c>
      <c r="D744" s="191" t="s">
        <v>249</v>
      </c>
      <c r="E744" s="191" t="s">
        <v>257</v>
      </c>
      <c r="F744" s="190" t="s">
        <v>256</v>
      </c>
      <c r="G744" s="190" t="s">
        <v>258</v>
      </c>
      <c r="H744" s="190" t="s">
        <v>23</v>
      </c>
      <c r="I744" s="191" t="s">
        <v>567</v>
      </c>
      <c r="J744" s="190" t="s">
        <v>383</v>
      </c>
      <c r="K744" s="191" t="s">
        <v>213</v>
      </c>
      <c r="L744" s="192" t="s">
        <v>205</v>
      </c>
      <c r="M744" s="190" t="s">
        <v>210</v>
      </c>
      <c r="N744" s="190">
        <v>8500</v>
      </c>
      <c r="O744" s="190">
        <v>3800</v>
      </c>
      <c r="P744" s="190">
        <v>1</v>
      </c>
      <c r="Q744" s="190">
        <v>2023</v>
      </c>
      <c r="R744" s="190">
        <v>1</v>
      </c>
    </row>
    <row r="745" spans="1:18" x14ac:dyDescent="0.2">
      <c r="A745" s="190" t="s">
        <v>48</v>
      </c>
      <c r="B745" s="191" t="s">
        <v>248</v>
      </c>
      <c r="C745" s="191" t="s">
        <v>5</v>
      </c>
      <c r="D745" s="191" t="s">
        <v>249</v>
      </c>
      <c r="E745" s="191" t="s">
        <v>257</v>
      </c>
      <c r="F745" s="190" t="s">
        <v>256</v>
      </c>
      <c r="G745" s="190" t="s">
        <v>258</v>
      </c>
      <c r="H745" s="190" t="s">
        <v>22</v>
      </c>
      <c r="I745" s="191" t="s">
        <v>161</v>
      </c>
      <c r="J745" s="190" t="s">
        <v>656</v>
      </c>
      <c r="K745" s="191" t="s">
        <v>266</v>
      </c>
      <c r="L745" s="192" t="s">
        <v>205</v>
      </c>
      <c r="M745" s="190" t="s">
        <v>210</v>
      </c>
      <c r="N745" s="190">
        <v>10100</v>
      </c>
      <c r="O745" s="190">
        <v>5123</v>
      </c>
      <c r="P745" s="190">
        <v>0</v>
      </c>
      <c r="Q745" s="190">
        <v>2025</v>
      </c>
      <c r="R745" s="190">
        <v>2</v>
      </c>
    </row>
    <row r="746" spans="1:18" x14ac:dyDescent="0.2">
      <c r="A746" s="190" t="s">
        <v>48</v>
      </c>
      <c r="B746" s="191" t="s">
        <v>248</v>
      </c>
      <c r="C746" s="191" t="s">
        <v>5</v>
      </c>
      <c r="D746" s="191" t="s">
        <v>249</v>
      </c>
      <c r="E746" s="191" t="s">
        <v>257</v>
      </c>
      <c r="F746" s="190" t="s">
        <v>256</v>
      </c>
      <c r="G746" s="190" t="s">
        <v>258</v>
      </c>
      <c r="H746" s="190" t="s">
        <v>45</v>
      </c>
      <c r="I746" s="191" t="s">
        <v>573</v>
      </c>
      <c r="J746" s="190" t="s">
        <v>724</v>
      </c>
      <c r="K746" s="191" t="s">
        <v>204</v>
      </c>
      <c r="L746" s="192" t="s">
        <v>205</v>
      </c>
      <c r="M746" s="190" t="s">
        <v>210</v>
      </c>
      <c r="N746" s="190">
        <v>17000</v>
      </c>
      <c r="O746" s="190">
        <v>6700</v>
      </c>
      <c r="P746" s="190">
        <v>0</v>
      </c>
      <c r="Q746" s="190">
        <v>2022</v>
      </c>
      <c r="R746" s="190">
        <v>1</v>
      </c>
    </row>
    <row r="747" spans="1:18" x14ac:dyDescent="0.2">
      <c r="A747" s="190" t="s">
        <v>48</v>
      </c>
      <c r="B747" s="191" t="s">
        <v>248</v>
      </c>
      <c r="C747" s="191" t="s">
        <v>5</v>
      </c>
      <c r="D747" s="191" t="s">
        <v>249</v>
      </c>
      <c r="E747" s="191" t="s">
        <v>257</v>
      </c>
      <c r="F747" s="190" t="s">
        <v>256</v>
      </c>
      <c r="G747" s="190" t="s">
        <v>258</v>
      </c>
      <c r="H747" s="190" t="s">
        <v>45</v>
      </c>
      <c r="I747" s="191" t="s">
        <v>328</v>
      </c>
      <c r="J747" s="190" t="s">
        <v>350</v>
      </c>
      <c r="K747" s="191" t="s">
        <v>204</v>
      </c>
      <c r="L747" s="192" t="s">
        <v>205</v>
      </c>
      <c r="M747" s="190" t="s">
        <v>210</v>
      </c>
      <c r="N747" s="190">
        <v>10500</v>
      </c>
      <c r="O747" s="190">
        <v>4500</v>
      </c>
      <c r="P747" s="190">
        <v>0</v>
      </c>
      <c r="Q747" s="190">
        <v>2022</v>
      </c>
      <c r="R747" s="190">
        <v>1</v>
      </c>
    </row>
    <row r="748" spans="1:18" x14ac:dyDescent="0.2">
      <c r="A748" s="190" t="s">
        <v>48</v>
      </c>
      <c r="B748" s="191" t="s">
        <v>248</v>
      </c>
      <c r="C748" s="191" t="s">
        <v>5</v>
      </c>
      <c r="D748" s="191" t="s">
        <v>249</v>
      </c>
      <c r="E748" s="191" t="s">
        <v>257</v>
      </c>
      <c r="F748" s="190" t="s">
        <v>256</v>
      </c>
      <c r="G748" s="190" t="s">
        <v>258</v>
      </c>
      <c r="H748" s="190" t="s">
        <v>45</v>
      </c>
      <c r="I748" s="191" t="s">
        <v>574</v>
      </c>
      <c r="J748" s="190" t="s">
        <v>350</v>
      </c>
      <c r="K748" s="191" t="s">
        <v>204</v>
      </c>
      <c r="L748" s="192" t="s">
        <v>205</v>
      </c>
      <c r="M748" s="190" t="s">
        <v>210</v>
      </c>
      <c r="N748" s="190">
        <v>15000</v>
      </c>
      <c r="O748" s="190">
        <v>4500</v>
      </c>
      <c r="P748" s="190">
        <v>0</v>
      </c>
      <c r="Q748" s="190">
        <v>2023</v>
      </c>
      <c r="R748" s="190">
        <v>7</v>
      </c>
    </row>
    <row r="749" spans="1:18" x14ac:dyDescent="0.2">
      <c r="A749" s="190" t="s">
        <v>48</v>
      </c>
      <c r="B749" s="191" t="s">
        <v>248</v>
      </c>
      <c r="C749" s="191" t="s">
        <v>5</v>
      </c>
      <c r="D749" s="191" t="s">
        <v>249</v>
      </c>
      <c r="E749" s="191" t="s">
        <v>257</v>
      </c>
      <c r="F749" s="190" t="s">
        <v>256</v>
      </c>
      <c r="G749" s="190" t="s">
        <v>258</v>
      </c>
      <c r="H749" s="190" t="s">
        <v>19</v>
      </c>
      <c r="I749" s="191" t="s">
        <v>169</v>
      </c>
      <c r="J749" s="190" t="s">
        <v>259</v>
      </c>
      <c r="K749" s="191" t="s">
        <v>204</v>
      </c>
      <c r="L749" s="192" t="s">
        <v>205</v>
      </c>
      <c r="M749" s="190" t="s">
        <v>210</v>
      </c>
      <c r="N749" s="190">
        <v>9400</v>
      </c>
      <c r="O749" s="190">
        <v>4800</v>
      </c>
      <c r="P749" s="190">
        <v>1</v>
      </c>
      <c r="Q749" s="190">
        <v>2023</v>
      </c>
      <c r="R749" s="190">
        <v>1</v>
      </c>
    </row>
    <row r="750" spans="1:18" x14ac:dyDescent="0.2">
      <c r="A750" s="190" t="s">
        <v>48</v>
      </c>
      <c r="B750" s="191" t="s">
        <v>248</v>
      </c>
      <c r="C750" s="191" t="s">
        <v>5</v>
      </c>
      <c r="D750" s="191" t="s">
        <v>249</v>
      </c>
      <c r="E750" s="191" t="s">
        <v>257</v>
      </c>
      <c r="F750" s="190" t="s">
        <v>256</v>
      </c>
      <c r="G750" s="190" t="s">
        <v>258</v>
      </c>
      <c r="H750" s="190" t="s">
        <v>25</v>
      </c>
      <c r="I750" s="191" t="s">
        <v>588</v>
      </c>
      <c r="J750" s="190" t="s">
        <v>588</v>
      </c>
      <c r="K750" s="191" t="s">
        <v>204</v>
      </c>
      <c r="L750" s="192" t="s">
        <v>205</v>
      </c>
      <c r="M750" s="190" t="s">
        <v>210</v>
      </c>
      <c r="N750" s="190">
        <v>19500</v>
      </c>
      <c r="O750" s="190">
        <v>9300</v>
      </c>
      <c r="P750" s="190">
        <v>0</v>
      </c>
      <c r="Q750" s="190">
        <v>2024</v>
      </c>
      <c r="R750" s="190">
        <v>1</v>
      </c>
    </row>
    <row r="751" spans="1:18" x14ac:dyDescent="0.2">
      <c r="A751" s="190" t="s">
        <v>48</v>
      </c>
      <c r="B751" s="191" t="s">
        <v>248</v>
      </c>
      <c r="C751" s="191" t="s">
        <v>5</v>
      </c>
      <c r="D751" s="191" t="s">
        <v>249</v>
      </c>
      <c r="E751" s="191" t="s">
        <v>257</v>
      </c>
      <c r="F751" s="190" t="s">
        <v>256</v>
      </c>
      <c r="G751" s="190" t="s">
        <v>258</v>
      </c>
      <c r="H751" s="190" t="s">
        <v>25</v>
      </c>
      <c r="I751" s="191" t="s">
        <v>588</v>
      </c>
      <c r="J751" s="190" t="s">
        <v>588</v>
      </c>
      <c r="K751" s="191" t="s">
        <v>204</v>
      </c>
      <c r="L751" s="192" t="s">
        <v>205</v>
      </c>
      <c r="M751" s="190" t="s">
        <v>210</v>
      </c>
      <c r="N751" s="190">
        <v>19500</v>
      </c>
      <c r="O751" s="190">
        <v>9300</v>
      </c>
      <c r="P751" s="190">
        <v>0</v>
      </c>
      <c r="Q751" s="190">
        <v>2025</v>
      </c>
      <c r="R751" s="190">
        <v>2</v>
      </c>
    </row>
    <row r="752" spans="1:18" x14ac:dyDescent="0.2">
      <c r="A752" s="190" t="s">
        <v>48</v>
      </c>
      <c r="B752" s="191" t="s">
        <v>248</v>
      </c>
      <c r="C752" s="191" t="s">
        <v>5</v>
      </c>
      <c r="D752" s="191" t="s">
        <v>249</v>
      </c>
      <c r="E752" s="191" t="s">
        <v>257</v>
      </c>
      <c r="F752" s="190" t="s">
        <v>256</v>
      </c>
      <c r="G752" s="190" t="s">
        <v>258</v>
      </c>
      <c r="H752" s="190" t="s">
        <v>25</v>
      </c>
      <c r="I752" s="191" t="s">
        <v>406</v>
      </c>
      <c r="J752" s="190" t="s">
        <v>406</v>
      </c>
      <c r="K752" s="191" t="s">
        <v>204</v>
      </c>
      <c r="L752" s="192" t="s">
        <v>205</v>
      </c>
      <c r="M752" s="190" t="s">
        <v>242</v>
      </c>
      <c r="N752" s="190">
        <v>25000</v>
      </c>
      <c r="O752" s="190">
        <v>12700</v>
      </c>
      <c r="P752" s="190">
        <v>0</v>
      </c>
      <c r="Q752" s="190">
        <v>2025</v>
      </c>
      <c r="R752" s="190">
        <v>1</v>
      </c>
    </row>
    <row r="753" spans="1:18" x14ac:dyDescent="0.2">
      <c r="A753" s="190" t="s">
        <v>48</v>
      </c>
      <c r="B753" s="191" t="s">
        <v>248</v>
      </c>
      <c r="C753" s="191" t="s">
        <v>5</v>
      </c>
      <c r="D753" s="191" t="s">
        <v>249</v>
      </c>
      <c r="E753" s="191" t="s">
        <v>257</v>
      </c>
      <c r="F753" s="190" t="s">
        <v>256</v>
      </c>
      <c r="G753" s="190" t="s">
        <v>258</v>
      </c>
      <c r="H753" s="190" t="s">
        <v>25</v>
      </c>
      <c r="I753" s="191" t="s">
        <v>590</v>
      </c>
      <c r="J753" s="190" t="s">
        <v>590</v>
      </c>
      <c r="K753" s="191" t="s">
        <v>204</v>
      </c>
      <c r="L753" s="192" t="s">
        <v>205</v>
      </c>
      <c r="M753" s="190" t="s">
        <v>242</v>
      </c>
      <c r="N753" s="190">
        <v>25000</v>
      </c>
      <c r="O753" s="190">
        <v>12700</v>
      </c>
      <c r="P753" s="190">
        <v>0</v>
      </c>
      <c r="Q753" s="190">
        <v>2025</v>
      </c>
      <c r="R753" s="190">
        <v>1</v>
      </c>
    </row>
    <row r="754" spans="1:18" x14ac:dyDescent="0.2">
      <c r="A754" s="190" t="s">
        <v>48</v>
      </c>
      <c r="B754" s="191" t="s">
        <v>248</v>
      </c>
      <c r="C754" s="191" t="s">
        <v>5</v>
      </c>
      <c r="D754" s="191" t="s">
        <v>249</v>
      </c>
      <c r="E754" s="191" t="s">
        <v>257</v>
      </c>
      <c r="F754" s="190" t="s">
        <v>256</v>
      </c>
      <c r="G754" s="190" t="s">
        <v>258</v>
      </c>
      <c r="H754" s="190" t="s">
        <v>27</v>
      </c>
      <c r="I754" s="191" t="s">
        <v>170</v>
      </c>
      <c r="J754" s="190" t="s">
        <v>267</v>
      </c>
      <c r="K754" s="191" t="s">
        <v>204</v>
      </c>
      <c r="L754" s="192" t="s">
        <v>205</v>
      </c>
      <c r="M754" s="190" t="s">
        <v>210</v>
      </c>
      <c r="N754" s="190">
        <v>9300</v>
      </c>
      <c r="O754" s="190">
        <v>3800</v>
      </c>
      <c r="P754" s="190">
        <v>0</v>
      </c>
      <c r="Q754" s="190">
        <v>2024</v>
      </c>
      <c r="R754" s="190">
        <v>1</v>
      </c>
    </row>
    <row r="755" spans="1:18" x14ac:dyDescent="0.2">
      <c r="A755" s="190" t="s">
        <v>48</v>
      </c>
      <c r="B755" s="191" t="s">
        <v>248</v>
      </c>
      <c r="C755" s="191" t="s">
        <v>5</v>
      </c>
      <c r="D755" s="191" t="s">
        <v>249</v>
      </c>
      <c r="E755" s="191" t="s">
        <v>257</v>
      </c>
      <c r="F755" s="190" t="s">
        <v>256</v>
      </c>
      <c r="G755" s="190" t="s">
        <v>258</v>
      </c>
      <c r="H755" s="190" t="s">
        <v>27</v>
      </c>
      <c r="I755" s="191" t="s">
        <v>171</v>
      </c>
      <c r="J755" s="190" t="s">
        <v>382</v>
      </c>
      <c r="K755" s="191" t="s">
        <v>204</v>
      </c>
      <c r="L755" s="192" t="s">
        <v>205</v>
      </c>
      <c r="M755" s="190" t="s">
        <v>210</v>
      </c>
      <c r="N755" s="190">
        <v>17300</v>
      </c>
      <c r="O755" s="190">
        <v>6800</v>
      </c>
      <c r="P755" s="190">
        <v>0</v>
      </c>
      <c r="Q755" s="190">
        <v>2023</v>
      </c>
      <c r="R755" s="190">
        <v>1</v>
      </c>
    </row>
    <row r="756" spans="1:18" x14ac:dyDescent="0.2">
      <c r="A756" s="190" t="s">
        <v>48</v>
      </c>
      <c r="B756" s="191" t="s">
        <v>248</v>
      </c>
      <c r="C756" s="191" t="s">
        <v>5</v>
      </c>
      <c r="D756" s="191" t="s">
        <v>249</v>
      </c>
      <c r="E756" s="191" t="s">
        <v>257</v>
      </c>
      <c r="F756" s="190" t="s">
        <v>256</v>
      </c>
      <c r="G756" s="190" t="s">
        <v>258</v>
      </c>
      <c r="H756" s="190" t="s">
        <v>27</v>
      </c>
      <c r="I756" s="191" t="s">
        <v>171</v>
      </c>
      <c r="J756" s="190" t="s">
        <v>382</v>
      </c>
      <c r="K756" s="191" t="s">
        <v>204</v>
      </c>
      <c r="L756" s="192" t="s">
        <v>205</v>
      </c>
      <c r="M756" s="190" t="s">
        <v>210</v>
      </c>
      <c r="N756" s="190">
        <v>17300</v>
      </c>
      <c r="O756" s="190">
        <v>6800</v>
      </c>
      <c r="P756" s="190">
        <v>0</v>
      </c>
      <c r="Q756" s="190">
        <v>2024</v>
      </c>
      <c r="R756" s="190">
        <v>1</v>
      </c>
    </row>
    <row r="757" spans="1:18" x14ac:dyDescent="0.2">
      <c r="A757" s="190" t="s">
        <v>48</v>
      </c>
      <c r="B757" s="191" t="s">
        <v>248</v>
      </c>
      <c r="C757" s="191" t="s">
        <v>5</v>
      </c>
      <c r="D757" s="191" t="s">
        <v>249</v>
      </c>
      <c r="E757" s="191" t="s">
        <v>257</v>
      </c>
      <c r="F757" s="190" t="s">
        <v>256</v>
      </c>
      <c r="G757" s="190" t="s">
        <v>258</v>
      </c>
      <c r="H757" s="190" t="s">
        <v>27</v>
      </c>
      <c r="I757" s="191" t="s">
        <v>593</v>
      </c>
      <c r="J757" s="190" t="s">
        <v>267</v>
      </c>
      <c r="K757" s="191" t="s">
        <v>204</v>
      </c>
      <c r="L757" s="192" t="s">
        <v>205</v>
      </c>
      <c r="M757" s="190" t="s">
        <v>210</v>
      </c>
      <c r="N757" s="190">
        <v>9300</v>
      </c>
      <c r="O757" s="190">
        <v>3800</v>
      </c>
      <c r="P757" s="190">
        <v>0</v>
      </c>
      <c r="Q757" s="190">
        <v>2025</v>
      </c>
      <c r="R757" s="190">
        <v>4</v>
      </c>
    </row>
    <row r="758" spans="1:18" x14ac:dyDescent="0.2">
      <c r="A758" s="190" t="s">
        <v>48</v>
      </c>
      <c r="B758" s="191" t="s">
        <v>248</v>
      </c>
      <c r="C758" s="191" t="s">
        <v>5</v>
      </c>
      <c r="D758" s="191" t="s">
        <v>249</v>
      </c>
      <c r="E758" s="191" t="s">
        <v>257</v>
      </c>
      <c r="F758" s="190" t="s">
        <v>256</v>
      </c>
      <c r="G758" s="190" t="s">
        <v>258</v>
      </c>
      <c r="H758" s="190" t="s">
        <v>20</v>
      </c>
      <c r="I758" s="191" t="s">
        <v>594</v>
      </c>
      <c r="J758" s="190" t="s">
        <v>594</v>
      </c>
      <c r="K758" s="191" t="s">
        <v>204</v>
      </c>
      <c r="L758" s="192" t="s">
        <v>205</v>
      </c>
      <c r="M758" s="190" t="s">
        <v>210</v>
      </c>
      <c r="N758" s="190">
        <v>17300</v>
      </c>
      <c r="O758" s="190">
        <v>7200</v>
      </c>
      <c r="P758" s="190">
        <v>1</v>
      </c>
      <c r="Q758" s="190">
        <v>2023</v>
      </c>
      <c r="R758" s="190">
        <v>1</v>
      </c>
    </row>
    <row r="759" spans="1:18" x14ac:dyDescent="0.2">
      <c r="A759" s="190" t="s">
        <v>48</v>
      </c>
      <c r="B759" s="191" t="s">
        <v>248</v>
      </c>
      <c r="C759" s="191" t="s">
        <v>5</v>
      </c>
      <c r="D759" s="191" t="s">
        <v>249</v>
      </c>
      <c r="E759" s="191" t="s">
        <v>257</v>
      </c>
      <c r="F759" s="190" t="s">
        <v>256</v>
      </c>
      <c r="G759" s="190" t="s">
        <v>258</v>
      </c>
      <c r="H759" s="190" t="s">
        <v>20</v>
      </c>
      <c r="I759" s="191" t="s">
        <v>595</v>
      </c>
      <c r="J759" s="190" t="s">
        <v>595</v>
      </c>
      <c r="K759" s="191" t="s">
        <v>204</v>
      </c>
      <c r="L759" s="192" t="s">
        <v>205</v>
      </c>
      <c r="M759" s="190" t="s">
        <v>210</v>
      </c>
      <c r="N759" s="190">
        <v>19500</v>
      </c>
      <c r="O759" s="190">
        <v>10800</v>
      </c>
      <c r="P759" s="190">
        <v>1</v>
      </c>
      <c r="Q759" s="190">
        <v>2025</v>
      </c>
      <c r="R759" s="190">
        <v>2</v>
      </c>
    </row>
    <row r="760" spans="1:18" x14ac:dyDescent="0.2">
      <c r="A760" s="190" t="s">
        <v>48</v>
      </c>
      <c r="B760" s="191" t="s">
        <v>248</v>
      </c>
      <c r="C760" s="191" t="s">
        <v>5</v>
      </c>
      <c r="D760" s="191" t="s">
        <v>249</v>
      </c>
      <c r="E760" s="191" t="s">
        <v>257</v>
      </c>
      <c r="F760" s="190" t="s">
        <v>335</v>
      </c>
      <c r="G760" s="190" t="s">
        <v>258</v>
      </c>
      <c r="H760" s="190" t="s">
        <v>297</v>
      </c>
      <c r="I760" s="191" t="s">
        <v>607</v>
      </c>
      <c r="J760" s="190" t="s">
        <v>751</v>
      </c>
      <c r="K760" s="191" t="s">
        <v>213</v>
      </c>
      <c r="L760" s="192" t="s">
        <v>205</v>
      </c>
      <c r="M760" s="190" t="s">
        <v>210</v>
      </c>
      <c r="N760" s="190">
        <v>10550</v>
      </c>
      <c r="O760" s="190">
        <v>5193</v>
      </c>
      <c r="P760" s="190">
        <v>1</v>
      </c>
      <c r="Q760" s="190">
        <v>2025</v>
      </c>
      <c r="R760" s="190">
        <v>2</v>
      </c>
    </row>
    <row r="761" spans="1:18" x14ac:dyDescent="0.2">
      <c r="A761" s="190" t="s">
        <v>48</v>
      </c>
      <c r="B761" s="191" t="s">
        <v>248</v>
      </c>
      <c r="C761" s="191" t="s">
        <v>5</v>
      </c>
      <c r="D761" s="191" t="s">
        <v>249</v>
      </c>
      <c r="E761" s="191" t="s">
        <v>257</v>
      </c>
      <c r="F761" s="190" t="s">
        <v>335</v>
      </c>
      <c r="G761" s="190" t="s">
        <v>258</v>
      </c>
      <c r="H761" s="190" t="s">
        <v>23</v>
      </c>
      <c r="I761" s="191" t="s">
        <v>568</v>
      </c>
      <c r="J761" s="190" t="s">
        <v>383</v>
      </c>
      <c r="K761" s="191" t="s">
        <v>213</v>
      </c>
      <c r="L761" s="192" t="s">
        <v>205</v>
      </c>
      <c r="M761" s="190" t="s">
        <v>210</v>
      </c>
      <c r="N761" s="190">
        <v>8800</v>
      </c>
      <c r="O761" s="190">
        <v>3800</v>
      </c>
      <c r="P761" s="190">
        <v>1</v>
      </c>
      <c r="Q761" s="190">
        <v>2025</v>
      </c>
      <c r="R761" s="190">
        <v>1</v>
      </c>
    </row>
    <row r="762" spans="1:18" x14ac:dyDescent="0.2">
      <c r="A762" s="190" t="s">
        <v>48</v>
      </c>
      <c r="B762" s="191" t="s">
        <v>248</v>
      </c>
      <c r="C762" s="191" t="s">
        <v>5</v>
      </c>
      <c r="D762" s="191" t="s">
        <v>249</v>
      </c>
      <c r="E762" s="191" t="s">
        <v>257</v>
      </c>
      <c r="F762" s="190" t="s">
        <v>335</v>
      </c>
      <c r="G762" s="190" t="s">
        <v>258</v>
      </c>
      <c r="H762" s="190" t="s">
        <v>23</v>
      </c>
      <c r="I762" s="191" t="s">
        <v>568</v>
      </c>
      <c r="J762" s="190" t="s">
        <v>296</v>
      </c>
      <c r="K762" s="191" t="s">
        <v>213</v>
      </c>
      <c r="L762" s="192" t="s">
        <v>205</v>
      </c>
      <c r="M762" s="190" t="s">
        <v>210</v>
      </c>
      <c r="N762" s="190">
        <v>8800</v>
      </c>
      <c r="O762" s="190">
        <v>3800</v>
      </c>
      <c r="P762" s="190">
        <v>1</v>
      </c>
      <c r="Q762" s="190">
        <v>2025</v>
      </c>
      <c r="R762" s="190">
        <v>1</v>
      </c>
    </row>
    <row r="763" spans="1:18" x14ac:dyDescent="0.2">
      <c r="A763" s="190" t="s">
        <v>48</v>
      </c>
      <c r="B763" s="191" t="s">
        <v>248</v>
      </c>
      <c r="C763" s="191" t="s">
        <v>5</v>
      </c>
      <c r="D763" s="191" t="s">
        <v>249</v>
      </c>
      <c r="E763" s="191" t="s">
        <v>257</v>
      </c>
      <c r="F763" s="190" t="s">
        <v>335</v>
      </c>
      <c r="G763" s="190" t="s">
        <v>258</v>
      </c>
      <c r="H763" s="190" t="s">
        <v>65</v>
      </c>
      <c r="I763" s="191" t="s">
        <v>405</v>
      </c>
      <c r="J763" s="190" t="s">
        <v>383</v>
      </c>
      <c r="K763" s="191" t="s">
        <v>221</v>
      </c>
      <c r="L763" s="192" t="s">
        <v>205</v>
      </c>
      <c r="M763" s="190" t="s">
        <v>210</v>
      </c>
      <c r="N763" s="190">
        <v>7500</v>
      </c>
      <c r="O763" s="190">
        <v>2998</v>
      </c>
      <c r="P763" s="190">
        <v>0</v>
      </c>
      <c r="Q763" s="190">
        <v>2024</v>
      </c>
      <c r="R763" s="190">
        <v>1</v>
      </c>
    </row>
    <row r="764" spans="1:18" x14ac:dyDescent="0.2">
      <c r="A764" s="190" t="s">
        <v>48</v>
      </c>
      <c r="B764" s="191" t="s">
        <v>248</v>
      </c>
      <c r="C764" s="191" t="s">
        <v>5</v>
      </c>
      <c r="D764" s="191" t="s">
        <v>249</v>
      </c>
      <c r="E764" s="191" t="s">
        <v>257</v>
      </c>
      <c r="F764" s="190" t="s">
        <v>335</v>
      </c>
      <c r="G764" s="190" t="s">
        <v>258</v>
      </c>
      <c r="H764" s="190" t="s">
        <v>65</v>
      </c>
      <c r="I764" s="191" t="s">
        <v>405</v>
      </c>
      <c r="J764" s="190" t="s">
        <v>383</v>
      </c>
      <c r="K764" s="191" t="s">
        <v>221</v>
      </c>
      <c r="L764" s="192" t="s">
        <v>205</v>
      </c>
      <c r="M764" s="190" t="s">
        <v>210</v>
      </c>
      <c r="N764" s="190">
        <v>7500</v>
      </c>
      <c r="O764" s="190">
        <v>2998</v>
      </c>
      <c r="P764" s="190">
        <v>0</v>
      </c>
      <c r="Q764" s="190">
        <v>2025</v>
      </c>
      <c r="R764" s="190">
        <v>1</v>
      </c>
    </row>
    <row r="765" spans="1:18" x14ac:dyDescent="0.2">
      <c r="A765" s="190" t="s">
        <v>48</v>
      </c>
      <c r="B765" s="191" t="s">
        <v>248</v>
      </c>
      <c r="C765" s="191" t="s">
        <v>5</v>
      </c>
      <c r="D765" s="191" t="s">
        <v>249</v>
      </c>
      <c r="E765" s="191" t="s">
        <v>257</v>
      </c>
      <c r="F765" s="190" t="s">
        <v>335</v>
      </c>
      <c r="G765" s="190" t="s">
        <v>258</v>
      </c>
      <c r="H765" s="190" t="s">
        <v>21</v>
      </c>
      <c r="I765" s="191" t="s">
        <v>436</v>
      </c>
      <c r="J765" s="190" t="s">
        <v>349</v>
      </c>
      <c r="K765" s="191" t="s">
        <v>381</v>
      </c>
      <c r="L765" s="192" t="s">
        <v>205</v>
      </c>
      <c r="M765" s="190" t="s">
        <v>210</v>
      </c>
      <c r="N765" s="190">
        <v>7800</v>
      </c>
      <c r="O765" s="190">
        <v>3933</v>
      </c>
      <c r="P765" s="190">
        <v>1</v>
      </c>
      <c r="Q765" s="190">
        <v>2024</v>
      </c>
      <c r="R765" s="190">
        <v>1</v>
      </c>
    </row>
    <row r="766" spans="1:18" x14ac:dyDescent="0.2">
      <c r="A766" s="190" t="s">
        <v>48</v>
      </c>
      <c r="B766" s="191" t="s">
        <v>248</v>
      </c>
      <c r="C766" s="191" t="s">
        <v>5</v>
      </c>
      <c r="D766" s="191" t="s">
        <v>249</v>
      </c>
      <c r="E766" s="191" t="s">
        <v>257</v>
      </c>
      <c r="F766" s="190" t="s">
        <v>335</v>
      </c>
      <c r="G766" s="190" t="s">
        <v>258</v>
      </c>
      <c r="H766" s="190" t="s">
        <v>21</v>
      </c>
      <c r="I766" s="191" t="s">
        <v>571</v>
      </c>
      <c r="J766" s="190" t="s">
        <v>657</v>
      </c>
      <c r="K766" s="191" t="s">
        <v>227</v>
      </c>
      <c r="L766" s="192" t="s">
        <v>205</v>
      </c>
      <c r="M766" s="190" t="s">
        <v>210</v>
      </c>
      <c r="N766" s="190">
        <v>7800</v>
      </c>
      <c r="O766" s="190">
        <v>3933</v>
      </c>
      <c r="P766" s="190">
        <v>1</v>
      </c>
      <c r="Q766" s="190">
        <v>2025</v>
      </c>
      <c r="R766" s="190">
        <v>4</v>
      </c>
    </row>
    <row r="767" spans="1:18" x14ac:dyDescent="0.2">
      <c r="A767" s="190" t="s">
        <v>48</v>
      </c>
      <c r="B767" s="191" t="s">
        <v>248</v>
      </c>
      <c r="C767" s="191" t="s">
        <v>5</v>
      </c>
      <c r="D767" s="191" t="s">
        <v>249</v>
      </c>
      <c r="E767" s="191" t="s">
        <v>257</v>
      </c>
      <c r="F767" s="190" t="s">
        <v>335</v>
      </c>
      <c r="G767" s="190" t="s">
        <v>258</v>
      </c>
      <c r="H767" s="190" t="s">
        <v>21</v>
      </c>
      <c r="I767" s="191" t="s">
        <v>572</v>
      </c>
      <c r="J767" s="190" t="s">
        <v>727</v>
      </c>
      <c r="K767" s="191" t="s">
        <v>227</v>
      </c>
      <c r="L767" s="192" t="s">
        <v>205</v>
      </c>
      <c r="M767" s="190" t="s">
        <v>210</v>
      </c>
      <c r="N767" s="190">
        <v>10300</v>
      </c>
      <c r="O767" s="190">
        <v>3933</v>
      </c>
      <c r="P767" s="190">
        <v>1</v>
      </c>
      <c r="Q767" s="190">
        <v>2025</v>
      </c>
      <c r="R767" s="190">
        <v>1</v>
      </c>
    </row>
    <row r="768" spans="1:18" x14ac:dyDescent="0.2">
      <c r="A768" s="190" t="s">
        <v>48</v>
      </c>
      <c r="B768" s="191" t="s">
        <v>248</v>
      </c>
      <c r="C768" s="191" t="s">
        <v>5</v>
      </c>
      <c r="D768" s="191" t="s">
        <v>249</v>
      </c>
      <c r="E768" s="191" t="s">
        <v>257</v>
      </c>
      <c r="F768" s="190" t="s">
        <v>335</v>
      </c>
      <c r="G768" s="190" t="s">
        <v>258</v>
      </c>
      <c r="H768" s="190" t="s">
        <v>19</v>
      </c>
      <c r="I768" s="191" t="s">
        <v>169</v>
      </c>
      <c r="J768" s="190" t="s">
        <v>259</v>
      </c>
      <c r="K768" s="191" t="s">
        <v>204</v>
      </c>
      <c r="L768" s="192" t="s">
        <v>205</v>
      </c>
      <c r="M768" s="190" t="s">
        <v>210</v>
      </c>
      <c r="N768" s="190">
        <v>9400</v>
      </c>
      <c r="O768" s="190">
        <v>4800</v>
      </c>
      <c r="P768" s="190">
        <v>1</v>
      </c>
      <c r="Q768" s="190">
        <v>2023</v>
      </c>
      <c r="R768" s="190">
        <v>1</v>
      </c>
    </row>
    <row r="769" spans="1:18" x14ac:dyDescent="0.2">
      <c r="A769" s="190" t="s">
        <v>48</v>
      </c>
      <c r="B769" s="191" t="s">
        <v>248</v>
      </c>
      <c r="C769" s="191" t="s">
        <v>5</v>
      </c>
      <c r="D769" s="191" t="s">
        <v>249</v>
      </c>
      <c r="E769" s="191" t="s">
        <v>257</v>
      </c>
      <c r="F769" s="190" t="s">
        <v>335</v>
      </c>
      <c r="G769" s="190" t="s">
        <v>258</v>
      </c>
      <c r="H769" s="190" t="s">
        <v>19</v>
      </c>
      <c r="I769" s="191" t="s">
        <v>582</v>
      </c>
      <c r="J769" s="190" t="s">
        <v>726</v>
      </c>
      <c r="K769" s="191" t="s">
        <v>204</v>
      </c>
      <c r="L769" s="192" t="s">
        <v>205</v>
      </c>
      <c r="M769" s="190" t="s">
        <v>210</v>
      </c>
      <c r="N769" s="190">
        <v>17000</v>
      </c>
      <c r="O769" s="190">
        <v>7200</v>
      </c>
      <c r="P769" s="190">
        <v>1</v>
      </c>
      <c r="Q769" s="190">
        <v>2025</v>
      </c>
      <c r="R769" s="190">
        <v>1</v>
      </c>
    </row>
    <row r="770" spans="1:18" x14ac:dyDescent="0.2">
      <c r="A770" s="190" t="s">
        <v>48</v>
      </c>
      <c r="B770" s="191" t="s">
        <v>248</v>
      </c>
      <c r="C770" s="191" t="s">
        <v>5</v>
      </c>
      <c r="D770" s="191" t="s">
        <v>249</v>
      </c>
      <c r="E770" s="191" t="s">
        <v>257</v>
      </c>
      <c r="F770" s="190" t="s">
        <v>335</v>
      </c>
      <c r="G770" s="190" t="s">
        <v>258</v>
      </c>
      <c r="H770" s="190" t="s">
        <v>19</v>
      </c>
      <c r="I770" s="191" t="s">
        <v>587</v>
      </c>
      <c r="J770" s="190" t="s">
        <v>721</v>
      </c>
      <c r="K770" s="191" t="s">
        <v>204</v>
      </c>
      <c r="L770" s="192" t="s">
        <v>205</v>
      </c>
      <c r="M770" s="190" t="s">
        <v>210</v>
      </c>
      <c r="N770" s="190">
        <v>17000</v>
      </c>
      <c r="O770" s="190">
        <v>4800</v>
      </c>
      <c r="P770" s="190">
        <v>1</v>
      </c>
      <c r="Q770" s="190">
        <v>2025</v>
      </c>
      <c r="R770" s="190">
        <v>1</v>
      </c>
    </row>
    <row r="771" spans="1:18" x14ac:dyDescent="0.2">
      <c r="A771" s="190" t="s">
        <v>48</v>
      </c>
      <c r="B771" s="191" t="s">
        <v>248</v>
      </c>
      <c r="C771" s="191" t="s">
        <v>5</v>
      </c>
      <c r="D771" s="191" t="s">
        <v>249</v>
      </c>
      <c r="E771" s="191" t="s">
        <v>257</v>
      </c>
      <c r="F771" s="190" t="s">
        <v>335</v>
      </c>
      <c r="G771" s="190" t="s">
        <v>258</v>
      </c>
      <c r="H771" s="190" t="s">
        <v>36</v>
      </c>
      <c r="I771" s="191" t="s">
        <v>597</v>
      </c>
      <c r="J771" s="190" t="s">
        <v>728</v>
      </c>
      <c r="K771" s="191" t="s">
        <v>213</v>
      </c>
      <c r="L771" s="192" t="s">
        <v>205</v>
      </c>
      <c r="M771" s="190" t="s">
        <v>210</v>
      </c>
      <c r="N771" s="190">
        <v>8500</v>
      </c>
      <c r="O771" s="190">
        <v>3760</v>
      </c>
      <c r="P771" s="190">
        <v>1</v>
      </c>
      <c r="Q771" s="190">
        <v>2025</v>
      </c>
      <c r="R771" s="190">
        <v>3</v>
      </c>
    </row>
    <row r="772" spans="1:18" x14ac:dyDescent="0.2">
      <c r="A772" s="190" t="s">
        <v>48</v>
      </c>
      <c r="B772" s="191" t="s">
        <v>248</v>
      </c>
      <c r="C772" s="191" t="s">
        <v>5</v>
      </c>
      <c r="D772" s="191" t="s">
        <v>249</v>
      </c>
      <c r="E772" s="191" t="s">
        <v>257</v>
      </c>
      <c r="F772" s="190" t="s">
        <v>335</v>
      </c>
      <c r="G772" s="190" t="s">
        <v>258</v>
      </c>
      <c r="H772" s="190" t="s">
        <v>36</v>
      </c>
      <c r="I772" s="191" t="s">
        <v>603</v>
      </c>
      <c r="J772" s="190" t="s">
        <v>752</v>
      </c>
      <c r="K772" s="191" t="s">
        <v>213</v>
      </c>
      <c r="L772" s="192" t="s">
        <v>247</v>
      </c>
      <c r="M772" s="190" t="s">
        <v>210</v>
      </c>
      <c r="N772" s="190">
        <v>18000</v>
      </c>
      <c r="O772" s="190">
        <v>7800</v>
      </c>
      <c r="P772" s="190">
        <v>1</v>
      </c>
      <c r="Q772" s="190">
        <v>2024</v>
      </c>
      <c r="R772" s="190">
        <v>1</v>
      </c>
    </row>
    <row r="773" spans="1:18" x14ac:dyDescent="0.2">
      <c r="A773" s="190" t="s">
        <v>48</v>
      </c>
      <c r="B773" s="191" t="s">
        <v>248</v>
      </c>
      <c r="C773" s="191" t="s">
        <v>5</v>
      </c>
      <c r="D773" s="191" t="s">
        <v>249</v>
      </c>
      <c r="E773" s="191" t="s">
        <v>257</v>
      </c>
      <c r="F773" s="190" t="s">
        <v>335</v>
      </c>
      <c r="G773" s="190" t="s">
        <v>253</v>
      </c>
      <c r="H773" s="190" t="s">
        <v>19</v>
      </c>
      <c r="I773" s="191" t="s">
        <v>584</v>
      </c>
      <c r="J773" s="190" t="s">
        <v>725</v>
      </c>
      <c r="K773" s="191" t="s">
        <v>204</v>
      </c>
      <c r="L773" s="192" t="s">
        <v>205</v>
      </c>
      <c r="M773" s="190" t="s">
        <v>210</v>
      </c>
      <c r="N773" s="190">
        <v>17000</v>
      </c>
      <c r="O773" s="190">
        <v>7200</v>
      </c>
      <c r="P773" s="190">
        <v>0</v>
      </c>
      <c r="Q773" s="190">
        <v>2023</v>
      </c>
      <c r="R773" s="190">
        <v>1</v>
      </c>
    </row>
    <row r="774" spans="1:18" x14ac:dyDescent="0.2">
      <c r="A774" s="190" t="s">
        <v>48</v>
      </c>
      <c r="B774" s="191" t="s">
        <v>248</v>
      </c>
      <c r="C774" s="191" t="s">
        <v>5</v>
      </c>
      <c r="D774" s="191" t="s">
        <v>249</v>
      </c>
      <c r="E774" s="191" t="s">
        <v>257</v>
      </c>
      <c r="F774" s="190" t="s">
        <v>335</v>
      </c>
      <c r="G774" s="190" t="s">
        <v>253</v>
      </c>
      <c r="H774" s="190" t="s">
        <v>301</v>
      </c>
      <c r="I774" s="191" t="s">
        <v>608</v>
      </c>
      <c r="J774" s="190" t="s">
        <v>729</v>
      </c>
      <c r="K774" s="191" t="s">
        <v>213</v>
      </c>
      <c r="L774" s="192" t="s">
        <v>205</v>
      </c>
      <c r="M774" s="190" t="s">
        <v>210</v>
      </c>
      <c r="N774" s="190">
        <v>10000</v>
      </c>
      <c r="O774" s="190">
        <v>5193</v>
      </c>
      <c r="P774" s="190">
        <v>0</v>
      </c>
      <c r="Q774" s="190">
        <v>2024</v>
      </c>
      <c r="R774" s="190">
        <v>1</v>
      </c>
    </row>
    <row r="775" spans="1:18" x14ac:dyDescent="0.2">
      <c r="A775" s="190" t="s">
        <v>56</v>
      </c>
      <c r="B775" s="191" t="s">
        <v>211</v>
      </c>
      <c r="C775" s="191" t="s">
        <v>187</v>
      </c>
      <c r="D775" s="191" t="s">
        <v>4</v>
      </c>
      <c r="E775" s="191" t="s">
        <v>212</v>
      </c>
      <c r="F775" s="190" t="s">
        <v>212</v>
      </c>
      <c r="G775" s="190" t="s">
        <v>208</v>
      </c>
      <c r="H775" s="190" t="s">
        <v>29</v>
      </c>
      <c r="I775" s="191" t="s">
        <v>311</v>
      </c>
      <c r="J775" s="190" t="s">
        <v>332</v>
      </c>
      <c r="K775" s="191" t="s">
        <v>213</v>
      </c>
      <c r="L775" s="192" t="s">
        <v>205</v>
      </c>
      <c r="M775" s="190" t="s">
        <v>210</v>
      </c>
      <c r="N775" s="190">
        <v>6560</v>
      </c>
      <c r="O775" s="190">
        <v>2746</v>
      </c>
      <c r="P775" s="190">
        <v>6</v>
      </c>
      <c r="Q775" s="190">
        <v>2025</v>
      </c>
      <c r="R775" s="190">
        <v>1</v>
      </c>
    </row>
    <row r="776" spans="1:18" x14ac:dyDescent="0.2">
      <c r="A776" s="190" t="s">
        <v>56</v>
      </c>
      <c r="B776" s="191" t="s">
        <v>211</v>
      </c>
      <c r="C776" s="191" t="s">
        <v>187</v>
      </c>
      <c r="D776" s="191" t="s">
        <v>4</v>
      </c>
      <c r="E776" s="191" t="s">
        <v>202</v>
      </c>
      <c r="F776" s="190" t="s">
        <v>212</v>
      </c>
      <c r="G776" s="190" t="s">
        <v>208</v>
      </c>
      <c r="H776" s="190" t="s">
        <v>22</v>
      </c>
      <c r="I776" s="191" t="s">
        <v>106</v>
      </c>
      <c r="J776" s="190" t="s">
        <v>223</v>
      </c>
      <c r="K776" s="191" t="s">
        <v>221</v>
      </c>
      <c r="L776" s="192" t="s">
        <v>205</v>
      </c>
      <c r="M776" s="190" t="s">
        <v>210</v>
      </c>
      <c r="N776" s="190">
        <v>7500</v>
      </c>
      <c r="O776" s="190">
        <v>4009</v>
      </c>
      <c r="P776" s="190">
        <v>3</v>
      </c>
      <c r="Q776" s="190">
        <v>2024</v>
      </c>
      <c r="R776" s="190">
        <v>1</v>
      </c>
    </row>
    <row r="777" spans="1:18" x14ac:dyDescent="0.2">
      <c r="A777" s="190" t="s">
        <v>56</v>
      </c>
      <c r="B777" s="191" t="s">
        <v>211</v>
      </c>
      <c r="C777" s="191" t="s">
        <v>187</v>
      </c>
      <c r="D777" s="191" t="s">
        <v>4</v>
      </c>
      <c r="E777" s="191" t="s">
        <v>202</v>
      </c>
      <c r="F777" s="190" t="s">
        <v>212</v>
      </c>
      <c r="G777" s="190" t="s">
        <v>208</v>
      </c>
      <c r="H777" s="190" t="s">
        <v>22</v>
      </c>
      <c r="I777" s="191" t="s">
        <v>106</v>
      </c>
      <c r="J777" s="190" t="s">
        <v>224</v>
      </c>
      <c r="K777" s="191" t="s">
        <v>221</v>
      </c>
      <c r="L777" s="192" t="s">
        <v>205</v>
      </c>
      <c r="M777" s="190" t="s">
        <v>210</v>
      </c>
      <c r="N777" s="190">
        <v>7500</v>
      </c>
      <c r="O777" s="190">
        <v>4009</v>
      </c>
      <c r="P777" s="190">
        <v>7</v>
      </c>
      <c r="Q777" s="190">
        <v>2024</v>
      </c>
      <c r="R777" s="190">
        <v>1</v>
      </c>
    </row>
    <row r="778" spans="1:18" x14ac:dyDescent="0.2">
      <c r="A778" s="190" t="s">
        <v>56</v>
      </c>
      <c r="B778" s="191" t="s">
        <v>211</v>
      </c>
      <c r="C778" s="191" t="s">
        <v>187</v>
      </c>
      <c r="D778" s="191" t="s">
        <v>4</v>
      </c>
      <c r="E778" s="191" t="s">
        <v>202</v>
      </c>
      <c r="F778" s="190" t="s">
        <v>212</v>
      </c>
      <c r="G778" s="190" t="s">
        <v>208</v>
      </c>
      <c r="H778" s="190" t="s">
        <v>24</v>
      </c>
      <c r="I778" s="191" t="s">
        <v>122</v>
      </c>
      <c r="J778" s="190" t="s">
        <v>336</v>
      </c>
      <c r="K778" s="191" t="s">
        <v>221</v>
      </c>
      <c r="L778" s="192" t="s">
        <v>205</v>
      </c>
      <c r="M778" s="190" t="s">
        <v>210</v>
      </c>
      <c r="N778" s="190">
        <v>9500</v>
      </c>
      <c r="O778" s="190">
        <v>5193</v>
      </c>
      <c r="P778" s="190">
        <v>3</v>
      </c>
      <c r="Q778" s="190">
        <v>2025</v>
      </c>
      <c r="R778" s="190">
        <v>3</v>
      </c>
    </row>
    <row r="779" spans="1:18" x14ac:dyDescent="0.2">
      <c r="A779" s="190" t="s">
        <v>56</v>
      </c>
      <c r="B779" s="191" t="s">
        <v>211</v>
      </c>
      <c r="C779" s="191" t="s">
        <v>187</v>
      </c>
      <c r="D779" s="191" t="s">
        <v>4</v>
      </c>
      <c r="E779" s="191" t="s">
        <v>202</v>
      </c>
      <c r="F779" s="190" t="s">
        <v>212</v>
      </c>
      <c r="G779" s="190" t="s">
        <v>208</v>
      </c>
      <c r="H779" s="190" t="s">
        <v>29</v>
      </c>
      <c r="I779" s="191" t="s">
        <v>123</v>
      </c>
      <c r="J779" s="190" t="s">
        <v>275</v>
      </c>
      <c r="K779" s="191" t="s">
        <v>213</v>
      </c>
      <c r="L779" s="192" t="s">
        <v>205</v>
      </c>
      <c r="M779" s="190" t="s">
        <v>210</v>
      </c>
      <c r="N779" s="190">
        <v>6160</v>
      </c>
      <c r="O779" s="190">
        <v>2746</v>
      </c>
      <c r="P779" s="190">
        <v>3</v>
      </c>
      <c r="Q779" s="190">
        <v>2025</v>
      </c>
      <c r="R779" s="190">
        <v>1</v>
      </c>
    </row>
    <row r="780" spans="1:18" x14ac:dyDescent="0.2">
      <c r="A780" s="190" t="s">
        <v>56</v>
      </c>
      <c r="B780" s="191" t="s">
        <v>211</v>
      </c>
      <c r="C780" s="191" t="s">
        <v>187</v>
      </c>
      <c r="D780" s="191" t="s">
        <v>4</v>
      </c>
      <c r="E780" s="191" t="s">
        <v>202</v>
      </c>
      <c r="F780" s="190" t="s">
        <v>622</v>
      </c>
      <c r="G780" s="190" t="s">
        <v>208</v>
      </c>
      <c r="H780" s="190" t="s">
        <v>21</v>
      </c>
      <c r="I780" s="191" t="s">
        <v>110</v>
      </c>
      <c r="J780" s="190" t="s">
        <v>226</v>
      </c>
      <c r="K780" s="191" t="s">
        <v>227</v>
      </c>
      <c r="L780" s="192" t="s">
        <v>205</v>
      </c>
      <c r="M780" s="190" t="s">
        <v>210</v>
      </c>
      <c r="N780" s="190">
        <v>9700</v>
      </c>
      <c r="O780" s="190">
        <v>3933</v>
      </c>
      <c r="P780" s="190">
        <v>3</v>
      </c>
      <c r="Q780" s="190">
        <v>2024</v>
      </c>
      <c r="R780" s="190">
        <v>1</v>
      </c>
    </row>
    <row r="781" spans="1:18" x14ac:dyDescent="0.2">
      <c r="A781" s="190" t="s">
        <v>56</v>
      </c>
      <c r="B781" s="191" t="s">
        <v>211</v>
      </c>
      <c r="C781" s="191" t="s">
        <v>187</v>
      </c>
      <c r="D781" s="191" t="s">
        <v>4</v>
      </c>
      <c r="E781" s="191" t="s">
        <v>202</v>
      </c>
      <c r="F781" s="190" t="s">
        <v>216</v>
      </c>
      <c r="G781" s="190" t="s">
        <v>208</v>
      </c>
      <c r="H781" s="190" t="s">
        <v>29</v>
      </c>
      <c r="I781" s="191" t="s">
        <v>123</v>
      </c>
      <c r="J781" s="190" t="s">
        <v>275</v>
      </c>
      <c r="K781" s="191" t="s">
        <v>213</v>
      </c>
      <c r="L781" s="192" t="s">
        <v>205</v>
      </c>
      <c r="M781" s="190" t="s">
        <v>210</v>
      </c>
      <c r="N781" s="190">
        <v>6160</v>
      </c>
      <c r="O781" s="190">
        <v>2746</v>
      </c>
      <c r="P781" s="190">
        <v>3</v>
      </c>
      <c r="Q781" s="190">
        <v>2025</v>
      </c>
      <c r="R781" s="190">
        <v>1</v>
      </c>
    </row>
    <row r="782" spans="1:18" x14ac:dyDescent="0.2">
      <c r="A782" s="190" t="s">
        <v>56</v>
      </c>
      <c r="B782" s="191" t="s">
        <v>211</v>
      </c>
      <c r="C782" s="191" t="s">
        <v>187</v>
      </c>
      <c r="D782" s="191" t="s">
        <v>4</v>
      </c>
      <c r="E782" s="191" t="s">
        <v>202</v>
      </c>
      <c r="F782" s="190" t="s">
        <v>216</v>
      </c>
      <c r="G782" s="190" t="s">
        <v>208</v>
      </c>
      <c r="H782" s="190" t="s">
        <v>39</v>
      </c>
      <c r="I782" s="191" t="s">
        <v>285</v>
      </c>
      <c r="J782" s="190" t="s">
        <v>631</v>
      </c>
      <c r="K782" s="191" t="s">
        <v>213</v>
      </c>
      <c r="L782" s="192" t="s">
        <v>205</v>
      </c>
      <c r="M782" s="190" t="s">
        <v>210</v>
      </c>
      <c r="N782" s="190">
        <v>6361</v>
      </c>
      <c r="O782" s="190">
        <v>2771</v>
      </c>
      <c r="P782" s="190">
        <v>3</v>
      </c>
      <c r="Q782" s="190">
        <v>2025</v>
      </c>
      <c r="R782" s="190">
        <v>1</v>
      </c>
    </row>
    <row r="783" spans="1:18" x14ac:dyDescent="0.2">
      <c r="A783" s="190" t="s">
        <v>56</v>
      </c>
      <c r="B783" s="191" t="s">
        <v>211</v>
      </c>
      <c r="C783" s="191" t="s">
        <v>187</v>
      </c>
      <c r="D783" s="191" t="s">
        <v>4</v>
      </c>
      <c r="E783" s="191" t="s">
        <v>202</v>
      </c>
      <c r="F783" s="190" t="s">
        <v>643</v>
      </c>
      <c r="G783" s="190" t="s">
        <v>208</v>
      </c>
      <c r="H783" s="190" t="s">
        <v>29</v>
      </c>
      <c r="I783" s="191" t="s">
        <v>123</v>
      </c>
      <c r="J783" s="190" t="s">
        <v>275</v>
      </c>
      <c r="K783" s="191" t="s">
        <v>213</v>
      </c>
      <c r="L783" s="192" t="s">
        <v>205</v>
      </c>
      <c r="M783" s="190" t="s">
        <v>210</v>
      </c>
      <c r="N783" s="190">
        <v>6160</v>
      </c>
      <c r="O783" s="190">
        <v>2746</v>
      </c>
      <c r="P783" s="190">
        <v>3</v>
      </c>
      <c r="Q783" s="190">
        <v>2025</v>
      </c>
      <c r="R783" s="190">
        <v>3</v>
      </c>
    </row>
    <row r="784" spans="1:18" x14ac:dyDescent="0.2">
      <c r="A784" s="190" t="s">
        <v>56</v>
      </c>
      <c r="B784" s="191" t="s">
        <v>248</v>
      </c>
      <c r="C784" s="191" t="s">
        <v>5</v>
      </c>
      <c r="D784" s="191" t="s">
        <v>249</v>
      </c>
      <c r="E784" s="191" t="s">
        <v>250</v>
      </c>
      <c r="F784" s="190" t="s">
        <v>250</v>
      </c>
      <c r="G784" s="190" t="s">
        <v>251</v>
      </c>
      <c r="H784" s="190" t="s">
        <v>29</v>
      </c>
      <c r="I784" s="191" t="s">
        <v>163</v>
      </c>
      <c r="J784" s="190" t="s">
        <v>281</v>
      </c>
      <c r="K784" s="191" t="s">
        <v>213</v>
      </c>
      <c r="L784" s="192" t="s">
        <v>205</v>
      </c>
      <c r="M784" s="190" t="s">
        <v>210</v>
      </c>
      <c r="N784" s="190">
        <v>4000</v>
      </c>
      <c r="O784" s="190">
        <v>2746</v>
      </c>
      <c r="P784" s="190">
        <v>17</v>
      </c>
      <c r="Q784" s="190">
        <v>2025</v>
      </c>
      <c r="R784" s="190">
        <v>2</v>
      </c>
    </row>
    <row r="785" spans="1:18" x14ac:dyDescent="0.2">
      <c r="A785" s="190" t="s">
        <v>56</v>
      </c>
      <c r="B785" s="191" t="s">
        <v>248</v>
      </c>
      <c r="C785" s="191" t="s">
        <v>5</v>
      </c>
      <c r="D785" s="191" t="s">
        <v>249</v>
      </c>
      <c r="E785" s="191" t="s">
        <v>250</v>
      </c>
      <c r="F785" s="190" t="s">
        <v>250</v>
      </c>
      <c r="G785" s="190" t="s">
        <v>251</v>
      </c>
      <c r="H785" s="190" t="s">
        <v>29</v>
      </c>
      <c r="I785" s="191" t="s">
        <v>163</v>
      </c>
      <c r="J785" s="190" t="s">
        <v>261</v>
      </c>
      <c r="K785" s="191" t="s">
        <v>213</v>
      </c>
      <c r="L785" s="192" t="s">
        <v>205</v>
      </c>
      <c r="M785" s="190" t="s">
        <v>210</v>
      </c>
      <c r="N785" s="190">
        <v>4000</v>
      </c>
      <c r="O785" s="190">
        <v>2746</v>
      </c>
      <c r="P785" s="190">
        <v>18</v>
      </c>
      <c r="Q785" s="190">
        <v>2025</v>
      </c>
      <c r="R785" s="190">
        <v>2</v>
      </c>
    </row>
    <row r="786" spans="1:18" x14ac:dyDescent="0.2">
      <c r="A786" s="190" t="s">
        <v>56</v>
      </c>
      <c r="B786" s="191" t="s">
        <v>248</v>
      </c>
      <c r="C786" s="191" t="s">
        <v>5</v>
      </c>
      <c r="D786" s="191" t="s">
        <v>249</v>
      </c>
      <c r="E786" s="191" t="s">
        <v>250</v>
      </c>
      <c r="F786" s="190" t="s">
        <v>250</v>
      </c>
      <c r="G786" s="190" t="s">
        <v>253</v>
      </c>
      <c r="H786" s="190" t="s">
        <v>65</v>
      </c>
      <c r="I786" s="191" t="s">
        <v>160</v>
      </c>
      <c r="J786" s="190" t="s">
        <v>254</v>
      </c>
      <c r="K786" s="191" t="s">
        <v>221</v>
      </c>
      <c r="L786" s="192" t="s">
        <v>205</v>
      </c>
      <c r="M786" s="190" t="s">
        <v>210</v>
      </c>
      <c r="N786" s="190">
        <v>6200</v>
      </c>
      <c r="O786" s="190">
        <v>4899</v>
      </c>
      <c r="P786" s="190">
        <v>33</v>
      </c>
      <c r="Q786" s="190">
        <v>2025</v>
      </c>
      <c r="R786" s="190">
        <v>1</v>
      </c>
    </row>
    <row r="787" spans="1:18" x14ac:dyDescent="0.2">
      <c r="A787" s="190" t="s">
        <v>64</v>
      </c>
      <c r="B787" s="191" t="s">
        <v>248</v>
      </c>
      <c r="C787" s="191" t="s">
        <v>5</v>
      </c>
      <c r="D787" s="191" t="s">
        <v>249</v>
      </c>
      <c r="E787" s="191" t="s">
        <v>250</v>
      </c>
      <c r="F787" s="190" t="s">
        <v>250</v>
      </c>
      <c r="G787" s="190" t="s">
        <v>251</v>
      </c>
      <c r="H787" s="190" t="s">
        <v>29</v>
      </c>
      <c r="I787" s="191" t="s">
        <v>163</v>
      </c>
      <c r="J787" s="190" t="s">
        <v>261</v>
      </c>
      <c r="K787" s="191" t="s">
        <v>213</v>
      </c>
      <c r="L787" s="192" t="s">
        <v>205</v>
      </c>
      <c r="M787" s="190" t="s">
        <v>210</v>
      </c>
      <c r="N787" s="190">
        <v>4000</v>
      </c>
      <c r="O787" s="190">
        <v>2746</v>
      </c>
      <c r="P787" s="190">
        <v>18</v>
      </c>
      <c r="Q787" s="190">
        <v>2025</v>
      </c>
      <c r="R787" s="190">
        <v>1</v>
      </c>
    </row>
    <row r="788" spans="1:18" x14ac:dyDescent="0.2">
      <c r="A788" s="190" t="s">
        <v>53</v>
      </c>
      <c r="B788" s="191" t="s">
        <v>207</v>
      </c>
      <c r="C788" s="191" t="s">
        <v>187</v>
      </c>
      <c r="D788" s="191" t="s">
        <v>4</v>
      </c>
      <c r="E788" s="191" t="s">
        <v>202</v>
      </c>
      <c r="F788" s="190" t="s">
        <v>212</v>
      </c>
      <c r="G788" s="190" t="s">
        <v>208</v>
      </c>
      <c r="H788" s="190" t="s">
        <v>24</v>
      </c>
      <c r="I788" s="191" t="s">
        <v>118</v>
      </c>
      <c r="J788" s="190" t="s">
        <v>231</v>
      </c>
      <c r="K788" s="191" t="s">
        <v>221</v>
      </c>
      <c r="L788" s="192" t="s">
        <v>205</v>
      </c>
      <c r="M788" s="190" t="s">
        <v>210</v>
      </c>
      <c r="N788" s="190">
        <v>5045</v>
      </c>
      <c r="O788" s="190">
        <v>2999</v>
      </c>
      <c r="P788" s="190">
        <v>3</v>
      </c>
      <c r="Q788" s="190">
        <v>2025</v>
      </c>
      <c r="R788" s="190">
        <v>1</v>
      </c>
    </row>
    <row r="789" spans="1:18" x14ac:dyDescent="0.2">
      <c r="A789" s="190" t="s">
        <v>53</v>
      </c>
      <c r="B789" s="191" t="s">
        <v>207</v>
      </c>
      <c r="C789" s="191" t="s">
        <v>187</v>
      </c>
      <c r="D789" s="191" t="s">
        <v>4</v>
      </c>
      <c r="E789" s="191" t="s">
        <v>202</v>
      </c>
      <c r="F789" s="190" t="s">
        <v>269</v>
      </c>
      <c r="G789" s="190" t="s">
        <v>203</v>
      </c>
      <c r="H789" s="190" t="s">
        <v>19</v>
      </c>
      <c r="I789" s="191" t="s">
        <v>129</v>
      </c>
      <c r="J789" s="190" t="s">
        <v>265</v>
      </c>
      <c r="K789" s="191" t="s">
        <v>204</v>
      </c>
      <c r="L789" s="192" t="s">
        <v>205</v>
      </c>
      <c r="M789" s="190" t="s">
        <v>206</v>
      </c>
      <c r="N789" s="190">
        <v>33500</v>
      </c>
      <c r="O789" s="190">
        <v>7201</v>
      </c>
      <c r="P789" s="190">
        <v>2</v>
      </c>
      <c r="Q789" s="190">
        <v>2025</v>
      </c>
      <c r="R789" s="190">
        <v>1</v>
      </c>
    </row>
    <row r="790" spans="1:18" x14ac:dyDescent="0.2">
      <c r="A790" s="190" t="s">
        <v>53</v>
      </c>
      <c r="B790" s="191" t="s">
        <v>207</v>
      </c>
      <c r="C790" s="191" t="s">
        <v>187</v>
      </c>
      <c r="D790" s="191" t="s">
        <v>4</v>
      </c>
      <c r="E790" s="191" t="s">
        <v>202</v>
      </c>
      <c r="F790" s="190" t="s">
        <v>613</v>
      </c>
      <c r="G790" s="190" t="s">
        <v>203</v>
      </c>
      <c r="H790" s="190" t="s">
        <v>27</v>
      </c>
      <c r="I790" s="191" t="s">
        <v>139</v>
      </c>
      <c r="J790" s="190" t="s">
        <v>202</v>
      </c>
      <c r="K790" s="191" t="s">
        <v>204</v>
      </c>
      <c r="L790" s="192" t="s">
        <v>205</v>
      </c>
      <c r="M790" s="190" t="s">
        <v>206</v>
      </c>
      <c r="N790" s="190">
        <v>30500</v>
      </c>
      <c r="O790" s="190">
        <v>8900</v>
      </c>
      <c r="P790" s="190">
        <v>2</v>
      </c>
      <c r="Q790" s="190">
        <v>2025</v>
      </c>
      <c r="R790" s="190">
        <v>2</v>
      </c>
    </row>
    <row r="791" spans="1:18" x14ac:dyDescent="0.2">
      <c r="A791" s="190" t="s">
        <v>53</v>
      </c>
      <c r="B791" s="191" t="s">
        <v>207</v>
      </c>
      <c r="C791" s="191" t="s">
        <v>187</v>
      </c>
      <c r="D791" s="191" t="s">
        <v>4</v>
      </c>
      <c r="E791" s="191" t="s">
        <v>202</v>
      </c>
      <c r="F791" s="190" t="s">
        <v>219</v>
      </c>
      <c r="G791" s="190" t="s">
        <v>208</v>
      </c>
      <c r="H791" s="190" t="s">
        <v>22</v>
      </c>
      <c r="I791" s="191" t="s">
        <v>106</v>
      </c>
      <c r="J791" s="190" t="s">
        <v>222</v>
      </c>
      <c r="K791" s="191" t="s">
        <v>221</v>
      </c>
      <c r="L791" s="192" t="s">
        <v>205</v>
      </c>
      <c r="M791" s="190" t="s">
        <v>210</v>
      </c>
      <c r="N791" s="190">
        <v>7000</v>
      </c>
      <c r="O791" s="190">
        <v>4009</v>
      </c>
      <c r="P791" s="190">
        <v>3</v>
      </c>
      <c r="Q791" s="190">
        <v>2025</v>
      </c>
      <c r="R791" s="190">
        <v>1</v>
      </c>
    </row>
    <row r="792" spans="1:18" x14ac:dyDescent="0.2">
      <c r="A792" s="190" t="s">
        <v>53</v>
      </c>
      <c r="B792" s="191" t="s">
        <v>211</v>
      </c>
      <c r="C792" s="191" t="s">
        <v>187</v>
      </c>
      <c r="D792" s="191" t="s">
        <v>4</v>
      </c>
      <c r="E792" s="191" t="s">
        <v>212</v>
      </c>
      <c r="F792" s="190" t="s">
        <v>212</v>
      </c>
      <c r="G792" s="190" t="s">
        <v>208</v>
      </c>
      <c r="H792" s="190" t="s">
        <v>297</v>
      </c>
      <c r="I792" s="191" t="s">
        <v>358</v>
      </c>
      <c r="J792" s="190" t="s">
        <v>254</v>
      </c>
      <c r="K792" s="191" t="s">
        <v>213</v>
      </c>
      <c r="L792" s="192" t="s">
        <v>205</v>
      </c>
      <c r="M792" s="190" t="s">
        <v>210</v>
      </c>
      <c r="N792" s="190">
        <v>6620</v>
      </c>
      <c r="O792" s="190">
        <v>2771</v>
      </c>
      <c r="P792" s="190">
        <v>3</v>
      </c>
      <c r="Q792" s="190">
        <v>2025</v>
      </c>
      <c r="R792" s="190">
        <v>1</v>
      </c>
    </row>
    <row r="793" spans="1:18" x14ac:dyDescent="0.2">
      <c r="A793" s="190" t="s">
        <v>53</v>
      </c>
      <c r="B793" s="191" t="s">
        <v>211</v>
      </c>
      <c r="C793" s="191" t="s">
        <v>187</v>
      </c>
      <c r="D793" s="191" t="s">
        <v>4</v>
      </c>
      <c r="E793" s="191" t="s">
        <v>212</v>
      </c>
      <c r="F793" s="190" t="s">
        <v>212</v>
      </c>
      <c r="G793" s="190" t="s">
        <v>208</v>
      </c>
      <c r="H793" s="190" t="s">
        <v>29</v>
      </c>
      <c r="I793" s="191" t="s">
        <v>311</v>
      </c>
      <c r="J793" s="190" t="s">
        <v>332</v>
      </c>
      <c r="K793" s="191" t="s">
        <v>213</v>
      </c>
      <c r="L793" s="192" t="s">
        <v>205</v>
      </c>
      <c r="M793" s="190" t="s">
        <v>210</v>
      </c>
      <c r="N793" s="190">
        <v>6560</v>
      </c>
      <c r="O793" s="190">
        <v>2746</v>
      </c>
      <c r="P793" s="190">
        <v>6</v>
      </c>
      <c r="Q793" s="190">
        <v>2025</v>
      </c>
      <c r="R793" s="190">
        <v>1</v>
      </c>
    </row>
    <row r="794" spans="1:18" x14ac:dyDescent="0.2">
      <c r="A794" s="190" t="s">
        <v>53</v>
      </c>
      <c r="B794" s="191" t="s">
        <v>211</v>
      </c>
      <c r="C794" s="191" t="s">
        <v>187</v>
      </c>
      <c r="D794" s="191" t="s">
        <v>4</v>
      </c>
      <c r="E794" s="191" t="s">
        <v>212</v>
      </c>
      <c r="F794" s="190" t="s">
        <v>212</v>
      </c>
      <c r="G794" s="190" t="s">
        <v>208</v>
      </c>
      <c r="H794" s="190" t="s">
        <v>39</v>
      </c>
      <c r="I794" s="191" t="s">
        <v>285</v>
      </c>
      <c r="J794" s="190" t="s">
        <v>420</v>
      </c>
      <c r="K794" s="191" t="s">
        <v>213</v>
      </c>
      <c r="L794" s="192" t="s">
        <v>205</v>
      </c>
      <c r="M794" s="190" t="s">
        <v>210</v>
      </c>
      <c r="N794" s="190">
        <v>6361</v>
      </c>
      <c r="O794" s="190">
        <v>2771</v>
      </c>
      <c r="P794" s="190">
        <v>6</v>
      </c>
      <c r="Q794" s="190">
        <v>2025</v>
      </c>
      <c r="R794" s="190">
        <v>1</v>
      </c>
    </row>
    <row r="795" spans="1:18" x14ac:dyDescent="0.2">
      <c r="A795" s="190" t="s">
        <v>53</v>
      </c>
      <c r="B795" s="191" t="s">
        <v>211</v>
      </c>
      <c r="C795" s="191" t="s">
        <v>187</v>
      </c>
      <c r="D795" s="191" t="s">
        <v>4</v>
      </c>
      <c r="E795" s="191" t="s">
        <v>212</v>
      </c>
      <c r="F795" s="190" t="s">
        <v>212</v>
      </c>
      <c r="G795" s="190" t="s">
        <v>208</v>
      </c>
      <c r="H795" s="190" t="s">
        <v>47</v>
      </c>
      <c r="I795" s="191" t="s">
        <v>358</v>
      </c>
      <c r="J795" s="190" t="s">
        <v>369</v>
      </c>
      <c r="K795" s="191" t="s">
        <v>213</v>
      </c>
      <c r="L795" s="192" t="s">
        <v>205</v>
      </c>
      <c r="M795" s="190" t="s">
        <v>210</v>
      </c>
      <c r="N795" s="190">
        <v>7620</v>
      </c>
      <c r="O795" s="190">
        <v>2771</v>
      </c>
      <c r="P795" s="190">
        <v>3</v>
      </c>
      <c r="Q795" s="190">
        <v>2023</v>
      </c>
      <c r="R795" s="190">
        <v>1</v>
      </c>
    </row>
    <row r="796" spans="1:18" x14ac:dyDescent="0.2">
      <c r="A796" s="190" t="s">
        <v>53</v>
      </c>
      <c r="B796" s="191" t="s">
        <v>211</v>
      </c>
      <c r="C796" s="191" t="s">
        <v>187</v>
      </c>
      <c r="D796" s="191" t="s">
        <v>4</v>
      </c>
      <c r="E796" s="191" t="s">
        <v>219</v>
      </c>
      <c r="F796" s="190" t="s">
        <v>219</v>
      </c>
      <c r="G796" s="190" t="s">
        <v>203</v>
      </c>
      <c r="H796" s="190" t="s">
        <v>34</v>
      </c>
      <c r="I796" s="191" t="s">
        <v>416</v>
      </c>
      <c r="J796" s="190" t="s">
        <v>290</v>
      </c>
      <c r="K796" s="191" t="s">
        <v>213</v>
      </c>
      <c r="L796" s="192" t="s">
        <v>205</v>
      </c>
      <c r="M796" s="190" t="s">
        <v>206</v>
      </c>
      <c r="N796" s="190">
        <v>41500</v>
      </c>
      <c r="O796" s="190">
        <v>10518</v>
      </c>
      <c r="P796" s="190">
        <v>2</v>
      </c>
      <c r="Q796" s="190">
        <v>2025</v>
      </c>
      <c r="R796" s="190">
        <v>3</v>
      </c>
    </row>
    <row r="797" spans="1:18" x14ac:dyDescent="0.2">
      <c r="A797" s="190" t="s">
        <v>53</v>
      </c>
      <c r="B797" s="191" t="s">
        <v>211</v>
      </c>
      <c r="C797" s="191" t="s">
        <v>187</v>
      </c>
      <c r="D797" s="191" t="s">
        <v>4</v>
      </c>
      <c r="E797" s="191" t="s">
        <v>645</v>
      </c>
      <c r="F797" s="190" t="s">
        <v>645</v>
      </c>
      <c r="G797" s="190" t="s">
        <v>203</v>
      </c>
      <c r="H797" s="190" t="s">
        <v>20</v>
      </c>
      <c r="I797" s="191" t="s">
        <v>542</v>
      </c>
      <c r="J797" s="190" t="s">
        <v>753</v>
      </c>
      <c r="K797" s="191" t="s">
        <v>675</v>
      </c>
      <c r="L797" s="192" t="s">
        <v>205</v>
      </c>
      <c r="M797" s="190" t="s">
        <v>681</v>
      </c>
      <c r="N797" s="190">
        <v>42000</v>
      </c>
      <c r="O797" s="190">
        <v>12800</v>
      </c>
      <c r="P797" s="190">
        <v>3</v>
      </c>
      <c r="Q797" s="190">
        <v>2022</v>
      </c>
      <c r="R797" s="190">
        <v>1</v>
      </c>
    </row>
    <row r="798" spans="1:18" x14ac:dyDescent="0.2">
      <c r="A798" s="190" t="s">
        <v>53</v>
      </c>
      <c r="B798" s="191" t="s">
        <v>211</v>
      </c>
      <c r="C798" s="191" t="s">
        <v>187</v>
      </c>
      <c r="D798" s="191" t="s">
        <v>4</v>
      </c>
      <c r="E798" s="191" t="s">
        <v>202</v>
      </c>
      <c r="F798" s="190" t="s">
        <v>212</v>
      </c>
      <c r="G798" s="190" t="s">
        <v>208</v>
      </c>
      <c r="H798" s="190" t="s">
        <v>65</v>
      </c>
      <c r="I798" s="191" t="s">
        <v>101</v>
      </c>
      <c r="J798" s="190" t="s">
        <v>415</v>
      </c>
      <c r="K798" s="191" t="s">
        <v>221</v>
      </c>
      <c r="L798" s="192" t="s">
        <v>205</v>
      </c>
      <c r="M798" s="190" t="s">
        <v>210</v>
      </c>
      <c r="N798" s="190">
        <v>8550</v>
      </c>
      <c r="O798" s="190">
        <v>2998</v>
      </c>
      <c r="P798" s="190">
        <v>3</v>
      </c>
      <c r="Q798" s="190">
        <v>2025</v>
      </c>
      <c r="R798" s="190">
        <v>1</v>
      </c>
    </row>
    <row r="799" spans="1:18" x14ac:dyDescent="0.2">
      <c r="A799" s="190" t="s">
        <v>53</v>
      </c>
      <c r="B799" s="191" t="s">
        <v>211</v>
      </c>
      <c r="C799" s="191" t="s">
        <v>187</v>
      </c>
      <c r="D799" s="191" t="s">
        <v>4</v>
      </c>
      <c r="E799" s="191" t="s">
        <v>202</v>
      </c>
      <c r="F799" s="190" t="s">
        <v>212</v>
      </c>
      <c r="G799" s="190" t="s">
        <v>208</v>
      </c>
      <c r="H799" s="190" t="s">
        <v>37</v>
      </c>
      <c r="I799" s="191" t="s">
        <v>538</v>
      </c>
      <c r="J799" s="190" t="s">
        <v>538</v>
      </c>
      <c r="K799" s="191" t="s">
        <v>635</v>
      </c>
      <c r="L799" s="192" t="s">
        <v>205</v>
      </c>
      <c r="M799" s="190" t="s">
        <v>210</v>
      </c>
      <c r="N799" s="190">
        <v>11700</v>
      </c>
      <c r="O799" s="190">
        <v>5100</v>
      </c>
      <c r="P799" s="190">
        <v>3</v>
      </c>
      <c r="Q799" s="190">
        <v>2025</v>
      </c>
      <c r="R799" s="190">
        <v>1</v>
      </c>
    </row>
    <row r="800" spans="1:18" x14ac:dyDescent="0.2">
      <c r="A800" s="190" t="s">
        <v>53</v>
      </c>
      <c r="B800" s="191" t="s">
        <v>211</v>
      </c>
      <c r="C800" s="191" t="s">
        <v>187</v>
      </c>
      <c r="D800" s="191" t="s">
        <v>4</v>
      </c>
      <c r="E800" s="191" t="s">
        <v>202</v>
      </c>
      <c r="F800" s="190" t="s">
        <v>212</v>
      </c>
      <c r="G800" s="190" t="s">
        <v>203</v>
      </c>
      <c r="H800" s="190" t="s">
        <v>20</v>
      </c>
      <c r="I800" s="191" t="s">
        <v>417</v>
      </c>
      <c r="J800" s="190" t="s">
        <v>417</v>
      </c>
      <c r="K800" s="191" t="s">
        <v>204</v>
      </c>
      <c r="L800" s="192" t="s">
        <v>205</v>
      </c>
      <c r="M800" s="190" t="s">
        <v>210</v>
      </c>
      <c r="N800" s="190">
        <v>20500</v>
      </c>
      <c r="O800" s="190">
        <v>10800</v>
      </c>
      <c r="P800" s="190">
        <v>2</v>
      </c>
      <c r="Q800" s="190">
        <v>2025</v>
      </c>
      <c r="R800" s="190">
        <v>2</v>
      </c>
    </row>
    <row r="801" spans="1:18" x14ac:dyDescent="0.2">
      <c r="A801" s="190" t="s">
        <v>53</v>
      </c>
      <c r="B801" s="191" t="s">
        <v>211</v>
      </c>
      <c r="C801" s="191" t="s">
        <v>187</v>
      </c>
      <c r="D801" s="191" t="s">
        <v>4</v>
      </c>
      <c r="E801" s="191" t="s">
        <v>202</v>
      </c>
      <c r="F801" s="190" t="s">
        <v>622</v>
      </c>
      <c r="G801" s="190" t="s">
        <v>203</v>
      </c>
      <c r="H801" s="190" t="s">
        <v>29</v>
      </c>
      <c r="I801" s="191" t="s">
        <v>494</v>
      </c>
      <c r="J801" s="190" t="s">
        <v>633</v>
      </c>
      <c r="K801" s="191" t="s">
        <v>213</v>
      </c>
      <c r="L801" s="192" t="s">
        <v>205</v>
      </c>
      <c r="M801" s="190" t="s">
        <v>210</v>
      </c>
      <c r="N801" s="190">
        <v>20500</v>
      </c>
      <c r="O801" s="190">
        <v>6700</v>
      </c>
      <c r="P801" s="190">
        <v>3</v>
      </c>
      <c r="Q801" s="190">
        <v>2023</v>
      </c>
      <c r="R801" s="190">
        <v>1</v>
      </c>
    </row>
    <row r="802" spans="1:18" x14ac:dyDescent="0.2">
      <c r="A802" s="190" t="s">
        <v>53</v>
      </c>
      <c r="B802" s="191" t="s">
        <v>211</v>
      </c>
      <c r="C802" s="191" t="s">
        <v>187</v>
      </c>
      <c r="D802" s="191" t="s">
        <v>4</v>
      </c>
      <c r="E802" s="191" t="s">
        <v>202</v>
      </c>
      <c r="F802" s="190" t="s">
        <v>216</v>
      </c>
      <c r="G802" s="190" t="s">
        <v>208</v>
      </c>
      <c r="H802" s="190" t="s">
        <v>65</v>
      </c>
      <c r="I802" s="191" t="s">
        <v>101</v>
      </c>
      <c r="J802" s="190" t="s">
        <v>415</v>
      </c>
      <c r="K802" s="191" t="s">
        <v>221</v>
      </c>
      <c r="L802" s="192" t="s">
        <v>205</v>
      </c>
      <c r="M802" s="190" t="s">
        <v>210</v>
      </c>
      <c r="N802" s="190">
        <v>8550</v>
      </c>
      <c r="O802" s="190">
        <v>2998</v>
      </c>
      <c r="P802" s="190">
        <v>3</v>
      </c>
      <c r="Q802" s="190">
        <v>2025</v>
      </c>
      <c r="R802" s="190">
        <v>1</v>
      </c>
    </row>
    <row r="803" spans="1:18" x14ac:dyDescent="0.2">
      <c r="A803" s="190" t="s">
        <v>53</v>
      </c>
      <c r="B803" s="191" t="s">
        <v>211</v>
      </c>
      <c r="C803" s="191" t="s">
        <v>187</v>
      </c>
      <c r="D803" s="191" t="s">
        <v>4</v>
      </c>
      <c r="E803" s="191" t="s">
        <v>202</v>
      </c>
      <c r="F803" s="190" t="s">
        <v>216</v>
      </c>
      <c r="G803" s="190" t="s">
        <v>208</v>
      </c>
      <c r="H803" s="190" t="s">
        <v>22</v>
      </c>
      <c r="I803" s="191" t="s">
        <v>106</v>
      </c>
      <c r="J803" s="190" t="s">
        <v>223</v>
      </c>
      <c r="K803" s="191" t="s">
        <v>221</v>
      </c>
      <c r="L803" s="192" t="s">
        <v>205</v>
      </c>
      <c r="M803" s="190" t="s">
        <v>210</v>
      </c>
      <c r="N803" s="190">
        <v>8000</v>
      </c>
      <c r="O803" s="190">
        <v>4009</v>
      </c>
      <c r="P803" s="190">
        <v>3</v>
      </c>
      <c r="Q803" s="190">
        <v>2025</v>
      </c>
      <c r="R803" s="190">
        <v>1</v>
      </c>
    </row>
    <row r="804" spans="1:18" x14ac:dyDescent="0.2">
      <c r="A804" s="190" t="s">
        <v>53</v>
      </c>
      <c r="B804" s="191" t="s">
        <v>211</v>
      </c>
      <c r="C804" s="191" t="s">
        <v>187</v>
      </c>
      <c r="D804" s="191" t="s">
        <v>4</v>
      </c>
      <c r="E804" s="191" t="s">
        <v>202</v>
      </c>
      <c r="F804" s="190" t="s">
        <v>216</v>
      </c>
      <c r="G804" s="190" t="s">
        <v>203</v>
      </c>
      <c r="H804" s="190" t="s">
        <v>37</v>
      </c>
      <c r="I804" s="191" t="s">
        <v>537</v>
      </c>
      <c r="J804" s="190" t="s">
        <v>537</v>
      </c>
      <c r="K804" s="191" t="s">
        <v>635</v>
      </c>
      <c r="L804" s="192" t="s">
        <v>205</v>
      </c>
      <c r="M804" s="190" t="s">
        <v>210</v>
      </c>
      <c r="N804" s="190">
        <v>14500</v>
      </c>
      <c r="O804" s="190">
        <v>5100</v>
      </c>
      <c r="P804" s="190">
        <v>3</v>
      </c>
      <c r="Q804" s="190">
        <v>2025</v>
      </c>
      <c r="R804" s="190">
        <v>1</v>
      </c>
    </row>
    <row r="805" spans="1:18" x14ac:dyDescent="0.2">
      <c r="A805" s="190" t="s">
        <v>53</v>
      </c>
      <c r="B805" s="191" t="s">
        <v>211</v>
      </c>
      <c r="C805" s="191" t="s">
        <v>187</v>
      </c>
      <c r="D805" s="191" t="s">
        <v>4</v>
      </c>
      <c r="E805" s="191" t="s">
        <v>202</v>
      </c>
      <c r="F805" s="190" t="s">
        <v>643</v>
      </c>
      <c r="G805" s="190" t="s">
        <v>208</v>
      </c>
      <c r="H805" s="190" t="s">
        <v>24</v>
      </c>
      <c r="I805" s="191" t="s">
        <v>118</v>
      </c>
      <c r="J805" s="190" t="s">
        <v>231</v>
      </c>
      <c r="K805" s="191" t="s">
        <v>221</v>
      </c>
      <c r="L805" s="192" t="s">
        <v>205</v>
      </c>
      <c r="M805" s="190" t="s">
        <v>210</v>
      </c>
      <c r="N805" s="190">
        <v>5045</v>
      </c>
      <c r="O805" s="190">
        <v>2999</v>
      </c>
      <c r="P805" s="190">
        <v>3</v>
      </c>
      <c r="Q805" s="190">
        <v>2025</v>
      </c>
      <c r="R805" s="190">
        <v>1</v>
      </c>
    </row>
    <row r="806" spans="1:18" x14ac:dyDescent="0.2">
      <c r="A806" s="190" t="s">
        <v>53</v>
      </c>
      <c r="B806" s="191" t="s">
        <v>211</v>
      </c>
      <c r="C806" s="191" t="s">
        <v>187</v>
      </c>
      <c r="D806" s="191" t="s">
        <v>4</v>
      </c>
      <c r="E806" s="191" t="s">
        <v>202</v>
      </c>
      <c r="F806" s="190" t="s">
        <v>643</v>
      </c>
      <c r="G806" s="190" t="s">
        <v>208</v>
      </c>
      <c r="H806" s="190" t="s">
        <v>24</v>
      </c>
      <c r="I806" s="191" t="s">
        <v>120</v>
      </c>
      <c r="J806" s="190" t="s">
        <v>233</v>
      </c>
      <c r="K806" s="191" t="s">
        <v>221</v>
      </c>
      <c r="L806" s="192" t="s">
        <v>205</v>
      </c>
      <c r="M806" s="190" t="s">
        <v>210</v>
      </c>
      <c r="N806" s="190">
        <v>8000</v>
      </c>
      <c r="O806" s="190">
        <v>5193</v>
      </c>
      <c r="P806" s="190">
        <v>3</v>
      </c>
      <c r="Q806" s="190">
        <v>2025</v>
      </c>
      <c r="R806" s="190">
        <v>1</v>
      </c>
    </row>
    <row r="807" spans="1:18" x14ac:dyDescent="0.2">
      <c r="A807" s="190" t="s">
        <v>53</v>
      </c>
      <c r="B807" s="191" t="s">
        <v>211</v>
      </c>
      <c r="C807" s="191" t="s">
        <v>187</v>
      </c>
      <c r="D807" s="191" t="s">
        <v>4</v>
      </c>
      <c r="E807" s="191" t="s">
        <v>202</v>
      </c>
      <c r="F807" s="190" t="s">
        <v>617</v>
      </c>
      <c r="G807" s="190" t="s">
        <v>208</v>
      </c>
      <c r="H807" s="190" t="s">
        <v>65</v>
      </c>
      <c r="I807" s="191" t="s">
        <v>101</v>
      </c>
      <c r="J807" s="190" t="s">
        <v>413</v>
      </c>
      <c r="K807" s="191" t="s">
        <v>221</v>
      </c>
      <c r="L807" s="192" t="s">
        <v>205</v>
      </c>
      <c r="M807" s="190" t="s">
        <v>210</v>
      </c>
      <c r="N807" s="190">
        <v>5700</v>
      </c>
      <c r="O807" s="190">
        <v>2998</v>
      </c>
      <c r="P807" s="190">
        <v>3</v>
      </c>
      <c r="Q807" s="190">
        <v>2025</v>
      </c>
      <c r="R807" s="190">
        <v>1</v>
      </c>
    </row>
    <row r="808" spans="1:18" x14ac:dyDescent="0.2">
      <c r="A808" s="190" t="s">
        <v>53</v>
      </c>
      <c r="B808" s="191" t="s">
        <v>211</v>
      </c>
      <c r="C808" s="191" t="s">
        <v>187</v>
      </c>
      <c r="D808" s="191" t="s">
        <v>4</v>
      </c>
      <c r="E808" s="191" t="s">
        <v>202</v>
      </c>
      <c r="F808" s="190" t="s">
        <v>704</v>
      </c>
      <c r="G808" s="190" t="s">
        <v>208</v>
      </c>
      <c r="H808" s="190" t="s">
        <v>21</v>
      </c>
      <c r="I808" s="191" t="s">
        <v>111</v>
      </c>
      <c r="J808" s="190" t="s">
        <v>226</v>
      </c>
      <c r="K808" s="191" t="s">
        <v>227</v>
      </c>
      <c r="L808" s="192" t="s">
        <v>205</v>
      </c>
      <c r="M808" s="190" t="s">
        <v>210</v>
      </c>
      <c r="N808" s="190">
        <v>6500</v>
      </c>
      <c r="O808" s="190">
        <v>2891</v>
      </c>
      <c r="P808" s="190">
        <v>3</v>
      </c>
      <c r="Q808" s="190">
        <v>2023</v>
      </c>
      <c r="R808" s="190">
        <v>1</v>
      </c>
    </row>
    <row r="809" spans="1:18" x14ac:dyDescent="0.2">
      <c r="A809" s="190" t="s">
        <v>53</v>
      </c>
      <c r="B809" s="191" t="s">
        <v>211</v>
      </c>
      <c r="C809" s="191" t="s">
        <v>187</v>
      </c>
      <c r="D809" s="191" t="s">
        <v>4</v>
      </c>
      <c r="E809" s="191" t="s">
        <v>677</v>
      </c>
      <c r="F809" s="190" t="s">
        <v>645</v>
      </c>
      <c r="G809" s="190" t="s">
        <v>754</v>
      </c>
      <c r="H809" s="190" t="s">
        <v>450</v>
      </c>
      <c r="I809" s="191" t="s">
        <v>466</v>
      </c>
      <c r="J809" s="190" t="s">
        <v>738</v>
      </c>
      <c r="K809" s="191" t="s">
        <v>237</v>
      </c>
      <c r="L809" s="192" t="s">
        <v>205</v>
      </c>
      <c r="M809" s="190" t="s">
        <v>210</v>
      </c>
      <c r="N809" s="190">
        <v>7484</v>
      </c>
      <c r="O809" s="190">
        <v>6700</v>
      </c>
      <c r="P809" s="190">
        <v>7</v>
      </c>
      <c r="Q809" s="190">
        <v>2023</v>
      </c>
      <c r="R809" s="190">
        <v>1</v>
      </c>
    </row>
    <row r="810" spans="1:18" x14ac:dyDescent="0.2">
      <c r="A810" s="190" t="s">
        <v>53</v>
      </c>
      <c r="B810" s="191" t="s">
        <v>248</v>
      </c>
      <c r="C810" s="191" t="s">
        <v>5</v>
      </c>
      <c r="D810" s="191" t="s">
        <v>249</v>
      </c>
      <c r="E810" s="191" t="s">
        <v>250</v>
      </c>
      <c r="F810" s="190" t="s">
        <v>250</v>
      </c>
      <c r="G810" s="190" t="s">
        <v>253</v>
      </c>
      <c r="H810" s="190" t="s">
        <v>65</v>
      </c>
      <c r="I810" s="191" t="s">
        <v>160</v>
      </c>
      <c r="J810" s="190" t="s">
        <v>254</v>
      </c>
      <c r="K810" s="191" t="s">
        <v>221</v>
      </c>
      <c r="L810" s="192" t="s">
        <v>205</v>
      </c>
      <c r="M810" s="190" t="s">
        <v>210</v>
      </c>
      <c r="N810" s="190">
        <v>6200</v>
      </c>
      <c r="O810" s="190">
        <v>4899</v>
      </c>
      <c r="P810" s="190">
        <v>33</v>
      </c>
      <c r="Q810" s="190">
        <v>2025</v>
      </c>
      <c r="R810" s="190">
        <v>1</v>
      </c>
    </row>
    <row r="811" spans="1:18" x14ac:dyDescent="0.2">
      <c r="A811" s="190" t="s">
        <v>53</v>
      </c>
      <c r="B811" s="191" t="s">
        <v>248</v>
      </c>
      <c r="C811" s="191" t="s">
        <v>5</v>
      </c>
      <c r="D811" s="191" t="s">
        <v>249</v>
      </c>
      <c r="E811" s="191" t="s">
        <v>256</v>
      </c>
      <c r="F811" s="190" t="s">
        <v>256</v>
      </c>
      <c r="G811" s="190" t="s">
        <v>253</v>
      </c>
      <c r="H811" s="190" t="s">
        <v>20</v>
      </c>
      <c r="I811" s="191" t="s">
        <v>595</v>
      </c>
      <c r="J811" s="190" t="s">
        <v>595</v>
      </c>
      <c r="K811" s="191" t="s">
        <v>204</v>
      </c>
      <c r="L811" s="192" t="s">
        <v>205</v>
      </c>
      <c r="M811" s="190" t="s">
        <v>210</v>
      </c>
      <c r="N811" s="190">
        <v>19500</v>
      </c>
      <c r="O811" s="190">
        <v>10800</v>
      </c>
      <c r="P811" s="190">
        <v>52</v>
      </c>
      <c r="Q811" s="190">
        <v>2025</v>
      </c>
      <c r="R811" s="190">
        <v>4</v>
      </c>
    </row>
    <row r="812" spans="1:18" x14ac:dyDescent="0.2">
      <c r="A812" s="190" t="s">
        <v>58</v>
      </c>
      <c r="B812" s="191" t="s">
        <v>207</v>
      </c>
      <c r="C812" s="191" t="s">
        <v>187</v>
      </c>
      <c r="D812" s="191" t="s">
        <v>4</v>
      </c>
      <c r="E812" s="191" t="s">
        <v>219</v>
      </c>
      <c r="F812" s="190" t="s">
        <v>219</v>
      </c>
      <c r="G812" s="190" t="s">
        <v>203</v>
      </c>
      <c r="H812" s="190" t="s">
        <v>29</v>
      </c>
      <c r="I812" s="191" t="s">
        <v>127</v>
      </c>
      <c r="J812" s="190" t="s">
        <v>284</v>
      </c>
      <c r="K812" s="191" t="s">
        <v>213</v>
      </c>
      <c r="L812" s="192" t="s">
        <v>205</v>
      </c>
      <c r="M812" s="190" t="s">
        <v>206</v>
      </c>
      <c r="N812" s="190">
        <v>41000</v>
      </c>
      <c r="O812" s="190">
        <v>11800</v>
      </c>
      <c r="P812" s="190">
        <v>3</v>
      </c>
      <c r="Q812" s="190">
        <v>2024</v>
      </c>
      <c r="R812" s="190">
        <v>1</v>
      </c>
    </row>
    <row r="813" spans="1:18" x14ac:dyDescent="0.2">
      <c r="A813" s="190" t="s">
        <v>58</v>
      </c>
      <c r="B813" s="191" t="s">
        <v>211</v>
      </c>
      <c r="C813" s="191" t="s">
        <v>187</v>
      </c>
      <c r="D813" s="191" t="s">
        <v>4</v>
      </c>
      <c r="E813" s="191" t="s">
        <v>212</v>
      </c>
      <c r="F813" s="190" t="s">
        <v>212</v>
      </c>
      <c r="G813" s="190" t="s">
        <v>208</v>
      </c>
      <c r="H813" s="190" t="s">
        <v>29</v>
      </c>
      <c r="I813" s="191" t="s">
        <v>124</v>
      </c>
      <c r="J813" s="190" t="s">
        <v>262</v>
      </c>
      <c r="K813" s="191" t="s">
        <v>213</v>
      </c>
      <c r="L813" s="192" t="s">
        <v>205</v>
      </c>
      <c r="M813" s="190" t="s">
        <v>210</v>
      </c>
      <c r="N813" s="190">
        <v>9280</v>
      </c>
      <c r="O813" s="190">
        <v>3760</v>
      </c>
      <c r="P813" s="190">
        <v>3</v>
      </c>
      <c r="Q813" s="190">
        <v>2025</v>
      </c>
      <c r="R813" s="190">
        <v>1</v>
      </c>
    </row>
    <row r="814" spans="1:18" x14ac:dyDescent="0.2">
      <c r="A814" s="190" t="s">
        <v>58</v>
      </c>
      <c r="B814" s="191" t="s">
        <v>211</v>
      </c>
      <c r="C814" s="191" t="s">
        <v>187</v>
      </c>
      <c r="D814" s="191" t="s">
        <v>4</v>
      </c>
      <c r="E814" s="191" t="s">
        <v>219</v>
      </c>
      <c r="F814" s="190" t="s">
        <v>219</v>
      </c>
      <c r="G814" s="190" t="s">
        <v>208</v>
      </c>
      <c r="H814" s="190" t="s">
        <v>29</v>
      </c>
      <c r="I814" s="191" t="s">
        <v>440</v>
      </c>
      <c r="J814" s="190" t="s">
        <v>624</v>
      </c>
      <c r="K814" s="191" t="s">
        <v>213</v>
      </c>
      <c r="L814" s="192" t="s">
        <v>205</v>
      </c>
      <c r="M814" s="190" t="s">
        <v>210</v>
      </c>
      <c r="N814" s="190">
        <v>8780</v>
      </c>
      <c r="O814" s="190">
        <v>2672</v>
      </c>
      <c r="P814" s="190">
        <v>3</v>
      </c>
      <c r="Q814" s="190">
        <v>2025</v>
      </c>
      <c r="R814" s="190">
        <v>1</v>
      </c>
    </row>
    <row r="815" spans="1:18" x14ac:dyDescent="0.2">
      <c r="A815" s="190" t="s">
        <v>58</v>
      </c>
      <c r="B815" s="191" t="s">
        <v>211</v>
      </c>
      <c r="C815" s="191" t="s">
        <v>187</v>
      </c>
      <c r="D815" s="191" t="s">
        <v>4</v>
      </c>
      <c r="E815" s="191" t="s">
        <v>219</v>
      </c>
      <c r="F815" s="190" t="s">
        <v>219</v>
      </c>
      <c r="G815" s="190" t="s">
        <v>203</v>
      </c>
      <c r="H815" s="190" t="s">
        <v>29</v>
      </c>
      <c r="I815" s="191" t="s">
        <v>495</v>
      </c>
      <c r="J815" s="190" t="s">
        <v>690</v>
      </c>
      <c r="K815" s="191" t="s">
        <v>213</v>
      </c>
      <c r="L815" s="192" t="s">
        <v>205</v>
      </c>
      <c r="M815" s="190" t="s">
        <v>210</v>
      </c>
      <c r="N815" s="190">
        <v>15800</v>
      </c>
      <c r="O815" s="190">
        <v>4214</v>
      </c>
      <c r="P815" s="190">
        <v>3</v>
      </c>
      <c r="Q815" s="190">
        <v>2025</v>
      </c>
      <c r="R815" s="190">
        <v>1</v>
      </c>
    </row>
    <row r="816" spans="1:18" x14ac:dyDescent="0.2">
      <c r="A816" s="190" t="s">
        <v>58</v>
      </c>
      <c r="B816" s="191" t="s">
        <v>211</v>
      </c>
      <c r="C816" s="191" t="s">
        <v>187</v>
      </c>
      <c r="D816" s="191" t="s">
        <v>4</v>
      </c>
      <c r="E816" s="191" t="s">
        <v>202</v>
      </c>
      <c r="F816" s="190" t="s">
        <v>212</v>
      </c>
      <c r="G816" s="190" t="s">
        <v>203</v>
      </c>
      <c r="H816" s="190" t="s">
        <v>29</v>
      </c>
      <c r="I816" s="191" t="s">
        <v>126</v>
      </c>
      <c r="J816" s="190" t="s">
        <v>376</v>
      </c>
      <c r="K816" s="191" t="s">
        <v>213</v>
      </c>
      <c r="L816" s="192" t="s">
        <v>205</v>
      </c>
      <c r="M816" s="190" t="s">
        <v>210</v>
      </c>
      <c r="N816" s="190">
        <v>12590</v>
      </c>
      <c r="O816" s="190">
        <v>3760</v>
      </c>
      <c r="P816" s="190">
        <v>3</v>
      </c>
      <c r="Q816" s="190">
        <v>2025</v>
      </c>
      <c r="R816" s="190">
        <v>1</v>
      </c>
    </row>
    <row r="817" spans="1:18" x14ac:dyDescent="0.2">
      <c r="A817" s="190" t="s">
        <v>58</v>
      </c>
      <c r="B817" s="191" t="s">
        <v>211</v>
      </c>
      <c r="C817" s="191" t="s">
        <v>187</v>
      </c>
      <c r="D817" s="191" t="s">
        <v>4</v>
      </c>
      <c r="E817" s="191" t="s">
        <v>202</v>
      </c>
      <c r="F817" s="190" t="s">
        <v>643</v>
      </c>
      <c r="G817" s="190" t="s">
        <v>208</v>
      </c>
      <c r="H817" s="190" t="s">
        <v>65</v>
      </c>
      <c r="I817" s="191" t="s">
        <v>101</v>
      </c>
      <c r="J817" s="190" t="s">
        <v>409</v>
      </c>
      <c r="K817" s="191" t="s">
        <v>221</v>
      </c>
      <c r="L817" s="192" t="s">
        <v>205</v>
      </c>
      <c r="M817" s="190" t="s">
        <v>210</v>
      </c>
      <c r="N817" s="190">
        <v>7500</v>
      </c>
      <c r="O817" s="190">
        <v>2998</v>
      </c>
      <c r="P817" s="190">
        <v>3</v>
      </c>
      <c r="Q817" s="190">
        <v>2024</v>
      </c>
      <c r="R817" s="190">
        <v>1</v>
      </c>
    </row>
    <row r="818" spans="1:18" x14ac:dyDescent="0.2">
      <c r="A818" s="190" t="s">
        <v>58</v>
      </c>
      <c r="B818" s="191" t="s">
        <v>248</v>
      </c>
      <c r="C818" s="191" t="s">
        <v>5</v>
      </c>
      <c r="D818" s="191" t="s">
        <v>249</v>
      </c>
      <c r="E818" s="191" t="s">
        <v>250</v>
      </c>
      <c r="F818" s="190" t="s">
        <v>250</v>
      </c>
      <c r="G818" s="190" t="s">
        <v>251</v>
      </c>
      <c r="H818" s="190" t="s">
        <v>29</v>
      </c>
      <c r="I818" s="191" t="s">
        <v>163</v>
      </c>
      <c r="J818" s="190" t="s">
        <v>261</v>
      </c>
      <c r="K818" s="191" t="s">
        <v>213</v>
      </c>
      <c r="L818" s="192" t="s">
        <v>205</v>
      </c>
      <c r="M818" s="190" t="s">
        <v>210</v>
      </c>
      <c r="N818" s="190">
        <v>4000</v>
      </c>
      <c r="O818" s="190">
        <v>2746</v>
      </c>
      <c r="P818" s="190">
        <v>18</v>
      </c>
      <c r="Q818" s="190">
        <v>2025</v>
      </c>
      <c r="R818" s="190">
        <v>1</v>
      </c>
    </row>
    <row r="819" spans="1:18" x14ac:dyDescent="0.2">
      <c r="A819" s="190" t="s">
        <v>67</v>
      </c>
      <c r="B819" s="191" t="s">
        <v>211</v>
      </c>
      <c r="C819" s="191" t="s">
        <v>187</v>
      </c>
      <c r="D819" s="191" t="s">
        <v>4</v>
      </c>
      <c r="E819" s="191" t="s">
        <v>202</v>
      </c>
      <c r="F819" s="190" t="s">
        <v>212</v>
      </c>
      <c r="G819" s="190" t="s">
        <v>208</v>
      </c>
      <c r="H819" s="190" t="s">
        <v>24</v>
      </c>
      <c r="I819" s="191" t="s">
        <v>120</v>
      </c>
      <c r="J819" s="190" t="s">
        <v>233</v>
      </c>
      <c r="K819" s="191" t="s">
        <v>221</v>
      </c>
      <c r="L819" s="192" t="s">
        <v>205</v>
      </c>
      <c r="M819" s="190" t="s">
        <v>210</v>
      </c>
      <c r="N819" s="190">
        <v>8000</v>
      </c>
      <c r="O819" s="190">
        <v>5193</v>
      </c>
      <c r="P819" s="190">
        <v>3</v>
      </c>
      <c r="Q819" s="190">
        <v>2025</v>
      </c>
      <c r="R819" s="190">
        <v>5</v>
      </c>
    </row>
    <row r="820" spans="1:18" x14ac:dyDescent="0.2">
      <c r="A820" s="190" t="s">
        <v>67</v>
      </c>
      <c r="B820" s="191" t="s">
        <v>211</v>
      </c>
      <c r="C820" s="191" t="s">
        <v>187</v>
      </c>
      <c r="D820" s="191" t="s">
        <v>4</v>
      </c>
      <c r="E820" s="191" t="s">
        <v>202</v>
      </c>
      <c r="F820" s="190" t="s">
        <v>622</v>
      </c>
      <c r="G820" s="190" t="s">
        <v>203</v>
      </c>
      <c r="H820" s="190" t="s">
        <v>24</v>
      </c>
      <c r="I820" s="191" t="s">
        <v>115</v>
      </c>
      <c r="J820" s="190" t="s">
        <v>238</v>
      </c>
      <c r="K820" s="191" t="s">
        <v>221</v>
      </c>
      <c r="L820" s="192" t="s">
        <v>205</v>
      </c>
      <c r="M820" s="190" t="s">
        <v>210</v>
      </c>
      <c r="N820" s="190">
        <v>15295</v>
      </c>
      <c r="O820" s="190">
        <v>7790</v>
      </c>
      <c r="P820" s="190">
        <v>3</v>
      </c>
      <c r="Q820" s="190">
        <v>2025</v>
      </c>
      <c r="R820" s="190">
        <v>1</v>
      </c>
    </row>
    <row r="821" spans="1:18" x14ac:dyDescent="0.2">
      <c r="A821" s="190" t="s">
        <v>49</v>
      </c>
      <c r="B821" s="191" t="s">
        <v>207</v>
      </c>
      <c r="C821" s="191" t="s">
        <v>187</v>
      </c>
      <c r="D821" s="191" t="s">
        <v>4</v>
      </c>
      <c r="E821" s="191" t="s">
        <v>202</v>
      </c>
      <c r="F821" s="190" t="s">
        <v>219</v>
      </c>
      <c r="G821" s="190" t="s">
        <v>203</v>
      </c>
      <c r="H821" s="190" t="s">
        <v>19</v>
      </c>
      <c r="I821" s="191" t="s">
        <v>283</v>
      </c>
      <c r="J821" s="190" t="s">
        <v>283</v>
      </c>
      <c r="K821" s="191" t="s">
        <v>240</v>
      </c>
      <c r="L821" s="192" t="s">
        <v>205</v>
      </c>
      <c r="M821" s="190" t="s">
        <v>206</v>
      </c>
      <c r="N821" s="190">
        <v>41000</v>
      </c>
      <c r="O821" s="190">
        <v>12809</v>
      </c>
      <c r="P821" s="190">
        <v>2</v>
      </c>
      <c r="Q821" s="190">
        <v>2024</v>
      </c>
      <c r="R821" s="190">
        <v>1</v>
      </c>
    </row>
    <row r="822" spans="1:18" x14ac:dyDescent="0.2">
      <c r="A822" s="190" t="s">
        <v>49</v>
      </c>
      <c r="B822" s="191" t="s">
        <v>211</v>
      </c>
      <c r="C822" s="191" t="s">
        <v>187</v>
      </c>
      <c r="D822" s="191" t="s">
        <v>4</v>
      </c>
      <c r="E822" s="191" t="s">
        <v>212</v>
      </c>
      <c r="F822" s="190" t="s">
        <v>212</v>
      </c>
      <c r="G822" s="190" t="s">
        <v>208</v>
      </c>
      <c r="H822" s="190" t="s">
        <v>29</v>
      </c>
      <c r="I822" s="191" t="s">
        <v>124</v>
      </c>
      <c r="J822" s="190" t="s">
        <v>262</v>
      </c>
      <c r="K822" s="191" t="s">
        <v>213</v>
      </c>
      <c r="L822" s="192" t="s">
        <v>205</v>
      </c>
      <c r="M822" s="190" t="s">
        <v>210</v>
      </c>
      <c r="N822" s="190">
        <v>9280</v>
      </c>
      <c r="O822" s="190">
        <v>3760</v>
      </c>
      <c r="P822" s="190">
        <v>3</v>
      </c>
      <c r="Q822" s="190">
        <v>2025</v>
      </c>
      <c r="R822" s="190">
        <v>1</v>
      </c>
    </row>
    <row r="823" spans="1:18" x14ac:dyDescent="0.2">
      <c r="A823" s="190" t="s">
        <v>49</v>
      </c>
      <c r="B823" s="191" t="s">
        <v>211</v>
      </c>
      <c r="C823" s="191" t="s">
        <v>187</v>
      </c>
      <c r="D823" s="191" t="s">
        <v>4</v>
      </c>
      <c r="E823" s="191" t="s">
        <v>212</v>
      </c>
      <c r="F823" s="190" t="s">
        <v>212</v>
      </c>
      <c r="G823" s="190" t="s">
        <v>208</v>
      </c>
      <c r="H823" s="190" t="s">
        <v>39</v>
      </c>
      <c r="I823" s="191" t="s">
        <v>285</v>
      </c>
      <c r="J823" s="190" t="s">
        <v>286</v>
      </c>
      <c r="K823" s="191" t="s">
        <v>213</v>
      </c>
      <c r="L823" s="192" t="s">
        <v>205</v>
      </c>
      <c r="M823" s="190" t="s">
        <v>210</v>
      </c>
      <c r="N823" s="190">
        <v>6361</v>
      </c>
      <c r="O823" s="190">
        <v>2771</v>
      </c>
      <c r="P823" s="190">
        <v>3</v>
      </c>
      <c r="Q823" s="190">
        <v>2025</v>
      </c>
      <c r="R823" s="190">
        <v>2</v>
      </c>
    </row>
    <row r="824" spans="1:18" x14ac:dyDescent="0.2">
      <c r="A824" s="190" t="s">
        <v>49</v>
      </c>
      <c r="B824" s="191" t="s">
        <v>211</v>
      </c>
      <c r="C824" s="191" t="s">
        <v>187</v>
      </c>
      <c r="D824" s="191" t="s">
        <v>4</v>
      </c>
      <c r="E824" s="191" t="s">
        <v>216</v>
      </c>
      <c r="F824" s="190" t="s">
        <v>216</v>
      </c>
      <c r="G824" s="190" t="s">
        <v>208</v>
      </c>
      <c r="H824" s="190" t="s">
        <v>47</v>
      </c>
      <c r="I824" s="191" t="s">
        <v>500</v>
      </c>
      <c r="J824" s="190" t="s">
        <v>620</v>
      </c>
      <c r="K824" s="191" t="s">
        <v>213</v>
      </c>
      <c r="L824" s="192" t="s">
        <v>205</v>
      </c>
      <c r="M824" s="190" t="s">
        <v>210</v>
      </c>
      <c r="N824" s="190">
        <v>6660</v>
      </c>
      <c r="O824" s="190">
        <v>2771</v>
      </c>
      <c r="P824" s="190">
        <v>2</v>
      </c>
      <c r="Q824" s="190">
        <v>2024</v>
      </c>
      <c r="R824" s="190">
        <v>2</v>
      </c>
    </row>
    <row r="825" spans="1:18" x14ac:dyDescent="0.2">
      <c r="A825" s="190" t="s">
        <v>49</v>
      </c>
      <c r="B825" s="191" t="s">
        <v>211</v>
      </c>
      <c r="C825" s="191" t="s">
        <v>187</v>
      </c>
      <c r="D825" s="191" t="s">
        <v>4</v>
      </c>
      <c r="E825" s="191" t="s">
        <v>219</v>
      </c>
      <c r="F825" s="190" t="s">
        <v>219</v>
      </c>
      <c r="G825" s="190" t="s">
        <v>203</v>
      </c>
      <c r="H825" s="190" t="s">
        <v>40</v>
      </c>
      <c r="I825" s="191" t="s">
        <v>304</v>
      </c>
      <c r="J825" s="190" t="s">
        <v>689</v>
      </c>
      <c r="K825" s="191" t="s">
        <v>213</v>
      </c>
      <c r="L825" s="192" t="s">
        <v>205</v>
      </c>
      <c r="M825" s="190" t="s">
        <v>206</v>
      </c>
      <c r="N825" s="190">
        <v>41000</v>
      </c>
      <c r="O825" s="190">
        <v>11600</v>
      </c>
      <c r="P825" s="190">
        <v>2</v>
      </c>
      <c r="Q825" s="190">
        <v>2024</v>
      </c>
      <c r="R825" s="190">
        <v>1</v>
      </c>
    </row>
    <row r="826" spans="1:18" x14ac:dyDescent="0.2">
      <c r="A826" s="190" t="s">
        <v>49</v>
      </c>
      <c r="B826" s="191" t="s">
        <v>211</v>
      </c>
      <c r="C826" s="191" t="s">
        <v>187</v>
      </c>
      <c r="D826" s="191" t="s">
        <v>4</v>
      </c>
      <c r="E826" s="191" t="s">
        <v>219</v>
      </c>
      <c r="F826" s="190" t="s">
        <v>219</v>
      </c>
      <c r="G826" s="190" t="s">
        <v>203</v>
      </c>
      <c r="H826" s="190" t="s">
        <v>40</v>
      </c>
      <c r="I826" s="191" t="s">
        <v>304</v>
      </c>
      <c r="J826" s="190" t="s">
        <v>625</v>
      </c>
      <c r="K826" s="191" t="s">
        <v>213</v>
      </c>
      <c r="L826" s="192" t="s">
        <v>205</v>
      </c>
      <c r="M826" s="190" t="s">
        <v>206</v>
      </c>
      <c r="N826" s="190">
        <v>41000</v>
      </c>
      <c r="O826" s="190">
        <v>11600</v>
      </c>
      <c r="P826" s="190">
        <v>2</v>
      </c>
      <c r="Q826" s="190">
        <v>2025</v>
      </c>
      <c r="R826" s="190">
        <v>4</v>
      </c>
    </row>
    <row r="827" spans="1:18" x14ac:dyDescent="0.2">
      <c r="A827" s="190" t="s">
        <v>49</v>
      </c>
      <c r="B827" s="191" t="s">
        <v>211</v>
      </c>
      <c r="C827" s="191" t="s">
        <v>187</v>
      </c>
      <c r="D827" s="191" t="s">
        <v>4</v>
      </c>
      <c r="E827" s="191" t="s">
        <v>219</v>
      </c>
      <c r="F827" s="190" t="s">
        <v>219</v>
      </c>
      <c r="G827" s="190" t="s">
        <v>203</v>
      </c>
      <c r="H827" s="190" t="s">
        <v>34</v>
      </c>
      <c r="I827" s="191" t="s">
        <v>319</v>
      </c>
      <c r="J827" s="190" t="s">
        <v>272</v>
      </c>
      <c r="K827" s="191" t="s">
        <v>213</v>
      </c>
      <c r="L827" s="192" t="s">
        <v>205</v>
      </c>
      <c r="M827" s="190" t="s">
        <v>210</v>
      </c>
      <c r="N827" s="190">
        <v>18000</v>
      </c>
      <c r="O827" s="190">
        <v>4088</v>
      </c>
      <c r="P827" s="190">
        <v>2</v>
      </c>
      <c r="Q827" s="190">
        <v>2025</v>
      </c>
      <c r="R827" s="190">
        <v>1</v>
      </c>
    </row>
    <row r="828" spans="1:18" x14ac:dyDescent="0.2">
      <c r="A828" s="190" t="s">
        <v>49</v>
      </c>
      <c r="B828" s="191" t="s">
        <v>211</v>
      </c>
      <c r="C828" s="191" t="s">
        <v>187</v>
      </c>
      <c r="D828" s="191" t="s">
        <v>4</v>
      </c>
      <c r="E828" s="191" t="s">
        <v>219</v>
      </c>
      <c r="F828" s="190" t="s">
        <v>219</v>
      </c>
      <c r="G828" s="190" t="s">
        <v>203</v>
      </c>
      <c r="H828" s="190" t="s">
        <v>34</v>
      </c>
      <c r="I828" s="191" t="s">
        <v>416</v>
      </c>
      <c r="J828" s="190" t="s">
        <v>290</v>
      </c>
      <c r="K828" s="191" t="s">
        <v>213</v>
      </c>
      <c r="L828" s="192" t="s">
        <v>205</v>
      </c>
      <c r="M828" s="190" t="s">
        <v>206</v>
      </c>
      <c r="N828" s="190">
        <v>41500</v>
      </c>
      <c r="O828" s="190">
        <v>12419</v>
      </c>
      <c r="P828" s="190">
        <v>2</v>
      </c>
      <c r="Q828" s="190">
        <v>2025</v>
      </c>
      <c r="R828" s="190">
        <v>3</v>
      </c>
    </row>
    <row r="829" spans="1:18" x14ac:dyDescent="0.2">
      <c r="A829" s="190" t="s">
        <v>49</v>
      </c>
      <c r="B829" s="191" t="s">
        <v>211</v>
      </c>
      <c r="C829" s="191" t="s">
        <v>187</v>
      </c>
      <c r="D829" s="191" t="s">
        <v>4</v>
      </c>
      <c r="E829" s="191" t="s">
        <v>219</v>
      </c>
      <c r="F829" s="190" t="s">
        <v>219</v>
      </c>
      <c r="G829" s="190" t="s">
        <v>203</v>
      </c>
      <c r="H829" s="190" t="s">
        <v>34</v>
      </c>
      <c r="I829" s="191" t="s">
        <v>430</v>
      </c>
      <c r="J829" s="190" t="s">
        <v>290</v>
      </c>
      <c r="K829" s="191" t="s">
        <v>213</v>
      </c>
      <c r="L829" s="192" t="s">
        <v>205</v>
      </c>
      <c r="M829" s="190" t="s">
        <v>218</v>
      </c>
      <c r="N829" s="190">
        <v>51000</v>
      </c>
      <c r="O829" s="190">
        <v>12419</v>
      </c>
      <c r="P829" s="190">
        <v>2</v>
      </c>
      <c r="Q829" s="190">
        <v>2025</v>
      </c>
      <c r="R829" s="190">
        <v>2</v>
      </c>
    </row>
    <row r="830" spans="1:18" x14ac:dyDescent="0.2">
      <c r="A830" s="190" t="s">
        <v>49</v>
      </c>
      <c r="B830" s="191" t="s">
        <v>211</v>
      </c>
      <c r="C830" s="191" t="s">
        <v>187</v>
      </c>
      <c r="D830" s="191" t="s">
        <v>4</v>
      </c>
      <c r="E830" s="191" t="s">
        <v>202</v>
      </c>
      <c r="F830" s="190" t="s">
        <v>212</v>
      </c>
      <c r="G830" s="190" t="s">
        <v>208</v>
      </c>
      <c r="H830" s="190" t="s">
        <v>65</v>
      </c>
      <c r="I830" s="191" t="s">
        <v>101</v>
      </c>
      <c r="J830" s="190" t="s">
        <v>409</v>
      </c>
      <c r="K830" s="191" t="s">
        <v>221</v>
      </c>
      <c r="L830" s="192" t="s">
        <v>205</v>
      </c>
      <c r="M830" s="190" t="s">
        <v>210</v>
      </c>
      <c r="N830" s="190">
        <v>7500</v>
      </c>
      <c r="O830" s="190">
        <v>2998</v>
      </c>
      <c r="P830" s="190">
        <v>3</v>
      </c>
      <c r="Q830" s="190">
        <v>2024</v>
      </c>
      <c r="R830" s="190">
        <v>2</v>
      </c>
    </row>
    <row r="831" spans="1:18" x14ac:dyDescent="0.2">
      <c r="A831" s="190" t="s">
        <v>49</v>
      </c>
      <c r="B831" s="191" t="s">
        <v>211</v>
      </c>
      <c r="C831" s="191" t="s">
        <v>187</v>
      </c>
      <c r="D831" s="191" t="s">
        <v>4</v>
      </c>
      <c r="E831" s="191" t="s">
        <v>202</v>
      </c>
      <c r="F831" s="190" t="s">
        <v>212</v>
      </c>
      <c r="G831" s="190" t="s">
        <v>208</v>
      </c>
      <c r="H831" s="190" t="s">
        <v>65</v>
      </c>
      <c r="I831" s="191" t="s">
        <v>427</v>
      </c>
      <c r="J831" s="190" t="s">
        <v>383</v>
      </c>
      <c r="K831" s="191" t="s">
        <v>221</v>
      </c>
      <c r="L831" s="192" t="s">
        <v>205</v>
      </c>
      <c r="M831" s="190" t="s">
        <v>210</v>
      </c>
      <c r="N831" s="190">
        <v>10400</v>
      </c>
      <c r="O831" s="190">
        <v>7545</v>
      </c>
      <c r="P831" s="190">
        <v>3</v>
      </c>
      <c r="Q831" s="190">
        <v>2024</v>
      </c>
      <c r="R831" s="190">
        <v>1</v>
      </c>
    </row>
    <row r="832" spans="1:18" x14ac:dyDescent="0.2">
      <c r="A832" s="190" t="s">
        <v>49</v>
      </c>
      <c r="B832" s="191" t="s">
        <v>211</v>
      </c>
      <c r="C832" s="191" t="s">
        <v>187</v>
      </c>
      <c r="D832" s="191" t="s">
        <v>4</v>
      </c>
      <c r="E832" s="191" t="s">
        <v>202</v>
      </c>
      <c r="F832" s="190" t="s">
        <v>212</v>
      </c>
      <c r="G832" s="190" t="s">
        <v>208</v>
      </c>
      <c r="H832" s="190" t="s">
        <v>21</v>
      </c>
      <c r="I832" s="191" t="s">
        <v>310</v>
      </c>
      <c r="J832" s="190" t="s">
        <v>226</v>
      </c>
      <c r="K832" s="191" t="s">
        <v>227</v>
      </c>
      <c r="L832" s="192" t="s">
        <v>205</v>
      </c>
      <c r="M832" s="190" t="s">
        <v>210</v>
      </c>
      <c r="N832" s="190">
        <v>10300</v>
      </c>
      <c r="O832" s="190">
        <v>3933</v>
      </c>
      <c r="P832" s="190">
        <v>3</v>
      </c>
      <c r="Q832" s="190">
        <v>2024</v>
      </c>
      <c r="R832" s="190">
        <v>1</v>
      </c>
    </row>
    <row r="833" spans="1:18" x14ac:dyDescent="0.2">
      <c r="A833" s="190" t="s">
        <v>49</v>
      </c>
      <c r="B833" s="191" t="s">
        <v>211</v>
      </c>
      <c r="C833" s="191" t="s">
        <v>187</v>
      </c>
      <c r="D833" s="191" t="s">
        <v>4</v>
      </c>
      <c r="E833" s="191" t="s">
        <v>202</v>
      </c>
      <c r="F833" s="190" t="s">
        <v>212</v>
      </c>
      <c r="G833" s="190" t="s">
        <v>208</v>
      </c>
      <c r="H833" s="190" t="s">
        <v>24</v>
      </c>
      <c r="I833" s="191" t="s">
        <v>114</v>
      </c>
      <c r="J833" s="190" t="s">
        <v>230</v>
      </c>
      <c r="K833" s="191" t="s">
        <v>221</v>
      </c>
      <c r="L833" s="192" t="s">
        <v>205</v>
      </c>
      <c r="M833" s="190" t="s">
        <v>210</v>
      </c>
      <c r="N833" s="190">
        <v>10400</v>
      </c>
      <c r="O833" s="190">
        <v>5193</v>
      </c>
      <c r="P833" s="190">
        <v>3</v>
      </c>
      <c r="Q833" s="190">
        <v>2025</v>
      </c>
      <c r="R833" s="190">
        <v>2</v>
      </c>
    </row>
    <row r="834" spans="1:18" x14ac:dyDescent="0.2">
      <c r="A834" s="190" t="s">
        <v>49</v>
      </c>
      <c r="B834" s="191" t="s">
        <v>211</v>
      </c>
      <c r="C834" s="191" t="s">
        <v>187</v>
      </c>
      <c r="D834" s="191" t="s">
        <v>4</v>
      </c>
      <c r="E834" s="191" t="s">
        <v>202</v>
      </c>
      <c r="F834" s="190" t="s">
        <v>212</v>
      </c>
      <c r="G834" s="190" t="s">
        <v>208</v>
      </c>
      <c r="H834" s="190" t="s">
        <v>24</v>
      </c>
      <c r="I834" s="191" t="s">
        <v>118</v>
      </c>
      <c r="J834" s="190" t="s">
        <v>231</v>
      </c>
      <c r="K834" s="191" t="s">
        <v>221</v>
      </c>
      <c r="L834" s="192" t="s">
        <v>205</v>
      </c>
      <c r="M834" s="190" t="s">
        <v>210</v>
      </c>
      <c r="N834" s="190">
        <v>5045</v>
      </c>
      <c r="O834" s="190">
        <v>2999</v>
      </c>
      <c r="P834" s="190">
        <v>3</v>
      </c>
      <c r="Q834" s="190">
        <v>2025</v>
      </c>
      <c r="R834" s="190">
        <v>1</v>
      </c>
    </row>
    <row r="835" spans="1:18" x14ac:dyDescent="0.2">
      <c r="A835" s="190" t="s">
        <v>49</v>
      </c>
      <c r="B835" s="191" t="s">
        <v>211</v>
      </c>
      <c r="C835" s="191" t="s">
        <v>187</v>
      </c>
      <c r="D835" s="191" t="s">
        <v>4</v>
      </c>
      <c r="E835" s="191" t="s">
        <v>202</v>
      </c>
      <c r="F835" s="190" t="s">
        <v>212</v>
      </c>
      <c r="G835" s="190" t="s">
        <v>208</v>
      </c>
      <c r="H835" s="190" t="s">
        <v>24</v>
      </c>
      <c r="I835" s="191" t="s">
        <v>120</v>
      </c>
      <c r="J835" s="190" t="s">
        <v>233</v>
      </c>
      <c r="K835" s="191" t="s">
        <v>221</v>
      </c>
      <c r="L835" s="192" t="s">
        <v>205</v>
      </c>
      <c r="M835" s="190" t="s">
        <v>210</v>
      </c>
      <c r="N835" s="190">
        <v>8000</v>
      </c>
      <c r="O835" s="190">
        <v>5193</v>
      </c>
      <c r="P835" s="190">
        <v>3</v>
      </c>
      <c r="Q835" s="190">
        <v>2025</v>
      </c>
      <c r="R835" s="190">
        <v>3</v>
      </c>
    </row>
    <row r="836" spans="1:18" x14ac:dyDescent="0.2">
      <c r="A836" s="190" t="s">
        <v>49</v>
      </c>
      <c r="B836" s="191" t="s">
        <v>211</v>
      </c>
      <c r="C836" s="191" t="s">
        <v>187</v>
      </c>
      <c r="D836" s="191" t="s">
        <v>4</v>
      </c>
      <c r="E836" s="191" t="s">
        <v>202</v>
      </c>
      <c r="F836" s="190" t="s">
        <v>212</v>
      </c>
      <c r="G836" s="190" t="s">
        <v>208</v>
      </c>
      <c r="H836" s="190" t="s">
        <v>24</v>
      </c>
      <c r="I836" s="191" t="s">
        <v>121</v>
      </c>
      <c r="J836" s="190" t="s">
        <v>232</v>
      </c>
      <c r="K836" s="191" t="s">
        <v>221</v>
      </c>
      <c r="L836" s="192" t="s">
        <v>205</v>
      </c>
      <c r="M836" s="190" t="s">
        <v>234</v>
      </c>
      <c r="N836" s="190">
        <v>6960</v>
      </c>
      <c r="O836" s="190">
        <v>5193</v>
      </c>
      <c r="P836" s="190">
        <v>3</v>
      </c>
      <c r="Q836" s="190">
        <v>2025</v>
      </c>
      <c r="R836" s="190">
        <v>1</v>
      </c>
    </row>
    <row r="837" spans="1:18" x14ac:dyDescent="0.2">
      <c r="A837" s="190" t="s">
        <v>49</v>
      </c>
      <c r="B837" s="191" t="s">
        <v>211</v>
      </c>
      <c r="C837" s="191" t="s">
        <v>187</v>
      </c>
      <c r="D837" s="191" t="s">
        <v>4</v>
      </c>
      <c r="E837" s="191" t="s">
        <v>202</v>
      </c>
      <c r="F837" s="190" t="s">
        <v>212</v>
      </c>
      <c r="G837" s="190" t="s">
        <v>208</v>
      </c>
      <c r="H837" s="190" t="s">
        <v>29</v>
      </c>
      <c r="I837" s="191" t="s">
        <v>492</v>
      </c>
      <c r="J837" s="190" t="s">
        <v>630</v>
      </c>
      <c r="K837" s="191" t="s">
        <v>213</v>
      </c>
      <c r="L837" s="192" t="s">
        <v>205</v>
      </c>
      <c r="M837" s="190" t="s">
        <v>210</v>
      </c>
      <c r="N837" s="190">
        <v>7800</v>
      </c>
      <c r="O837" s="190">
        <v>3800</v>
      </c>
      <c r="P837" s="190">
        <v>3</v>
      </c>
      <c r="Q837" s="190">
        <v>2025</v>
      </c>
      <c r="R837" s="190">
        <v>1</v>
      </c>
    </row>
    <row r="838" spans="1:18" x14ac:dyDescent="0.2">
      <c r="A838" s="190" t="s">
        <v>49</v>
      </c>
      <c r="B838" s="191" t="s">
        <v>211</v>
      </c>
      <c r="C838" s="191" t="s">
        <v>187</v>
      </c>
      <c r="D838" s="191" t="s">
        <v>4</v>
      </c>
      <c r="E838" s="191" t="s">
        <v>202</v>
      </c>
      <c r="F838" s="190" t="s">
        <v>212</v>
      </c>
      <c r="G838" s="190" t="s">
        <v>208</v>
      </c>
      <c r="H838" s="190" t="s">
        <v>29</v>
      </c>
      <c r="I838" s="191" t="s">
        <v>125</v>
      </c>
      <c r="J838" s="190" t="s">
        <v>367</v>
      </c>
      <c r="K838" s="191" t="s">
        <v>213</v>
      </c>
      <c r="L838" s="192" t="s">
        <v>205</v>
      </c>
      <c r="M838" s="190" t="s">
        <v>210</v>
      </c>
      <c r="N838" s="190">
        <v>9900</v>
      </c>
      <c r="O838" s="190">
        <v>3760</v>
      </c>
      <c r="P838" s="190">
        <v>3</v>
      </c>
      <c r="Q838" s="190">
        <v>2025</v>
      </c>
      <c r="R838" s="190">
        <v>1</v>
      </c>
    </row>
    <row r="839" spans="1:18" x14ac:dyDescent="0.2">
      <c r="A839" s="190" t="s">
        <v>49</v>
      </c>
      <c r="B839" s="191" t="s">
        <v>211</v>
      </c>
      <c r="C839" s="191" t="s">
        <v>187</v>
      </c>
      <c r="D839" s="191" t="s">
        <v>4</v>
      </c>
      <c r="E839" s="191" t="s">
        <v>202</v>
      </c>
      <c r="F839" s="190" t="s">
        <v>212</v>
      </c>
      <c r="G839" s="190" t="s">
        <v>203</v>
      </c>
      <c r="H839" s="190" t="s">
        <v>22</v>
      </c>
      <c r="I839" s="191" t="s">
        <v>107</v>
      </c>
      <c r="J839" s="190" t="s">
        <v>220</v>
      </c>
      <c r="K839" s="191" t="s">
        <v>221</v>
      </c>
      <c r="L839" s="192" t="s">
        <v>205</v>
      </c>
      <c r="M839" s="190" t="s">
        <v>210</v>
      </c>
      <c r="N839" s="190">
        <v>12500</v>
      </c>
      <c r="O839" s="190">
        <v>7684</v>
      </c>
      <c r="P839" s="190">
        <v>3</v>
      </c>
      <c r="Q839" s="190">
        <v>2025</v>
      </c>
      <c r="R839" s="190">
        <v>2</v>
      </c>
    </row>
    <row r="840" spans="1:18" x14ac:dyDescent="0.2">
      <c r="A840" s="190" t="s">
        <v>49</v>
      </c>
      <c r="B840" s="191" t="s">
        <v>211</v>
      </c>
      <c r="C840" s="191" t="s">
        <v>187</v>
      </c>
      <c r="D840" s="191" t="s">
        <v>4</v>
      </c>
      <c r="E840" s="191" t="s">
        <v>202</v>
      </c>
      <c r="F840" s="190" t="s">
        <v>212</v>
      </c>
      <c r="G840" s="190" t="s">
        <v>203</v>
      </c>
      <c r="H840" s="190" t="s">
        <v>19</v>
      </c>
      <c r="I840" s="191" t="s">
        <v>131</v>
      </c>
      <c r="J840" s="190" t="s">
        <v>270</v>
      </c>
      <c r="K840" s="191" t="s">
        <v>204</v>
      </c>
      <c r="L840" s="192" t="s">
        <v>205</v>
      </c>
      <c r="M840" s="190" t="s">
        <v>210</v>
      </c>
      <c r="N840" s="190">
        <v>14300</v>
      </c>
      <c r="O840" s="190">
        <v>4801</v>
      </c>
      <c r="P840" s="190">
        <v>2</v>
      </c>
      <c r="Q840" s="190">
        <v>2025</v>
      </c>
      <c r="R840" s="190">
        <v>1</v>
      </c>
    </row>
    <row r="841" spans="1:18" x14ac:dyDescent="0.2">
      <c r="A841" s="190" t="s">
        <v>49</v>
      </c>
      <c r="B841" s="191" t="s">
        <v>211</v>
      </c>
      <c r="C841" s="191" t="s">
        <v>187</v>
      </c>
      <c r="D841" s="191" t="s">
        <v>4</v>
      </c>
      <c r="E841" s="191" t="s">
        <v>202</v>
      </c>
      <c r="F841" s="190" t="s">
        <v>212</v>
      </c>
      <c r="G841" s="190" t="s">
        <v>203</v>
      </c>
      <c r="H841" s="190" t="s">
        <v>19</v>
      </c>
      <c r="I841" s="191" t="s">
        <v>134</v>
      </c>
      <c r="J841" s="190" t="s">
        <v>277</v>
      </c>
      <c r="K841" s="191" t="s">
        <v>204</v>
      </c>
      <c r="L841" s="192" t="s">
        <v>205</v>
      </c>
      <c r="M841" s="190" t="s">
        <v>242</v>
      </c>
      <c r="N841" s="190">
        <v>24500</v>
      </c>
      <c r="O841" s="190">
        <v>7200</v>
      </c>
      <c r="P841" s="190">
        <v>2</v>
      </c>
      <c r="Q841" s="190">
        <v>2025</v>
      </c>
      <c r="R841" s="190">
        <v>1</v>
      </c>
    </row>
    <row r="842" spans="1:18" x14ac:dyDescent="0.2">
      <c r="A842" s="190" t="s">
        <v>49</v>
      </c>
      <c r="B842" s="191" t="s">
        <v>211</v>
      </c>
      <c r="C842" s="191" t="s">
        <v>187</v>
      </c>
      <c r="D842" s="191" t="s">
        <v>4</v>
      </c>
      <c r="E842" s="191" t="s">
        <v>202</v>
      </c>
      <c r="F842" s="190" t="s">
        <v>212</v>
      </c>
      <c r="G842" s="190" t="s">
        <v>203</v>
      </c>
      <c r="H842" s="190" t="s">
        <v>20</v>
      </c>
      <c r="I842" s="191" t="s">
        <v>143</v>
      </c>
      <c r="J842" s="190" t="s">
        <v>143</v>
      </c>
      <c r="K842" s="191" t="s">
        <v>204</v>
      </c>
      <c r="L842" s="192" t="s">
        <v>205</v>
      </c>
      <c r="M842" s="190" t="s">
        <v>210</v>
      </c>
      <c r="N842" s="190">
        <v>17700</v>
      </c>
      <c r="O842" s="190">
        <v>7700</v>
      </c>
      <c r="P842" s="190">
        <v>2</v>
      </c>
      <c r="Q842" s="190">
        <v>2025</v>
      </c>
      <c r="R842" s="190">
        <v>1</v>
      </c>
    </row>
    <row r="843" spans="1:18" x14ac:dyDescent="0.2">
      <c r="A843" s="190" t="s">
        <v>49</v>
      </c>
      <c r="B843" s="191" t="s">
        <v>211</v>
      </c>
      <c r="C843" s="191" t="s">
        <v>187</v>
      </c>
      <c r="D843" s="191" t="s">
        <v>4</v>
      </c>
      <c r="E843" s="191" t="s">
        <v>202</v>
      </c>
      <c r="F843" s="190" t="s">
        <v>269</v>
      </c>
      <c r="G843" s="190" t="s">
        <v>203</v>
      </c>
      <c r="H843" s="190" t="s">
        <v>19</v>
      </c>
      <c r="I843" s="191" t="s">
        <v>315</v>
      </c>
      <c r="J843" s="190" t="s">
        <v>637</v>
      </c>
      <c r="K843" s="191" t="s">
        <v>204</v>
      </c>
      <c r="L843" s="192" t="s">
        <v>205</v>
      </c>
      <c r="M843" s="190" t="s">
        <v>206</v>
      </c>
      <c r="N843" s="190">
        <v>33500</v>
      </c>
      <c r="O843" s="190">
        <v>11900</v>
      </c>
      <c r="P843" s="190">
        <v>2</v>
      </c>
      <c r="Q843" s="190">
        <v>2025</v>
      </c>
      <c r="R843" s="190">
        <v>1</v>
      </c>
    </row>
    <row r="844" spans="1:18" x14ac:dyDescent="0.2">
      <c r="A844" s="190" t="s">
        <v>49</v>
      </c>
      <c r="B844" s="191" t="s">
        <v>211</v>
      </c>
      <c r="C844" s="191" t="s">
        <v>187</v>
      </c>
      <c r="D844" s="191" t="s">
        <v>4</v>
      </c>
      <c r="E844" s="191" t="s">
        <v>202</v>
      </c>
      <c r="F844" s="190" t="s">
        <v>269</v>
      </c>
      <c r="G844" s="190" t="s">
        <v>203</v>
      </c>
      <c r="H844" s="190" t="s">
        <v>19</v>
      </c>
      <c r="I844" s="191" t="s">
        <v>360</v>
      </c>
      <c r="J844" s="190" t="s">
        <v>384</v>
      </c>
      <c r="K844" s="191" t="s">
        <v>204</v>
      </c>
      <c r="L844" s="192" t="s">
        <v>205</v>
      </c>
      <c r="M844" s="190" t="s">
        <v>206</v>
      </c>
      <c r="N844" s="190">
        <v>33500</v>
      </c>
      <c r="O844" s="190">
        <v>11900</v>
      </c>
      <c r="P844" s="190">
        <v>2</v>
      </c>
      <c r="Q844" s="190">
        <v>2025</v>
      </c>
      <c r="R844" s="190">
        <v>1</v>
      </c>
    </row>
    <row r="845" spans="1:18" x14ac:dyDescent="0.2">
      <c r="A845" s="190" t="s">
        <v>49</v>
      </c>
      <c r="B845" s="191" t="s">
        <v>211</v>
      </c>
      <c r="C845" s="191" t="s">
        <v>187</v>
      </c>
      <c r="D845" s="191" t="s">
        <v>4</v>
      </c>
      <c r="E845" s="191" t="s">
        <v>202</v>
      </c>
      <c r="F845" s="190" t="s">
        <v>622</v>
      </c>
      <c r="G845" s="190" t="s">
        <v>208</v>
      </c>
      <c r="H845" s="190" t="s">
        <v>65</v>
      </c>
      <c r="I845" s="191" t="s">
        <v>102</v>
      </c>
      <c r="J845" s="190" t="s">
        <v>421</v>
      </c>
      <c r="K845" s="191" t="s">
        <v>245</v>
      </c>
      <c r="L845" s="192" t="s">
        <v>205</v>
      </c>
      <c r="M845" s="190" t="s">
        <v>210</v>
      </c>
      <c r="N845" s="190">
        <v>11990</v>
      </c>
      <c r="O845" s="190">
        <v>3907</v>
      </c>
      <c r="P845" s="190">
        <v>3</v>
      </c>
      <c r="Q845" s="190">
        <v>2024</v>
      </c>
      <c r="R845" s="190">
        <v>1</v>
      </c>
    </row>
    <row r="846" spans="1:18" x14ac:dyDescent="0.2">
      <c r="A846" s="190" t="s">
        <v>49</v>
      </c>
      <c r="B846" s="191" t="s">
        <v>211</v>
      </c>
      <c r="C846" s="191" t="s">
        <v>187</v>
      </c>
      <c r="D846" s="191" t="s">
        <v>4</v>
      </c>
      <c r="E846" s="191" t="s">
        <v>202</v>
      </c>
      <c r="F846" s="190" t="s">
        <v>216</v>
      </c>
      <c r="G846" s="190" t="s">
        <v>208</v>
      </c>
      <c r="H846" s="190" t="s">
        <v>65</v>
      </c>
      <c r="I846" s="191" t="s">
        <v>101</v>
      </c>
      <c r="J846" s="190" t="s">
        <v>411</v>
      </c>
      <c r="K846" s="191" t="s">
        <v>221</v>
      </c>
      <c r="L846" s="192" t="s">
        <v>205</v>
      </c>
      <c r="M846" s="190" t="s">
        <v>210</v>
      </c>
      <c r="N846" s="190">
        <v>6499</v>
      </c>
      <c r="O846" s="190">
        <v>2998</v>
      </c>
      <c r="P846" s="190">
        <v>3</v>
      </c>
      <c r="Q846" s="190">
        <v>2025</v>
      </c>
      <c r="R846" s="190">
        <v>4</v>
      </c>
    </row>
    <row r="847" spans="1:18" x14ac:dyDescent="0.2">
      <c r="A847" s="190" t="s">
        <v>49</v>
      </c>
      <c r="B847" s="191" t="s">
        <v>211</v>
      </c>
      <c r="C847" s="191" t="s">
        <v>187</v>
      </c>
      <c r="D847" s="191" t="s">
        <v>4</v>
      </c>
      <c r="E847" s="191" t="s">
        <v>202</v>
      </c>
      <c r="F847" s="190" t="s">
        <v>216</v>
      </c>
      <c r="G847" s="190" t="s">
        <v>208</v>
      </c>
      <c r="H847" s="190" t="s">
        <v>65</v>
      </c>
      <c r="I847" s="191" t="s">
        <v>101</v>
      </c>
      <c r="J847" s="190" t="s">
        <v>341</v>
      </c>
      <c r="K847" s="191" t="s">
        <v>221</v>
      </c>
      <c r="L847" s="192" t="s">
        <v>205</v>
      </c>
      <c r="M847" s="190" t="s">
        <v>210</v>
      </c>
      <c r="N847" s="190">
        <v>6499</v>
      </c>
      <c r="O847" s="190">
        <v>2998</v>
      </c>
      <c r="P847" s="190">
        <v>7</v>
      </c>
      <c r="Q847" s="190">
        <v>2024</v>
      </c>
      <c r="R847" s="190">
        <v>1</v>
      </c>
    </row>
    <row r="848" spans="1:18" x14ac:dyDescent="0.2">
      <c r="A848" s="190" t="s">
        <v>49</v>
      </c>
      <c r="B848" s="191" t="s">
        <v>211</v>
      </c>
      <c r="C848" s="191" t="s">
        <v>187</v>
      </c>
      <c r="D848" s="191" t="s">
        <v>4</v>
      </c>
      <c r="E848" s="191" t="s">
        <v>202</v>
      </c>
      <c r="F848" s="190" t="s">
        <v>216</v>
      </c>
      <c r="G848" s="190" t="s">
        <v>208</v>
      </c>
      <c r="H848" s="190" t="s">
        <v>22</v>
      </c>
      <c r="I848" s="191" t="s">
        <v>106</v>
      </c>
      <c r="J848" s="190" t="s">
        <v>224</v>
      </c>
      <c r="K848" s="191" t="s">
        <v>221</v>
      </c>
      <c r="L848" s="192" t="s">
        <v>205</v>
      </c>
      <c r="M848" s="190" t="s">
        <v>210</v>
      </c>
      <c r="N848" s="190">
        <v>7500</v>
      </c>
      <c r="O848" s="190">
        <v>4009</v>
      </c>
      <c r="P848" s="190">
        <v>7</v>
      </c>
      <c r="Q848" s="190">
        <v>2024</v>
      </c>
      <c r="R848" s="190">
        <v>1</v>
      </c>
    </row>
    <row r="849" spans="1:18" x14ac:dyDescent="0.2">
      <c r="A849" s="190" t="s">
        <v>49</v>
      </c>
      <c r="B849" s="191" t="s">
        <v>211</v>
      </c>
      <c r="C849" s="191" t="s">
        <v>187</v>
      </c>
      <c r="D849" s="191" t="s">
        <v>4</v>
      </c>
      <c r="E849" s="191" t="s">
        <v>202</v>
      </c>
      <c r="F849" s="190" t="s">
        <v>216</v>
      </c>
      <c r="G849" s="190" t="s">
        <v>208</v>
      </c>
      <c r="H849" s="190" t="s">
        <v>22</v>
      </c>
      <c r="I849" s="191" t="s">
        <v>109</v>
      </c>
      <c r="J849" s="190" t="s">
        <v>220</v>
      </c>
      <c r="K849" s="191" t="s">
        <v>221</v>
      </c>
      <c r="L849" s="192" t="s">
        <v>205</v>
      </c>
      <c r="M849" s="190" t="s">
        <v>210</v>
      </c>
      <c r="N849" s="190">
        <v>10500</v>
      </c>
      <c r="O849" s="190">
        <v>5123</v>
      </c>
      <c r="P849" s="190">
        <v>3</v>
      </c>
      <c r="Q849" s="190">
        <v>2025</v>
      </c>
      <c r="R849" s="190">
        <v>2</v>
      </c>
    </row>
    <row r="850" spans="1:18" x14ac:dyDescent="0.2">
      <c r="A850" s="190" t="s">
        <v>49</v>
      </c>
      <c r="B850" s="191" t="s">
        <v>211</v>
      </c>
      <c r="C850" s="191" t="s">
        <v>187</v>
      </c>
      <c r="D850" s="191" t="s">
        <v>4</v>
      </c>
      <c r="E850" s="191" t="s">
        <v>202</v>
      </c>
      <c r="F850" s="190" t="s">
        <v>216</v>
      </c>
      <c r="G850" s="190" t="s">
        <v>208</v>
      </c>
      <c r="H850" s="190" t="s">
        <v>24</v>
      </c>
      <c r="I850" s="191" t="s">
        <v>114</v>
      </c>
      <c r="J850" s="190" t="s">
        <v>230</v>
      </c>
      <c r="K850" s="191" t="s">
        <v>221</v>
      </c>
      <c r="L850" s="192" t="s">
        <v>205</v>
      </c>
      <c r="M850" s="190" t="s">
        <v>210</v>
      </c>
      <c r="N850" s="190">
        <v>10400</v>
      </c>
      <c r="O850" s="190">
        <v>5193</v>
      </c>
      <c r="P850" s="190">
        <v>3</v>
      </c>
      <c r="Q850" s="190">
        <v>2025</v>
      </c>
      <c r="R850" s="190">
        <v>1</v>
      </c>
    </row>
    <row r="851" spans="1:18" x14ac:dyDescent="0.2">
      <c r="A851" s="190" t="s">
        <v>49</v>
      </c>
      <c r="B851" s="191" t="s">
        <v>211</v>
      </c>
      <c r="C851" s="191" t="s">
        <v>187</v>
      </c>
      <c r="D851" s="191" t="s">
        <v>4</v>
      </c>
      <c r="E851" s="191" t="s">
        <v>202</v>
      </c>
      <c r="F851" s="190" t="s">
        <v>216</v>
      </c>
      <c r="G851" s="190" t="s">
        <v>208</v>
      </c>
      <c r="H851" s="190" t="s">
        <v>24</v>
      </c>
      <c r="I851" s="191" t="s">
        <v>119</v>
      </c>
      <c r="J851" s="190" t="s">
        <v>232</v>
      </c>
      <c r="K851" s="191" t="s">
        <v>221</v>
      </c>
      <c r="L851" s="192" t="s">
        <v>205</v>
      </c>
      <c r="M851" s="190" t="s">
        <v>210</v>
      </c>
      <c r="N851" s="190">
        <v>7000</v>
      </c>
      <c r="O851" s="190">
        <v>5193</v>
      </c>
      <c r="P851" s="190">
        <v>3</v>
      </c>
      <c r="Q851" s="190">
        <v>2025</v>
      </c>
      <c r="R851" s="190">
        <v>1</v>
      </c>
    </row>
    <row r="852" spans="1:18" x14ac:dyDescent="0.2">
      <c r="A852" s="190" t="s">
        <v>49</v>
      </c>
      <c r="B852" s="191" t="s">
        <v>211</v>
      </c>
      <c r="C852" s="191" t="s">
        <v>187</v>
      </c>
      <c r="D852" s="191" t="s">
        <v>4</v>
      </c>
      <c r="E852" s="191" t="s">
        <v>202</v>
      </c>
      <c r="F852" s="190" t="s">
        <v>216</v>
      </c>
      <c r="G852" s="190" t="s">
        <v>203</v>
      </c>
      <c r="H852" s="190" t="s">
        <v>19</v>
      </c>
      <c r="I852" s="191" t="s">
        <v>316</v>
      </c>
      <c r="J852" s="190" t="s">
        <v>334</v>
      </c>
      <c r="K852" s="191" t="s">
        <v>204</v>
      </c>
      <c r="L852" s="192" t="s">
        <v>205</v>
      </c>
      <c r="M852" s="190" t="s">
        <v>210</v>
      </c>
      <c r="N852" s="190">
        <v>16300</v>
      </c>
      <c r="O852" s="190">
        <v>4800</v>
      </c>
      <c r="P852" s="190">
        <v>2</v>
      </c>
      <c r="Q852" s="190">
        <v>2025</v>
      </c>
      <c r="R852" s="190">
        <v>1</v>
      </c>
    </row>
    <row r="853" spans="1:18" x14ac:dyDescent="0.2">
      <c r="A853" s="190" t="s">
        <v>49</v>
      </c>
      <c r="B853" s="191" t="s">
        <v>211</v>
      </c>
      <c r="C853" s="191" t="s">
        <v>187</v>
      </c>
      <c r="D853" s="191" t="s">
        <v>4</v>
      </c>
      <c r="E853" s="191" t="s">
        <v>202</v>
      </c>
      <c r="F853" s="190" t="s">
        <v>216</v>
      </c>
      <c r="G853" s="190" t="s">
        <v>203</v>
      </c>
      <c r="H853" s="190" t="s">
        <v>20</v>
      </c>
      <c r="I853" s="191" t="s">
        <v>144</v>
      </c>
      <c r="J853" s="190" t="s">
        <v>144</v>
      </c>
      <c r="K853" s="191" t="s">
        <v>204</v>
      </c>
      <c r="L853" s="192" t="s">
        <v>205</v>
      </c>
      <c r="M853" s="190" t="s">
        <v>242</v>
      </c>
      <c r="N853" s="190">
        <v>24700</v>
      </c>
      <c r="O853" s="190">
        <v>7700</v>
      </c>
      <c r="P853" s="190">
        <v>2</v>
      </c>
      <c r="Q853" s="190">
        <v>2025</v>
      </c>
      <c r="R853" s="190">
        <v>3</v>
      </c>
    </row>
    <row r="854" spans="1:18" x14ac:dyDescent="0.2">
      <c r="A854" s="190" t="s">
        <v>49</v>
      </c>
      <c r="B854" s="191" t="s">
        <v>211</v>
      </c>
      <c r="C854" s="191" t="s">
        <v>187</v>
      </c>
      <c r="D854" s="191" t="s">
        <v>4</v>
      </c>
      <c r="E854" s="191" t="s">
        <v>202</v>
      </c>
      <c r="F854" s="190" t="s">
        <v>646</v>
      </c>
      <c r="G854" s="190" t="s">
        <v>203</v>
      </c>
      <c r="H854" s="190" t="s">
        <v>40</v>
      </c>
      <c r="I854" s="191" t="s">
        <v>462</v>
      </c>
      <c r="J854" s="190" t="s">
        <v>745</v>
      </c>
      <c r="K854" s="191" t="s">
        <v>213</v>
      </c>
      <c r="L854" s="192" t="s">
        <v>205</v>
      </c>
      <c r="M854" s="190" t="s">
        <v>206</v>
      </c>
      <c r="N854" s="190">
        <v>41000</v>
      </c>
      <c r="O854" s="190">
        <v>11600</v>
      </c>
      <c r="P854" s="190">
        <v>2</v>
      </c>
      <c r="Q854" s="190">
        <v>2025</v>
      </c>
      <c r="R854" s="190">
        <v>1</v>
      </c>
    </row>
    <row r="855" spans="1:18" x14ac:dyDescent="0.2">
      <c r="A855" s="190" t="s">
        <v>49</v>
      </c>
      <c r="B855" s="191" t="s">
        <v>211</v>
      </c>
      <c r="C855" s="191" t="s">
        <v>187</v>
      </c>
      <c r="D855" s="191" t="s">
        <v>4</v>
      </c>
      <c r="E855" s="191" t="s">
        <v>202</v>
      </c>
      <c r="F855" s="190" t="s">
        <v>646</v>
      </c>
      <c r="G855" s="190" t="s">
        <v>203</v>
      </c>
      <c r="H855" s="190" t="s">
        <v>29</v>
      </c>
      <c r="I855" s="191" t="s">
        <v>496</v>
      </c>
      <c r="J855" s="190" t="s">
        <v>755</v>
      </c>
      <c r="K855" s="191" t="s">
        <v>213</v>
      </c>
      <c r="L855" s="192" t="s">
        <v>205</v>
      </c>
      <c r="M855" s="190" t="s">
        <v>206</v>
      </c>
      <c r="N855" s="190">
        <v>34850</v>
      </c>
      <c r="O855" s="190">
        <v>11800</v>
      </c>
      <c r="P855" s="190">
        <v>2</v>
      </c>
      <c r="Q855" s="190">
        <v>2025</v>
      </c>
      <c r="R855" s="190">
        <v>1</v>
      </c>
    </row>
    <row r="856" spans="1:18" x14ac:dyDescent="0.2">
      <c r="A856" s="190" t="s">
        <v>49</v>
      </c>
      <c r="B856" s="191" t="s">
        <v>211</v>
      </c>
      <c r="C856" s="191" t="s">
        <v>187</v>
      </c>
      <c r="D856" s="191" t="s">
        <v>4</v>
      </c>
      <c r="E856" s="191" t="s">
        <v>202</v>
      </c>
      <c r="F856" s="190" t="s">
        <v>646</v>
      </c>
      <c r="G856" s="190" t="s">
        <v>203</v>
      </c>
      <c r="H856" s="190" t="s">
        <v>19</v>
      </c>
      <c r="I856" s="191" t="s">
        <v>132</v>
      </c>
      <c r="J856" s="190" t="s">
        <v>276</v>
      </c>
      <c r="K856" s="191" t="s">
        <v>204</v>
      </c>
      <c r="L856" s="192" t="s">
        <v>205</v>
      </c>
      <c r="M856" s="190" t="s">
        <v>241</v>
      </c>
      <c r="N856" s="190">
        <v>31100</v>
      </c>
      <c r="O856" s="190">
        <v>7200</v>
      </c>
      <c r="P856" s="190">
        <v>2</v>
      </c>
      <c r="Q856" s="190">
        <v>2025</v>
      </c>
      <c r="R856" s="190">
        <v>1</v>
      </c>
    </row>
    <row r="857" spans="1:18" x14ac:dyDescent="0.2">
      <c r="A857" s="190" t="s">
        <v>49</v>
      </c>
      <c r="B857" s="191" t="s">
        <v>211</v>
      </c>
      <c r="C857" s="191" t="s">
        <v>187</v>
      </c>
      <c r="D857" s="191" t="s">
        <v>4</v>
      </c>
      <c r="E857" s="191" t="s">
        <v>202</v>
      </c>
      <c r="F857" s="190" t="s">
        <v>646</v>
      </c>
      <c r="G857" s="190" t="s">
        <v>203</v>
      </c>
      <c r="H857" s="190" t="s">
        <v>19</v>
      </c>
      <c r="I857" s="191" t="s">
        <v>360</v>
      </c>
      <c r="J857" s="190" t="s">
        <v>384</v>
      </c>
      <c r="K857" s="191" t="s">
        <v>204</v>
      </c>
      <c r="L857" s="192" t="s">
        <v>205</v>
      </c>
      <c r="M857" s="190" t="s">
        <v>206</v>
      </c>
      <c r="N857" s="190">
        <v>33500</v>
      </c>
      <c r="O857" s="190">
        <v>11900</v>
      </c>
      <c r="P857" s="190">
        <v>2</v>
      </c>
      <c r="Q857" s="190">
        <v>2025</v>
      </c>
      <c r="R857" s="190">
        <v>1</v>
      </c>
    </row>
    <row r="858" spans="1:18" x14ac:dyDescent="0.2">
      <c r="A858" s="190" t="s">
        <v>49</v>
      </c>
      <c r="B858" s="191" t="s">
        <v>211</v>
      </c>
      <c r="C858" s="191" t="s">
        <v>187</v>
      </c>
      <c r="D858" s="191" t="s">
        <v>4</v>
      </c>
      <c r="E858" s="191" t="s">
        <v>202</v>
      </c>
      <c r="F858" s="190" t="s">
        <v>646</v>
      </c>
      <c r="G858" s="190" t="s">
        <v>203</v>
      </c>
      <c r="H858" s="190" t="s">
        <v>20</v>
      </c>
      <c r="I858" s="191" t="s">
        <v>141</v>
      </c>
      <c r="J858" s="190" t="s">
        <v>141</v>
      </c>
      <c r="K858" s="191" t="s">
        <v>204</v>
      </c>
      <c r="L858" s="192" t="s">
        <v>205</v>
      </c>
      <c r="M858" s="190" t="s">
        <v>206</v>
      </c>
      <c r="N858" s="190">
        <v>36000</v>
      </c>
      <c r="O858" s="190">
        <v>12800</v>
      </c>
      <c r="P858" s="190">
        <v>2</v>
      </c>
      <c r="Q858" s="190">
        <v>2025</v>
      </c>
      <c r="R858" s="190">
        <v>3</v>
      </c>
    </row>
    <row r="859" spans="1:18" x14ac:dyDescent="0.2">
      <c r="A859" s="190" t="s">
        <v>49</v>
      </c>
      <c r="B859" s="191" t="s">
        <v>211</v>
      </c>
      <c r="C859" s="191" t="s">
        <v>187</v>
      </c>
      <c r="D859" s="191" t="s">
        <v>4</v>
      </c>
      <c r="E859" s="191" t="s">
        <v>202</v>
      </c>
      <c r="F859" s="190" t="s">
        <v>646</v>
      </c>
      <c r="G859" s="190" t="s">
        <v>203</v>
      </c>
      <c r="H859" s="190" t="s">
        <v>20</v>
      </c>
      <c r="I859" s="191" t="s">
        <v>541</v>
      </c>
      <c r="J859" s="190" t="s">
        <v>541</v>
      </c>
      <c r="K859" s="191" t="s">
        <v>204</v>
      </c>
      <c r="L859" s="192" t="s">
        <v>205</v>
      </c>
      <c r="M859" s="190" t="s">
        <v>206</v>
      </c>
      <c r="N859" s="190">
        <v>35000</v>
      </c>
      <c r="O859" s="190">
        <v>12800</v>
      </c>
      <c r="P859" s="190">
        <v>2</v>
      </c>
      <c r="Q859" s="190">
        <v>2025</v>
      </c>
      <c r="R859" s="190">
        <v>3</v>
      </c>
    </row>
    <row r="860" spans="1:18" x14ac:dyDescent="0.2">
      <c r="A860" s="190" t="s">
        <v>49</v>
      </c>
      <c r="B860" s="191" t="s">
        <v>211</v>
      </c>
      <c r="C860" s="191" t="s">
        <v>187</v>
      </c>
      <c r="D860" s="191" t="s">
        <v>4</v>
      </c>
      <c r="E860" s="191" t="s">
        <v>202</v>
      </c>
      <c r="F860" s="190" t="s">
        <v>646</v>
      </c>
      <c r="G860" s="190" t="s">
        <v>203</v>
      </c>
      <c r="H860" s="190" t="s">
        <v>20</v>
      </c>
      <c r="I860" s="191" t="s">
        <v>541</v>
      </c>
      <c r="J860" s="190" t="s">
        <v>541</v>
      </c>
      <c r="K860" s="191" t="s">
        <v>368</v>
      </c>
      <c r="L860" s="192" t="s">
        <v>205</v>
      </c>
      <c r="M860" s="190" t="s">
        <v>206</v>
      </c>
      <c r="N860" s="190">
        <v>35000</v>
      </c>
      <c r="O860" s="190">
        <v>12800</v>
      </c>
      <c r="P860" s="190">
        <v>2</v>
      </c>
      <c r="Q860" s="190">
        <v>2025</v>
      </c>
      <c r="R860" s="190">
        <v>1</v>
      </c>
    </row>
    <row r="861" spans="1:18" x14ac:dyDescent="0.2">
      <c r="A861" s="190" t="s">
        <v>49</v>
      </c>
      <c r="B861" s="191" t="s">
        <v>211</v>
      </c>
      <c r="C861" s="191" t="s">
        <v>187</v>
      </c>
      <c r="D861" s="191" t="s">
        <v>4</v>
      </c>
      <c r="E861" s="191" t="s">
        <v>202</v>
      </c>
      <c r="F861" s="190" t="s">
        <v>243</v>
      </c>
      <c r="G861" s="190" t="s">
        <v>203</v>
      </c>
      <c r="H861" s="190" t="s">
        <v>19</v>
      </c>
      <c r="I861" s="191" t="s">
        <v>399</v>
      </c>
      <c r="J861" s="190" t="s">
        <v>647</v>
      </c>
      <c r="K861" s="191" t="s">
        <v>204</v>
      </c>
      <c r="L861" s="192" t="s">
        <v>205</v>
      </c>
      <c r="M861" s="190" t="s">
        <v>206</v>
      </c>
      <c r="N861" s="190">
        <v>25000</v>
      </c>
      <c r="O861" s="190">
        <v>11900</v>
      </c>
      <c r="P861" s="190">
        <v>2</v>
      </c>
      <c r="Q861" s="190">
        <v>2023</v>
      </c>
      <c r="R861" s="190">
        <v>2</v>
      </c>
    </row>
    <row r="862" spans="1:18" x14ac:dyDescent="0.2">
      <c r="A862" s="190" t="s">
        <v>49</v>
      </c>
      <c r="B862" s="191" t="s">
        <v>211</v>
      </c>
      <c r="C862" s="191" t="s">
        <v>187</v>
      </c>
      <c r="D862" s="191" t="s">
        <v>4</v>
      </c>
      <c r="E862" s="191" t="s">
        <v>202</v>
      </c>
      <c r="F862" s="190" t="s">
        <v>219</v>
      </c>
      <c r="G862" s="190" t="s">
        <v>208</v>
      </c>
      <c r="H862" s="190" t="s">
        <v>65</v>
      </c>
      <c r="I862" s="191" t="s">
        <v>102</v>
      </c>
      <c r="J862" s="190" t="s">
        <v>421</v>
      </c>
      <c r="K862" s="191" t="s">
        <v>245</v>
      </c>
      <c r="L862" s="192" t="s">
        <v>205</v>
      </c>
      <c r="M862" s="190" t="s">
        <v>210</v>
      </c>
      <c r="N862" s="190">
        <v>11990</v>
      </c>
      <c r="O862" s="190">
        <v>3907</v>
      </c>
      <c r="P862" s="190">
        <v>3</v>
      </c>
      <c r="Q862" s="190">
        <v>2025</v>
      </c>
      <c r="R862" s="190">
        <v>1</v>
      </c>
    </row>
    <row r="863" spans="1:18" x14ac:dyDescent="0.2">
      <c r="A863" s="190" t="s">
        <v>49</v>
      </c>
      <c r="B863" s="191" t="s">
        <v>211</v>
      </c>
      <c r="C863" s="191" t="s">
        <v>187</v>
      </c>
      <c r="D863" s="191" t="s">
        <v>4</v>
      </c>
      <c r="E863" s="191" t="s">
        <v>202</v>
      </c>
      <c r="F863" s="190" t="s">
        <v>219</v>
      </c>
      <c r="G863" s="190" t="s">
        <v>203</v>
      </c>
      <c r="H863" s="190" t="s">
        <v>71</v>
      </c>
      <c r="I863" s="191" t="s">
        <v>429</v>
      </c>
      <c r="J863" s="190" t="s">
        <v>202</v>
      </c>
      <c r="K863" s="191" t="s">
        <v>433</v>
      </c>
      <c r="L863" s="192" t="s">
        <v>205</v>
      </c>
      <c r="M863" s="190" t="s">
        <v>206</v>
      </c>
      <c r="N863" s="190">
        <v>41000</v>
      </c>
      <c r="O863" s="190">
        <v>12419</v>
      </c>
      <c r="P863" s="190">
        <v>3</v>
      </c>
      <c r="Q863" s="190">
        <v>2024</v>
      </c>
      <c r="R863" s="190">
        <v>1</v>
      </c>
    </row>
    <row r="864" spans="1:18" x14ac:dyDescent="0.2">
      <c r="A864" s="190" t="s">
        <v>49</v>
      </c>
      <c r="B864" s="191" t="s">
        <v>211</v>
      </c>
      <c r="C864" s="191" t="s">
        <v>187</v>
      </c>
      <c r="D864" s="191" t="s">
        <v>4</v>
      </c>
      <c r="E864" s="191" t="s">
        <v>202</v>
      </c>
      <c r="F864" s="190" t="s">
        <v>219</v>
      </c>
      <c r="G864" s="190" t="s">
        <v>203</v>
      </c>
      <c r="H864" s="190" t="s">
        <v>19</v>
      </c>
      <c r="I864" s="191" t="s">
        <v>359</v>
      </c>
      <c r="J864" s="190" t="s">
        <v>359</v>
      </c>
      <c r="K864" s="191" t="s">
        <v>240</v>
      </c>
      <c r="L864" s="192" t="s">
        <v>205</v>
      </c>
      <c r="M864" s="190" t="s">
        <v>218</v>
      </c>
      <c r="N864" s="190">
        <v>48000</v>
      </c>
      <c r="O864" s="190">
        <v>12800</v>
      </c>
      <c r="P864" s="190">
        <v>2</v>
      </c>
      <c r="Q864" s="190">
        <v>2024</v>
      </c>
      <c r="R864" s="190">
        <v>1</v>
      </c>
    </row>
    <row r="865" spans="1:18" x14ac:dyDescent="0.2">
      <c r="A865" s="190" t="s">
        <v>49</v>
      </c>
      <c r="B865" s="191" t="s">
        <v>211</v>
      </c>
      <c r="C865" s="191" t="s">
        <v>187</v>
      </c>
      <c r="D865" s="191" t="s">
        <v>4</v>
      </c>
      <c r="E865" s="191" t="s">
        <v>202</v>
      </c>
      <c r="F865" s="190" t="s">
        <v>219</v>
      </c>
      <c r="G865" s="190" t="s">
        <v>203</v>
      </c>
      <c r="H865" s="190" t="s">
        <v>19</v>
      </c>
      <c r="I865" s="191" t="s">
        <v>283</v>
      </c>
      <c r="J865" s="190" t="s">
        <v>283</v>
      </c>
      <c r="K865" s="191" t="s">
        <v>240</v>
      </c>
      <c r="L865" s="192" t="s">
        <v>205</v>
      </c>
      <c r="M865" s="190" t="s">
        <v>206</v>
      </c>
      <c r="N865" s="190">
        <v>41000</v>
      </c>
      <c r="O865" s="190">
        <v>12809</v>
      </c>
      <c r="P865" s="190">
        <v>2</v>
      </c>
      <c r="Q865" s="190">
        <v>2024</v>
      </c>
      <c r="R865" s="190">
        <v>1</v>
      </c>
    </row>
    <row r="866" spans="1:18" x14ac:dyDescent="0.2">
      <c r="A866" s="190" t="s">
        <v>49</v>
      </c>
      <c r="B866" s="191" t="s">
        <v>211</v>
      </c>
      <c r="C866" s="191" t="s">
        <v>187</v>
      </c>
      <c r="D866" s="191" t="s">
        <v>4</v>
      </c>
      <c r="E866" s="191" t="s">
        <v>202</v>
      </c>
      <c r="F866" s="190" t="s">
        <v>219</v>
      </c>
      <c r="G866" s="190" t="s">
        <v>203</v>
      </c>
      <c r="H866" s="190" t="s">
        <v>19</v>
      </c>
      <c r="I866" s="191" t="s">
        <v>505</v>
      </c>
      <c r="J866" s="190" t="s">
        <v>505</v>
      </c>
      <c r="K866" s="191" t="s">
        <v>240</v>
      </c>
      <c r="L866" s="192" t="s">
        <v>205</v>
      </c>
      <c r="M866" s="190" t="s">
        <v>218</v>
      </c>
      <c r="N866" s="190">
        <v>48000</v>
      </c>
      <c r="O866" s="190">
        <v>12800</v>
      </c>
      <c r="P866" s="190">
        <v>2</v>
      </c>
      <c r="Q866" s="190">
        <v>2024</v>
      </c>
      <c r="R866" s="190">
        <v>9</v>
      </c>
    </row>
    <row r="867" spans="1:18" x14ac:dyDescent="0.2">
      <c r="A867" s="190" t="s">
        <v>49</v>
      </c>
      <c r="B867" s="191" t="s">
        <v>211</v>
      </c>
      <c r="C867" s="191" t="s">
        <v>187</v>
      </c>
      <c r="D867" s="191" t="s">
        <v>4</v>
      </c>
      <c r="E867" s="191" t="s">
        <v>202</v>
      </c>
      <c r="F867" s="190" t="s">
        <v>219</v>
      </c>
      <c r="G867" s="190" t="s">
        <v>203</v>
      </c>
      <c r="H867" s="190" t="s">
        <v>19</v>
      </c>
      <c r="I867" s="191" t="s">
        <v>505</v>
      </c>
      <c r="J867" s="190" t="s">
        <v>505</v>
      </c>
      <c r="K867" s="191" t="s">
        <v>240</v>
      </c>
      <c r="L867" s="192" t="s">
        <v>205</v>
      </c>
      <c r="M867" s="190" t="s">
        <v>218</v>
      </c>
      <c r="N867" s="190">
        <v>48000</v>
      </c>
      <c r="O867" s="190">
        <v>12800</v>
      </c>
      <c r="P867" s="190">
        <v>2</v>
      </c>
      <c r="Q867" s="190">
        <v>2025</v>
      </c>
      <c r="R867" s="190">
        <v>1</v>
      </c>
    </row>
    <row r="868" spans="1:18" x14ac:dyDescent="0.2">
      <c r="A868" s="190" t="s">
        <v>49</v>
      </c>
      <c r="B868" s="191" t="s">
        <v>211</v>
      </c>
      <c r="C868" s="191" t="s">
        <v>187</v>
      </c>
      <c r="D868" s="191" t="s">
        <v>4</v>
      </c>
      <c r="E868" s="191" t="s">
        <v>202</v>
      </c>
      <c r="F868" s="190" t="s">
        <v>219</v>
      </c>
      <c r="G868" s="190" t="s">
        <v>203</v>
      </c>
      <c r="H868" s="190" t="s">
        <v>19</v>
      </c>
      <c r="I868" s="191" t="s">
        <v>505</v>
      </c>
      <c r="J868" s="190" t="s">
        <v>648</v>
      </c>
      <c r="K868" s="191" t="s">
        <v>240</v>
      </c>
      <c r="L868" s="192" t="s">
        <v>205</v>
      </c>
      <c r="M868" s="190" t="s">
        <v>218</v>
      </c>
      <c r="N868" s="190">
        <v>48000</v>
      </c>
      <c r="O868" s="190">
        <v>12800</v>
      </c>
      <c r="P868" s="190">
        <v>2</v>
      </c>
      <c r="Q868" s="190">
        <v>2025</v>
      </c>
      <c r="R868" s="190">
        <v>4</v>
      </c>
    </row>
    <row r="869" spans="1:18" x14ac:dyDescent="0.2">
      <c r="A869" s="190" t="s">
        <v>49</v>
      </c>
      <c r="B869" s="191" t="s">
        <v>211</v>
      </c>
      <c r="C869" s="191" t="s">
        <v>187</v>
      </c>
      <c r="D869" s="191" t="s">
        <v>4</v>
      </c>
      <c r="E869" s="191" t="s">
        <v>202</v>
      </c>
      <c r="F869" s="190" t="s">
        <v>219</v>
      </c>
      <c r="G869" s="190" t="s">
        <v>203</v>
      </c>
      <c r="H869" s="190" t="s">
        <v>20</v>
      </c>
      <c r="I869" s="191" t="s">
        <v>141</v>
      </c>
      <c r="J869" s="190" t="s">
        <v>141</v>
      </c>
      <c r="K869" s="191" t="s">
        <v>204</v>
      </c>
      <c r="L869" s="192" t="s">
        <v>205</v>
      </c>
      <c r="M869" s="190" t="s">
        <v>206</v>
      </c>
      <c r="N869" s="190">
        <v>44000</v>
      </c>
      <c r="O869" s="190">
        <v>12800</v>
      </c>
      <c r="P869" s="190">
        <v>2</v>
      </c>
      <c r="Q869" s="190">
        <v>2025</v>
      </c>
      <c r="R869" s="190">
        <v>10</v>
      </c>
    </row>
    <row r="870" spans="1:18" x14ac:dyDescent="0.2">
      <c r="A870" s="190" t="s">
        <v>49</v>
      </c>
      <c r="B870" s="191" t="s">
        <v>211</v>
      </c>
      <c r="C870" s="191" t="s">
        <v>187</v>
      </c>
      <c r="D870" s="191" t="s">
        <v>4</v>
      </c>
      <c r="E870" s="191" t="s">
        <v>202</v>
      </c>
      <c r="F870" s="190" t="s">
        <v>219</v>
      </c>
      <c r="G870" s="190" t="s">
        <v>203</v>
      </c>
      <c r="H870" s="190" t="s">
        <v>20</v>
      </c>
      <c r="I870" s="191" t="s">
        <v>142</v>
      </c>
      <c r="J870" s="190" t="s">
        <v>142</v>
      </c>
      <c r="K870" s="191" t="s">
        <v>368</v>
      </c>
      <c r="L870" s="192" t="s">
        <v>205</v>
      </c>
      <c r="M870" s="190" t="s">
        <v>218</v>
      </c>
      <c r="N870" s="190">
        <v>52000</v>
      </c>
      <c r="O870" s="190">
        <v>12800</v>
      </c>
      <c r="P870" s="190">
        <v>2</v>
      </c>
      <c r="Q870" s="190">
        <v>2025</v>
      </c>
      <c r="R870" s="190">
        <v>4</v>
      </c>
    </row>
    <row r="871" spans="1:18" x14ac:dyDescent="0.2">
      <c r="A871" s="190" t="s">
        <v>49</v>
      </c>
      <c r="B871" s="191" t="s">
        <v>211</v>
      </c>
      <c r="C871" s="191" t="s">
        <v>187</v>
      </c>
      <c r="D871" s="191" t="s">
        <v>6</v>
      </c>
      <c r="E871" s="191" t="s">
        <v>243</v>
      </c>
      <c r="F871" s="190" t="s">
        <v>243</v>
      </c>
      <c r="G871" s="190" t="s">
        <v>203</v>
      </c>
      <c r="H871" s="190" t="s">
        <v>28</v>
      </c>
      <c r="I871" s="191" t="s">
        <v>151</v>
      </c>
      <c r="J871" s="190" t="s">
        <v>244</v>
      </c>
      <c r="K871" s="191" t="s">
        <v>237</v>
      </c>
      <c r="L871" s="192" t="s">
        <v>205</v>
      </c>
      <c r="M871" s="190" t="s">
        <v>206</v>
      </c>
      <c r="N871" s="190">
        <v>25000</v>
      </c>
      <c r="O871" s="190">
        <v>12800</v>
      </c>
      <c r="P871" s="190">
        <v>2</v>
      </c>
      <c r="Q871" s="190">
        <v>2025</v>
      </c>
      <c r="R871" s="190">
        <v>1</v>
      </c>
    </row>
    <row r="872" spans="1:18" x14ac:dyDescent="0.2">
      <c r="A872" s="190" t="s">
        <v>49</v>
      </c>
      <c r="B872" s="191" t="s">
        <v>211</v>
      </c>
      <c r="C872" s="191" t="s">
        <v>187</v>
      </c>
      <c r="D872" s="191" t="s">
        <v>6</v>
      </c>
      <c r="E872" s="191" t="s">
        <v>243</v>
      </c>
      <c r="F872" s="190" t="s">
        <v>243</v>
      </c>
      <c r="G872" s="190" t="s">
        <v>203</v>
      </c>
      <c r="H872" s="190" t="s">
        <v>26</v>
      </c>
      <c r="I872" s="191" t="s">
        <v>288</v>
      </c>
      <c r="J872" s="190" t="s">
        <v>243</v>
      </c>
      <c r="K872" s="191" t="s">
        <v>237</v>
      </c>
      <c r="L872" s="192" t="s">
        <v>205</v>
      </c>
      <c r="M872" s="190" t="s">
        <v>206</v>
      </c>
      <c r="N872" s="190">
        <v>27488</v>
      </c>
      <c r="O872" s="190">
        <v>14945</v>
      </c>
      <c r="P872" s="190">
        <v>2</v>
      </c>
      <c r="Q872" s="190">
        <v>2025</v>
      </c>
      <c r="R872" s="190">
        <v>7</v>
      </c>
    </row>
    <row r="873" spans="1:18" x14ac:dyDescent="0.2">
      <c r="A873" s="190" t="s">
        <v>49</v>
      </c>
      <c r="B873" s="191" t="s">
        <v>211</v>
      </c>
      <c r="C873" s="191" t="s">
        <v>187</v>
      </c>
      <c r="D873" s="191" t="s">
        <v>6</v>
      </c>
      <c r="E873" s="191" t="s">
        <v>243</v>
      </c>
      <c r="F873" s="190" t="s">
        <v>243</v>
      </c>
      <c r="G873" s="190" t="s">
        <v>203</v>
      </c>
      <c r="H873" s="190" t="s">
        <v>20</v>
      </c>
      <c r="I873" s="191" t="s">
        <v>156</v>
      </c>
      <c r="J873" s="190" t="s">
        <v>156</v>
      </c>
      <c r="K873" s="191" t="s">
        <v>204</v>
      </c>
      <c r="L873" s="192" t="s">
        <v>205</v>
      </c>
      <c r="M873" s="190" t="s">
        <v>206</v>
      </c>
      <c r="N873" s="190">
        <v>28500</v>
      </c>
      <c r="O873" s="190">
        <v>12800</v>
      </c>
      <c r="P873" s="190">
        <v>2</v>
      </c>
      <c r="Q873" s="190">
        <v>2025</v>
      </c>
      <c r="R873" s="190">
        <v>1</v>
      </c>
    </row>
    <row r="874" spans="1:18" x14ac:dyDescent="0.2">
      <c r="A874" s="190" t="s">
        <v>49</v>
      </c>
      <c r="B874" s="191" t="s">
        <v>211</v>
      </c>
      <c r="C874" s="191" t="s">
        <v>187</v>
      </c>
      <c r="D874" s="191" t="s">
        <v>6</v>
      </c>
      <c r="E874" s="191" t="s">
        <v>243</v>
      </c>
      <c r="F874" s="190" t="s">
        <v>243</v>
      </c>
      <c r="G874" s="190" t="s">
        <v>203</v>
      </c>
      <c r="H874" s="190" t="s">
        <v>20</v>
      </c>
      <c r="I874" s="191" t="s">
        <v>566</v>
      </c>
      <c r="J874" s="190" t="s">
        <v>566</v>
      </c>
      <c r="K874" s="191" t="s">
        <v>204</v>
      </c>
      <c r="L874" s="192" t="s">
        <v>205</v>
      </c>
      <c r="M874" s="190" t="s">
        <v>206</v>
      </c>
      <c r="N874" s="190">
        <v>36000</v>
      </c>
      <c r="O874" s="190">
        <v>12800</v>
      </c>
      <c r="P874" s="190">
        <v>2</v>
      </c>
      <c r="Q874" s="190">
        <v>2025</v>
      </c>
      <c r="R874" s="190">
        <v>1</v>
      </c>
    </row>
    <row r="875" spans="1:18" x14ac:dyDescent="0.2">
      <c r="A875" s="190" t="s">
        <v>49</v>
      </c>
      <c r="B875" s="191" t="s">
        <v>248</v>
      </c>
      <c r="C875" s="191" t="s">
        <v>5</v>
      </c>
      <c r="D875" s="191" t="s">
        <v>249</v>
      </c>
      <c r="E875" s="191" t="s">
        <v>250</v>
      </c>
      <c r="F875" s="190" t="s">
        <v>250</v>
      </c>
      <c r="G875" s="190" t="s">
        <v>251</v>
      </c>
      <c r="H875" s="190" t="s">
        <v>23</v>
      </c>
      <c r="I875" s="191" t="s">
        <v>389</v>
      </c>
      <c r="J875" s="190" t="s">
        <v>391</v>
      </c>
      <c r="K875" s="191" t="s">
        <v>213</v>
      </c>
      <c r="L875" s="192" t="s">
        <v>205</v>
      </c>
      <c r="M875" s="190" t="s">
        <v>210</v>
      </c>
      <c r="N875" s="190">
        <v>4035</v>
      </c>
      <c r="O875" s="190">
        <v>2780</v>
      </c>
      <c r="P875" s="190">
        <v>19</v>
      </c>
      <c r="Q875" s="190">
        <v>2024</v>
      </c>
      <c r="R875" s="190">
        <v>2</v>
      </c>
    </row>
    <row r="876" spans="1:18" x14ac:dyDescent="0.2">
      <c r="A876" s="190" t="s">
        <v>49</v>
      </c>
      <c r="B876" s="191" t="s">
        <v>248</v>
      </c>
      <c r="C876" s="191" t="s">
        <v>5</v>
      </c>
      <c r="D876" s="191" t="s">
        <v>249</v>
      </c>
      <c r="E876" s="191" t="s">
        <v>250</v>
      </c>
      <c r="F876" s="190" t="s">
        <v>250</v>
      </c>
      <c r="G876" s="190" t="s">
        <v>251</v>
      </c>
      <c r="H876" s="190" t="s">
        <v>23</v>
      </c>
      <c r="I876" s="191" t="s">
        <v>389</v>
      </c>
      <c r="J876" s="190" t="s">
        <v>391</v>
      </c>
      <c r="K876" s="191" t="s">
        <v>213</v>
      </c>
      <c r="L876" s="192" t="s">
        <v>205</v>
      </c>
      <c r="M876" s="190" t="s">
        <v>210</v>
      </c>
      <c r="N876" s="190">
        <v>4035</v>
      </c>
      <c r="O876" s="190">
        <v>2780</v>
      </c>
      <c r="P876" s="190">
        <v>19</v>
      </c>
      <c r="Q876" s="190">
        <v>2025</v>
      </c>
      <c r="R876" s="190">
        <v>3</v>
      </c>
    </row>
    <row r="877" spans="1:18" x14ac:dyDescent="0.2">
      <c r="A877" s="190" t="s">
        <v>49</v>
      </c>
      <c r="B877" s="191" t="s">
        <v>248</v>
      </c>
      <c r="C877" s="191" t="s">
        <v>5</v>
      </c>
      <c r="D877" s="191" t="s">
        <v>249</v>
      </c>
      <c r="E877" s="191" t="s">
        <v>250</v>
      </c>
      <c r="F877" s="190" t="s">
        <v>250</v>
      </c>
      <c r="G877" s="190" t="s">
        <v>251</v>
      </c>
      <c r="H877" s="190" t="s">
        <v>23</v>
      </c>
      <c r="I877" s="191" t="s">
        <v>326</v>
      </c>
      <c r="J877" s="190" t="s">
        <v>280</v>
      </c>
      <c r="K877" s="191" t="s">
        <v>213</v>
      </c>
      <c r="L877" s="192" t="s">
        <v>205</v>
      </c>
      <c r="M877" s="190" t="s">
        <v>210</v>
      </c>
      <c r="N877" s="190">
        <v>4200</v>
      </c>
      <c r="O877" s="190">
        <v>2780</v>
      </c>
      <c r="P877" s="190">
        <v>18</v>
      </c>
      <c r="Q877" s="190">
        <v>2025</v>
      </c>
      <c r="R877" s="190">
        <v>1</v>
      </c>
    </row>
    <row r="878" spans="1:18" x14ac:dyDescent="0.2">
      <c r="A878" s="190" t="s">
        <v>49</v>
      </c>
      <c r="B878" s="191" t="s">
        <v>248</v>
      </c>
      <c r="C878" s="191" t="s">
        <v>5</v>
      </c>
      <c r="D878" s="191" t="s">
        <v>249</v>
      </c>
      <c r="E878" s="191" t="s">
        <v>250</v>
      </c>
      <c r="F878" s="190" t="s">
        <v>250</v>
      </c>
      <c r="G878" s="190" t="s">
        <v>251</v>
      </c>
      <c r="H878" s="190" t="s">
        <v>33</v>
      </c>
      <c r="I878" s="191" t="s">
        <v>575</v>
      </c>
      <c r="J878" s="190" t="s">
        <v>168</v>
      </c>
      <c r="K878" s="191" t="s">
        <v>213</v>
      </c>
      <c r="L878" s="192" t="s">
        <v>205</v>
      </c>
      <c r="M878" s="190" t="s">
        <v>210</v>
      </c>
      <c r="N878" s="190">
        <v>3900</v>
      </c>
      <c r="O878" s="190">
        <v>3000</v>
      </c>
      <c r="P878" s="190">
        <v>20</v>
      </c>
      <c r="Q878" s="190">
        <v>2025</v>
      </c>
      <c r="R878" s="190">
        <v>4</v>
      </c>
    </row>
    <row r="879" spans="1:18" x14ac:dyDescent="0.2">
      <c r="A879" s="190" t="s">
        <v>49</v>
      </c>
      <c r="B879" s="191" t="s">
        <v>248</v>
      </c>
      <c r="C879" s="191" t="s">
        <v>5</v>
      </c>
      <c r="D879" s="191" t="s">
        <v>249</v>
      </c>
      <c r="E879" s="191" t="s">
        <v>250</v>
      </c>
      <c r="F879" s="190" t="s">
        <v>250</v>
      </c>
      <c r="G879" s="190" t="s">
        <v>251</v>
      </c>
      <c r="H879" s="190" t="s">
        <v>19</v>
      </c>
      <c r="I879" s="191" t="s">
        <v>586</v>
      </c>
      <c r="J879" s="190" t="s">
        <v>651</v>
      </c>
      <c r="K879" s="191" t="s">
        <v>252</v>
      </c>
      <c r="L879" s="192" t="s">
        <v>205</v>
      </c>
      <c r="M879" s="190" t="s">
        <v>210</v>
      </c>
      <c r="N879" s="190">
        <v>3880</v>
      </c>
      <c r="O879" s="190">
        <v>1950</v>
      </c>
      <c r="P879" s="190">
        <v>19</v>
      </c>
      <c r="Q879" s="190">
        <v>2025</v>
      </c>
      <c r="R879" s="190">
        <v>1</v>
      </c>
    </row>
    <row r="880" spans="1:18" x14ac:dyDescent="0.2">
      <c r="A880" s="190" t="s">
        <v>49</v>
      </c>
      <c r="B880" s="191" t="s">
        <v>248</v>
      </c>
      <c r="C880" s="191" t="s">
        <v>5</v>
      </c>
      <c r="D880" s="191" t="s">
        <v>249</v>
      </c>
      <c r="E880" s="191" t="s">
        <v>250</v>
      </c>
      <c r="F880" s="190" t="s">
        <v>250</v>
      </c>
      <c r="G880" s="190" t="s">
        <v>253</v>
      </c>
      <c r="H880" s="190" t="s">
        <v>45</v>
      </c>
      <c r="I880" s="191" t="s">
        <v>327</v>
      </c>
      <c r="J880" s="190" t="s">
        <v>348</v>
      </c>
      <c r="K880" s="191" t="s">
        <v>204</v>
      </c>
      <c r="L880" s="192" t="s">
        <v>205</v>
      </c>
      <c r="M880" s="190" t="s">
        <v>210</v>
      </c>
      <c r="N880" s="190">
        <v>5050</v>
      </c>
      <c r="O880" s="190">
        <v>2998</v>
      </c>
      <c r="P880" s="190">
        <v>19</v>
      </c>
      <c r="Q880" s="190">
        <v>2023</v>
      </c>
      <c r="R880" s="190">
        <v>1</v>
      </c>
    </row>
    <row r="881" spans="1:18" x14ac:dyDescent="0.2">
      <c r="A881" s="190" t="s">
        <v>49</v>
      </c>
      <c r="B881" s="191" t="s">
        <v>248</v>
      </c>
      <c r="C881" s="191" t="s">
        <v>5</v>
      </c>
      <c r="D881" s="191" t="s">
        <v>249</v>
      </c>
      <c r="E881" s="191" t="s">
        <v>250</v>
      </c>
      <c r="F881" s="190" t="s">
        <v>250</v>
      </c>
      <c r="G881" s="190" t="s">
        <v>253</v>
      </c>
      <c r="H881" s="190" t="s">
        <v>19</v>
      </c>
      <c r="I881" s="191" t="s">
        <v>585</v>
      </c>
      <c r="J881" s="190" t="s">
        <v>652</v>
      </c>
      <c r="K881" s="191" t="s">
        <v>252</v>
      </c>
      <c r="L881" s="192" t="s">
        <v>205</v>
      </c>
      <c r="M881" s="190" t="s">
        <v>210</v>
      </c>
      <c r="N881" s="190">
        <v>5050</v>
      </c>
      <c r="O881" s="190">
        <v>1950</v>
      </c>
      <c r="P881" s="190">
        <v>21</v>
      </c>
      <c r="Q881" s="190">
        <v>2025</v>
      </c>
      <c r="R881" s="190">
        <v>2</v>
      </c>
    </row>
    <row r="882" spans="1:18" x14ac:dyDescent="0.2">
      <c r="A882" s="190" t="s">
        <v>49</v>
      </c>
      <c r="B882" s="191" t="s">
        <v>248</v>
      </c>
      <c r="C882" s="191" t="s">
        <v>5</v>
      </c>
      <c r="D882" s="191" t="s">
        <v>249</v>
      </c>
      <c r="E882" s="191" t="s">
        <v>257</v>
      </c>
      <c r="F882" s="190" t="s">
        <v>256</v>
      </c>
      <c r="G882" s="190" t="s">
        <v>258</v>
      </c>
      <c r="H882" s="190" t="s">
        <v>19</v>
      </c>
      <c r="I882" s="191" t="s">
        <v>169</v>
      </c>
      <c r="J882" s="190" t="s">
        <v>259</v>
      </c>
      <c r="K882" s="191" t="s">
        <v>204</v>
      </c>
      <c r="L882" s="192" t="s">
        <v>205</v>
      </c>
      <c r="M882" s="190" t="s">
        <v>210</v>
      </c>
      <c r="N882" s="190">
        <v>9400</v>
      </c>
      <c r="O882" s="190">
        <v>4800</v>
      </c>
      <c r="P882" s="190">
        <v>1</v>
      </c>
      <c r="Q882" s="190">
        <v>2025</v>
      </c>
      <c r="R882" s="190">
        <v>6</v>
      </c>
    </row>
    <row r="883" spans="1:18" x14ac:dyDescent="0.2">
      <c r="A883" s="190" t="s">
        <v>49</v>
      </c>
      <c r="B883" s="191" t="s">
        <v>248</v>
      </c>
      <c r="C883" s="191" t="s">
        <v>5</v>
      </c>
      <c r="D883" s="191" t="s">
        <v>249</v>
      </c>
      <c r="E883" s="191" t="s">
        <v>257</v>
      </c>
      <c r="F883" s="190" t="s">
        <v>256</v>
      </c>
      <c r="G883" s="190" t="s">
        <v>253</v>
      </c>
      <c r="H883" s="190" t="s">
        <v>19</v>
      </c>
      <c r="I883" s="191" t="s">
        <v>584</v>
      </c>
      <c r="J883" s="190" t="s">
        <v>725</v>
      </c>
      <c r="K883" s="191" t="s">
        <v>204</v>
      </c>
      <c r="L883" s="192" t="s">
        <v>205</v>
      </c>
      <c r="M883" s="190" t="s">
        <v>210</v>
      </c>
      <c r="N883" s="190">
        <v>17000</v>
      </c>
      <c r="O883" s="190">
        <v>7200</v>
      </c>
      <c r="P883" s="190">
        <v>0</v>
      </c>
      <c r="Q883" s="190">
        <v>2023</v>
      </c>
      <c r="R883" s="190">
        <v>1</v>
      </c>
    </row>
    <row r="884" spans="1:18" x14ac:dyDescent="0.2">
      <c r="A884" s="190" t="s">
        <v>49</v>
      </c>
      <c r="B884" s="191" t="s">
        <v>248</v>
      </c>
      <c r="C884" s="191" t="s">
        <v>5</v>
      </c>
      <c r="D884" s="191" t="s">
        <v>249</v>
      </c>
      <c r="E884" s="191" t="s">
        <v>257</v>
      </c>
      <c r="F884" s="190" t="s">
        <v>335</v>
      </c>
      <c r="G884" s="190" t="s">
        <v>258</v>
      </c>
      <c r="H884" s="190" t="s">
        <v>19</v>
      </c>
      <c r="I884" s="191" t="s">
        <v>169</v>
      </c>
      <c r="J884" s="190" t="s">
        <v>259</v>
      </c>
      <c r="K884" s="191" t="s">
        <v>204</v>
      </c>
      <c r="L884" s="192" t="s">
        <v>205</v>
      </c>
      <c r="M884" s="190" t="s">
        <v>210</v>
      </c>
      <c r="N884" s="190">
        <v>9400</v>
      </c>
      <c r="O884" s="190">
        <v>4800</v>
      </c>
      <c r="P884" s="190">
        <v>1</v>
      </c>
      <c r="Q884" s="190">
        <v>2025</v>
      </c>
      <c r="R884" s="19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RESUMEN </vt:lpstr>
      <vt:lpstr>Marca y mes</vt:lpstr>
      <vt:lpstr>Camion y Tracto</vt:lpstr>
      <vt:lpstr>Minibus,Omnibus</vt:lpstr>
      <vt:lpstr>Camion Marca y Modelo</vt:lpstr>
      <vt:lpstr>Tracto Marca y Modelo</vt:lpstr>
      <vt:lpstr>Minibus,Omnibus Marca y Mod</vt:lpstr>
      <vt:lpstr>Zon.Reg I al XIII</vt:lpstr>
      <vt:lpstr>Oficina y Clase</vt:lpstr>
      <vt:lpstr>BASE ESPECIFICACIONES TÉCNICAS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2017-01-09T15:40:05Z</cp:lastPrinted>
  <dcterms:created xsi:type="dcterms:W3CDTF">2011-01-14T03:27:20Z</dcterms:created>
  <dcterms:modified xsi:type="dcterms:W3CDTF">2025-02-11T15:34:52Z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0b082fb4-f6f6-4dd0-b691-dbe98a23c889</vt:lpwstr>
  </property>
</Properties>
</file>