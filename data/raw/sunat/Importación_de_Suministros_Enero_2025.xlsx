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01. Estadisticas\01. Inmatriculaciones\03. Reportes\2025\Enero\Detallado\"/>
    </mc:Choice>
  </mc:AlternateContent>
  <xr:revisionPtr revIDLastSave="0" documentId="13_ncr:1_{2E280E32-B594-46A0-A612-6FF843F4E9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" sheetId="13" r:id="rId1"/>
    <sheet name="Detalle_partidas" sheetId="17" r:id="rId2"/>
    <sheet name="Nuevo_Usado" sheetId="18" r:id="rId3"/>
    <sheet name="Origen" sheetId="19" r:id="rId4"/>
    <sheet name="Importador" sheetId="20" r:id="rId5"/>
    <sheet name="Neumaticos" sheetId="24" r:id="rId6"/>
    <sheet name="Lubricantes" sheetId="25" r:id="rId7"/>
    <sheet name="Filtros" sheetId="27" r:id="rId8"/>
    <sheet name="Baterias" sheetId="29" r:id="rId9"/>
  </sheets>
  <definedNames>
    <definedName name="_xlnm._FilterDatabase" localSheetId="1" hidden="1">Detalle_partidas!$B$3:$AC$150</definedName>
    <definedName name="_xlnm._FilterDatabase" localSheetId="0" hidden="1">Resumen!$B$3:$AB$21</definedName>
    <definedName name="_xlnm.Print_Area" localSheetId="1">Detalle_partidas!$A$1:$AA$153</definedName>
    <definedName name="_xlnm.Print_Area" localSheetId="0">Resumen!$A$1:$AB$25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24" l="1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G4" i="24"/>
  <c r="G3" i="24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Y151" i="17" l="1"/>
  <c r="Y150" i="17"/>
  <c r="Y149" i="17"/>
  <c r="Y148" i="17"/>
  <c r="Y147" i="17"/>
  <c r="Y146" i="17"/>
  <c r="Y145" i="17"/>
  <c r="Y144" i="17"/>
  <c r="Y143" i="17"/>
  <c r="Y142" i="17"/>
  <c r="Y141" i="17"/>
  <c r="Y140" i="17"/>
  <c r="Y139" i="17"/>
  <c r="Y138" i="17"/>
  <c r="Y137" i="17"/>
  <c r="Y136" i="17"/>
  <c r="Y135" i="17"/>
  <c r="Y134" i="17"/>
  <c r="Y133" i="17"/>
  <c r="Y132" i="17"/>
  <c r="Y131" i="17"/>
  <c r="Y130" i="17"/>
  <c r="Y129" i="17"/>
  <c r="Y128" i="17"/>
  <c r="Y127" i="17"/>
  <c r="Y126" i="17"/>
  <c r="Y125" i="17"/>
  <c r="Y124" i="17"/>
  <c r="Y123" i="17"/>
  <c r="Y122" i="17"/>
  <c r="Y121" i="17"/>
  <c r="Y120" i="17"/>
  <c r="Y119" i="17"/>
  <c r="Y118" i="17"/>
  <c r="Y117" i="17"/>
  <c r="Y116" i="17"/>
  <c r="Y115" i="17"/>
  <c r="Y114" i="17"/>
  <c r="Y113" i="17"/>
  <c r="Y112" i="17"/>
  <c r="Y111" i="17"/>
  <c r="Y110" i="17"/>
  <c r="Y109" i="17"/>
  <c r="Y108" i="17"/>
  <c r="Y107" i="17"/>
  <c r="Y106" i="17"/>
  <c r="Y105" i="17"/>
  <c r="Y104" i="17"/>
  <c r="Y103" i="17"/>
  <c r="Y102" i="17"/>
  <c r="Y101" i="17"/>
  <c r="Y100" i="17"/>
  <c r="Y99" i="17"/>
  <c r="Y98" i="17"/>
  <c r="Y97" i="17"/>
  <c r="Y96" i="17"/>
  <c r="Y95" i="17"/>
  <c r="Y94" i="17"/>
  <c r="Y93" i="17"/>
  <c r="Y92" i="17"/>
  <c r="Y91" i="17"/>
  <c r="Y90" i="17"/>
  <c r="Y89" i="17"/>
  <c r="Y88" i="17"/>
  <c r="Y87" i="17"/>
  <c r="Y86" i="17"/>
  <c r="Y85" i="17"/>
  <c r="Y84" i="17"/>
  <c r="Y83" i="17"/>
  <c r="Y82" i="17"/>
  <c r="Y81" i="17"/>
  <c r="Y80" i="17"/>
  <c r="Y79" i="17"/>
  <c r="Y78" i="17"/>
  <c r="Y77" i="17"/>
  <c r="Y76" i="17"/>
  <c r="Y75" i="17"/>
  <c r="Y74" i="17"/>
  <c r="Y73" i="17"/>
  <c r="Y72" i="17"/>
  <c r="Y71" i="17"/>
  <c r="Y70" i="17"/>
  <c r="Y69" i="17"/>
  <c r="Y68" i="17"/>
  <c r="Y67" i="17"/>
  <c r="Y66" i="17"/>
  <c r="Y65" i="17"/>
  <c r="Y64" i="17"/>
  <c r="Y63" i="17"/>
  <c r="Y62" i="17"/>
  <c r="Y61" i="17"/>
  <c r="Y60" i="17"/>
  <c r="Y59" i="17"/>
  <c r="Y58" i="17"/>
  <c r="Y57" i="17"/>
  <c r="Y56" i="17"/>
  <c r="Y55" i="17"/>
  <c r="Y54" i="17"/>
  <c r="Y53" i="17"/>
  <c r="Y52" i="17"/>
  <c r="Y51" i="17"/>
  <c r="Y50" i="17"/>
  <c r="Y49" i="17"/>
  <c r="Y48" i="17"/>
  <c r="Y47" i="17"/>
  <c r="Y46" i="17"/>
  <c r="Y45" i="17"/>
  <c r="Y44" i="17"/>
  <c r="Y43" i="17"/>
  <c r="Y42" i="17"/>
  <c r="Y41" i="17"/>
  <c r="Y40" i="17"/>
  <c r="Y39" i="17"/>
  <c r="Y38" i="17"/>
  <c r="Y37" i="17"/>
  <c r="Y36" i="17"/>
  <c r="Y35" i="17"/>
  <c r="Y34" i="17"/>
  <c r="Y33" i="17"/>
  <c r="Y32" i="17"/>
  <c r="Y31" i="17"/>
  <c r="Y30" i="17"/>
  <c r="Y29" i="17"/>
  <c r="Y28" i="17"/>
  <c r="Y27" i="17"/>
  <c r="Y26" i="17"/>
  <c r="Y25" i="17"/>
  <c r="Y24" i="17"/>
  <c r="Y23" i="17"/>
  <c r="Y22" i="17"/>
  <c r="Y21" i="17"/>
  <c r="Y20" i="17"/>
  <c r="Y19" i="17"/>
  <c r="Y18" i="17"/>
  <c r="Y17" i="17"/>
  <c r="Y16" i="17"/>
  <c r="Y15" i="17"/>
  <c r="Y14" i="17"/>
  <c r="Y13" i="17"/>
  <c r="Y12" i="17"/>
  <c r="Y11" i="17"/>
  <c r="Y10" i="17"/>
  <c r="Y9" i="17"/>
  <c r="Y8" i="17"/>
  <c r="Y7" i="17"/>
  <c r="Y6" i="17"/>
  <c r="Y5" i="17"/>
  <c r="W151" i="17"/>
  <c r="W150" i="17"/>
  <c r="W149" i="17"/>
  <c r="W148" i="17"/>
  <c r="W147" i="17"/>
  <c r="W146" i="17"/>
  <c r="W145" i="17"/>
  <c r="W144" i="17"/>
  <c r="W143" i="17"/>
  <c r="W142" i="17"/>
  <c r="W141" i="17"/>
  <c r="W140" i="17"/>
  <c r="W139" i="17"/>
  <c r="W138" i="17"/>
  <c r="W137" i="17"/>
  <c r="W136" i="17"/>
  <c r="W135" i="17"/>
  <c r="W134" i="17"/>
  <c r="W133" i="17"/>
  <c r="W132" i="17"/>
  <c r="W131" i="17"/>
  <c r="W130" i="17"/>
  <c r="W129" i="17"/>
  <c r="W128" i="17"/>
  <c r="W127" i="17"/>
  <c r="W126" i="17"/>
  <c r="W125" i="17"/>
  <c r="W124" i="17"/>
  <c r="W123" i="17"/>
  <c r="W122" i="17"/>
  <c r="W121" i="17"/>
  <c r="W120" i="17"/>
  <c r="W119" i="17"/>
  <c r="W118" i="17"/>
  <c r="W117" i="17"/>
  <c r="W116" i="17"/>
  <c r="W115" i="17"/>
  <c r="W114" i="17"/>
  <c r="W113" i="17"/>
  <c r="W112" i="17"/>
  <c r="W111" i="17"/>
  <c r="W110" i="17"/>
  <c r="W109" i="17"/>
  <c r="W108" i="17"/>
  <c r="W107" i="17"/>
  <c r="W106" i="17"/>
  <c r="W105" i="17"/>
  <c r="W104" i="17"/>
  <c r="W103" i="17"/>
  <c r="W102" i="17"/>
  <c r="W101" i="17"/>
  <c r="W100" i="17"/>
  <c r="W99" i="17"/>
  <c r="W98" i="17"/>
  <c r="W97" i="17"/>
  <c r="W96" i="17"/>
  <c r="W95" i="17"/>
  <c r="W94" i="17"/>
  <c r="W93" i="17"/>
  <c r="W92" i="17"/>
  <c r="W91" i="17"/>
  <c r="W90" i="17"/>
  <c r="W89" i="17"/>
  <c r="W88" i="17"/>
  <c r="W87" i="17"/>
  <c r="W86" i="17"/>
  <c r="W85" i="17"/>
  <c r="W84" i="17"/>
  <c r="W83" i="17"/>
  <c r="W82" i="17"/>
  <c r="W81" i="17"/>
  <c r="W80" i="17"/>
  <c r="W79" i="17"/>
  <c r="W78" i="17"/>
  <c r="W77" i="17"/>
  <c r="W76" i="17"/>
  <c r="W75" i="17"/>
  <c r="W74" i="17"/>
  <c r="W73" i="17"/>
  <c r="W72" i="17"/>
  <c r="W71" i="17"/>
  <c r="W70" i="17"/>
  <c r="W69" i="17"/>
  <c r="W68" i="17"/>
  <c r="W67" i="17"/>
  <c r="W66" i="17"/>
  <c r="W65" i="17"/>
  <c r="W64" i="17"/>
  <c r="W63" i="17"/>
  <c r="W62" i="17"/>
  <c r="W61" i="17"/>
  <c r="W60" i="17"/>
  <c r="W59" i="17"/>
  <c r="W58" i="17"/>
  <c r="W57" i="17"/>
  <c r="W56" i="17"/>
  <c r="W55" i="17"/>
  <c r="W54" i="17"/>
  <c r="W53" i="17"/>
  <c r="W52" i="17"/>
  <c r="W51" i="17"/>
  <c r="W50" i="17"/>
  <c r="W49" i="17"/>
  <c r="W48" i="17"/>
  <c r="W47" i="17"/>
  <c r="W46" i="17"/>
  <c r="W45" i="17"/>
  <c r="W44" i="17"/>
  <c r="W43" i="17"/>
  <c r="W42" i="17"/>
  <c r="W41" i="17"/>
  <c r="W40" i="17"/>
  <c r="W39" i="17"/>
  <c r="W38" i="17"/>
  <c r="W37" i="17"/>
  <c r="W36" i="17"/>
  <c r="W35" i="17"/>
  <c r="W34" i="17"/>
  <c r="W33" i="17"/>
  <c r="W32" i="17"/>
  <c r="W31" i="17"/>
  <c r="W30" i="17"/>
  <c r="W29" i="17"/>
  <c r="W28" i="17"/>
  <c r="W27" i="17"/>
  <c r="W26" i="17"/>
  <c r="W25" i="17"/>
  <c r="W24" i="17"/>
  <c r="W23" i="17"/>
  <c r="W22" i="17"/>
  <c r="W21" i="17"/>
  <c r="W20" i="17"/>
  <c r="W19" i="17"/>
  <c r="W18" i="17"/>
  <c r="W17" i="17"/>
  <c r="W16" i="17"/>
  <c r="W15" i="17"/>
  <c r="W14" i="17"/>
  <c r="W13" i="17"/>
  <c r="W12" i="17"/>
  <c r="W11" i="17"/>
  <c r="W10" i="17"/>
  <c r="W9" i="17"/>
  <c r="W8" i="17"/>
  <c r="W7" i="17"/>
  <c r="W6" i="17"/>
  <c r="W5" i="17"/>
  <c r="Y4" i="17"/>
  <c r="W4" i="17"/>
  <c r="X23" i="13"/>
  <c r="X21" i="13"/>
  <c r="X20" i="13"/>
  <c r="X19" i="13"/>
  <c r="X18" i="13"/>
  <c r="X17" i="13"/>
  <c r="X16" i="13"/>
  <c r="X15" i="13"/>
  <c r="X14" i="13"/>
  <c r="X13" i="13"/>
  <c r="X12" i="13"/>
  <c r="X11" i="13"/>
  <c r="X10" i="13"/>
  <c r="X9" i="13"/>
  <c r="X8" i="13"/>
  <c r="X7" i="13"/>
  <c r="X6" i="13"/>
  <c r="X5" i="13"/>
  <c r="X4" i="13"/>
  <c r="V23" i="13"/>
  <c r="V21" i="13"/>
  <c r="V20" i="13"/>
  <c r="V19" i="13"/>
  <c r="V18" i="13"/>
  <c r="V17" i="13"/>
  <c r="V16" i="13"/>
  <c r="V15" i="13"/>
  <c r="V14" i="13"/>
  <c r="V13" i="13"/>
  <c r="V12" i="13"/>
  <c r="V11" i="13"/>
  <c r="V10" i="13"/>
  <c r="V9" i="13"/>
  <c r="V8" i="13"/>
  <c r="V7" i="13"/>
  <c r="V6" i="13"/>
  <c r="V5" i="13"/>
  <c r="V4" i="13"/>
  <c r="E4" i="29" l="1"/>
  <c r="G4" i="29" s="1"/>
  <c r="D4" i="29"/>
  <c r="G3" i="29"/>
  <c r="E8" i="27"/>
  <c r="D8" i="27"/>
  <c r="G7" i="27"/>
  <c r="G6" i="27"/>
  <c r="G5" i="27"/>
  <c r="G4" i="27"/>
  <c r="G3" i="27"/>
  <c r="F18" i="20"/>
  <c r="F17" i="20"/>
  <c r="F16" i="20"/>
  <c r="F15" i="20"/>
  <c r="F14" i="20"/>
  <c r="F13" i="20"/>
  <c r="F12" i="20"/>
  <c r="F11" i="20"/>
  <c r="F10" i="20"/>
  <c r="F9" i="20"/>
  <c r="F8" i="20"/>
  <c r="F7" i="20"/>
  <c r="F6" i="20"/>
  <c r="F5" i="20"/>
  <c r="F4" i="20"/>
  <c r="F3" i="20"/>
  <c r="E8" i="25"/>
  <c r="D8" i="25"/>
  <c r="G7" i="25"/>
  <c r="G6" i="25"/>
  <c r="G5" i="25"/>
  <c r="G4" i="25"/>
  <c r="G3" i="25"/>
  <c r="D18" i="24"/>
  <c r="E18" i="24"/>
  <c r="F14" i="24" s="1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F3" i="29" l="1"/>
  <c r="G8" i="27"/>
  <c r="F3" i="24"/>
  <c r="F4" i="24"/>
  <c r="F6" i="24"/>
  <c r="F9" i="24"/>
  <c r="F17" i="24"/>
  <c r="F11" i="24"/>
  <c r="F15" i="24"/>
  <c r="F8" i="24"/>
  <c r="F3" i="27"/>
  <c r="F4" i="27"/>
  <c r="F5" i="27"/>
  <c r="F6" i="27"/>
  <c r="F7" i="27"/>
  <c r="G8" i="25"/>
  <c r="F7" i="25"/>
  <c r="F5" i="25"/>
  <c r="F6" i="25"/>
  <c r="F3" i="25"/>
  <c r="F4" i="25"/>
  <c r="F13" i="24"/>
  <c r="F16" i="24"/>
  <c r="F12" i="24"/>
  <c r="F7" i="24"/>
  <c r="F10" i="24"/>
  <c r="F5" i="24"/>
  <c r="H22" i="18"/>
  <c r="G22" i="18"/>
  <c r="D22" i="18"/>
  <c r="C22" i="18"/>
  <c r="D54" i="19"/>
  <c r="C54" i="19"/>
  <c r="F18" i="24" l="1"/>
  <c r="F4" i="29"/>
  <c r="F8" i="27"/>
  <c r="F8" i="25"/>
  <c r="D19" i="20"/>
  <c r="E17" i="20" s="1"/>
  <c r="C19" i="20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F4" i="19"/>
  <c r="F3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I22" i="18"/>
  <c r="E22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4" i="18"/>
  <c r="E6" i="20" l="1"/>
  <c r="E18" i="20"/>
  <c r="E4" i="20"/>
  <c r="E7" i="20"/>
  <c r="E8" i="20"/>
  <c r="E9" i="20"/>
  <c r="E11" i="20"/>
  <c r="E5" i="20"/>
  <c r="E10" i="20"/>
  <c r="E13" i="20"/>
  <c r="E12" i="20"/>
  <c r="E14" i="20"/>
  <c r="F19" i="20"/>
  <c r="E16" i="20"/>
  <c r="E3" i="20"/>
  <c r="E15" i="20"/>
  <c r="E54" i="19"/>
  <c r="X148" i="17"/>
  <c r="V148" i="17"/>
  <c r="Q148" i="17"/>
  <c r="AC148" i="17" s="1"/>
  <c r="AB148" i="17" s="1"/>
  <c r="E19" i="20" l="1"/>
  <c r="AB2" i="17"/>
  <c r="V145" i="17"/>
  <c r="V144" i="17"/>
  <c r="V142" i="17"/>
  <c r="V137" i="17"/>
  <c r="V136" i="17"/>
  <c r="V134" i="17"/>
  <c r="V129" i="17"/>
  <c r="V128" i="17"/>
  <c r="V121" i="17"/>
  <c r="V120" i="17"/>
  <c r="V113" i="17"/>
  <c r="V112" i="17"/>
  <c r="V110" i="17"/>
  <c r="V104" i="17"/>
  <c r="V102" i="17"/>
  <c r="V96" i="17"/>
  <c r="V94" i="17"/>
  <c r="V89" i="17"/>
  <c r="V88" i="17"/>
  <c r="V81" i="17"/>
  <c r="V80" i="17"/>
  <c r="V73" i="17"/>
  <c r="V72" i="17"/>
  <c r="V70" i="17"/>
  <c r="V65" i="17"/>
  <c r="V64" i="17"/>
  <c r="V62" i="17"/>
  <c r="V57" i="17"/>
  <c r="V56" i="17"/>
  <c r="V49" i="17"/>
  <c r="V48" i="17"/>
  <c r="V46" i="17"/>
  <c r="V40" i="17"/>
  <c r="V38" i="17"/>
  <c r="V32" i="17"/>
  <c r="V30" i="17"/>
  <c r="V25" i="17"/>
  <c r="V24" i="17"/>
  <c r="V22" i="17"/>
  <c r="V17" i="17"/>
  <c r="V16" i="17"/>
  <c r="V9" i="17"/>
  <c r="V8" i="17"/>
  <c r="V6" i="17"/>
  <c r="V5" i="17"/>
  <c r="V4" i="17"/>
  <c r="V150" i="17"/>
  <c r="V149" i="17"/>
  <c r="V147" i="17"/>
  <c r="V146" i="17"/>
  <c r="V143" i="17"/>
  <c r="V141" i="17"/>
  <c r="V140" i="17"/>
  <c r="V139" i="17"/>
  <c r="V138" i="17"/>
  <c r="V135" i="17"/>
  <c r="V133" i="17"/>
  <c r="V132" i="17"/>
  <c r="V131" i="17"/>
  <c r="V130" i="17"/>
  <c r="V127" i="17"/>
  <c r="V126" i="17"/>
  <c r="V125" i="17"/>
  <c r="V124" i="17"/>
  <c r="V123" i="17"/>
  <c r="V122" i="17"/>
  <c r="V119" i="17"/>
  <c r="V118" i="17"/>
  <c r="V117" i="17"/>
  <c r="V116" i="17"/>
  <c r="V115" i="17"/>
  <c r="V114" i="17"/>
  <c r="V111" i="17"/>
  <c r="V109" i="17"/>
  <c r="V108" i="17"/>
  <c r="V107" i="17"/>
  <c r="V106" i="17"/>
  <c r="V105" i="17"/>
  <c r="V103" i="17"/>
  <c r="V101" i="17"/>
  <c r="V100" i="17"/>
  <c r="V99" i="17"/>
  <c r="V98" i="17"/>
  <c r="V97" i="17"/>
  <c r="V95" i="17"/>
  <c r="V93" i="17"/>
  <c r="V92" i="17"/>
  <c r="V91" i="17"/>
  <c r="V90" i="17"/>
  <c r="V87" i="17"/>
  <c r="V86" i="17"/>
  <c r="V85" i="17"/>
  <c r="V84" i="17"/>
  <c r="V83" i="17"/>
  <c r="V82" i="17"/>
  <c r="V79" i="17"/>
  <c r="V78" i="17"/>
  <c r="V77" i="17"/>
  <c r="V76" i="17"/>
  <c r="V75" i="17"/>
  <c r="V74" i="17"/>
  <c r="V71" i="17"/>
  <c r="V69" i="17"/>
  <c r="V68" i="17"/>
  <c r="V67" i="17"/>
  <c r="V66" i="17"/>
  <c r="V63" i="17"/>
  <c r="V61" i="17"/>
  <c r="V60" i="17"/>
  <c r="V59" i="17"/>
  <c r="V58" i="17"/>
  <c r="V55" i="17"/>
  <c r="V54" i="17"/>
  <c r="V53" i="17"/>
  <c r="V52" i="17"/>
  <c r="V51" i="17"/>
  <c r="V50" i="17"/>
  <c r="V47" i="17"/>
  <c r="V45" i="17"/>
  <c r="V44" i="17"/>
  <c r="V43" i="17"/>
  <c r="V42" i="17"/>
  <c r="V41" i="17"/>
  <c r="V39" i="17"/>
  <c r="V37" i="17"/>
  <c r="V36" i="17"/>
  <c r="V35" i="17"/>
  <c r="V34" i="17"/>
  <c r="V33" i="17"/>
  <c r="V31" i="17"/>
  <c r="V29" i="17"/>
  <c r="V28" i="17"/>
  <c r="V27" i="17"/>
  <c r="V26" i="17"/>
  <c r="V23" i="17"/>
  <c r="V21" i="17"/>
  <c r="V20" i="17"/>
  <c r="V19" i="17"/>
  <c r="V18" i="17"/>
  <c r="V15" i="17"/>
  <c r="V14" i="17"/>
  <c r="V13" i="17"/>
  <c r="V12" i="17"/>
  <c r="V11" i="17"/>
  <c r="V10" i="17"/>
  <c r="V7" i="17"/>
  <c r="V2" i="17"/>
  <c r="T2" i="17"/>
  <c r="T151" i="17" l="1"/>
  <c r="U21" i="13" l="1"/>
  <c r="U19" i="13"/>
  <c r="U18" i="13"/>
  <c r="U17" i="13"/>
  <c r="U16" i="13"/>
  <c r="U15" i="13"/>
  <c r="U14" i="13"/>
  <c r="U13" i="13"/>
  <c r="U11" i="13"/>
  <c r="U10" i="13"/>
  <c r="U9" i="13"/>
  <c r="U8" i="13"/>
  <c r="U7" i="13"/>
  <c r="U6" i="13"/>
  <c r="U5" i="13"/>
  <c r="U4" i="13"/>
  <c r="U20" i="13"/>
  <c r="U12" i="13"/>
  <c r="S23" i="13"/>
  <c r="X144" i="17" l="1"/>
  <c r="X140" i="17"/>
  <c r="X139" i="17"/>
  <c r="X138" i="17"/>
  <c r="X137" i="17"/>
  <c r="X136" i="17"/>
  <c r="X132" i="17"/>
  <c r="X131" i="17"/>
  <c r="X130" i="17"/>
  <c r="X128" i="17"/>
  <c r="X124" i="17"/>
  <c r="X123" i="17"/>
  <c r="X122" i="17"/>
  <c r="X121" i="17"/>
  <c r="X120" i="17"/>
  <c r="X116" i="17"/>
  <c r="X115" i="17"/>
  <c r="X114" i="17"/>
  <c r="X112" i="17"/>
  <c r="X107" i="17"/>
  <c r="X105" i="17"/>
  <c r="X104" i="17"/>
  <c r="X100" i="17"/>
  <c r="X98" i="17"/>
  <c r="X97" i="17"/>
  <c r="X96" i="17"/>
  <c r="X92" i="17"/>
  <c r="X91" i="17"/>
  <c r="X88" i="17"/>
  <c r="X84" i="17"/>
  <c r="X83" i="17"/>
  <c r="X82" i="17"/>
  <c r="X81" i="17"/>
  <c r="X80" i="17"/>
  <c r="X76" i="17"/>
  <c r="X75" i="17"/>
  <c r="X74" i="17"/>
  <c r="X73" i="17"/>
  <c r="X72" i="17"/>
  <c r="X68" i="17"/>
  <c r="X67" i="17"/>
  <c r="X66" i="17"/>
  <c r="X65" i="17"/>
  <c r="X64" i="17"/>
  <c r="X60" i="17"/>
  <c r="X59" i="17"/>
  <c r="X58" i="17"/>
  <c r="X57" i="17"/>
  <c r="X56" i="17"/>
  <c r="X52" i="17"/>
  <c r="X51" i="17"/>
  <c r="X50" i="17"/>
  <c r="X49" i="17"/>
  <c r="X48" i="17"/>
  <c r="X44" i="17"/>
  <c r="X43" i="17"/>
  <c r="X42" i="17"/>
  <c r="X41" i="17"/>
  <c r="X40" i="17"/>
  <c r="X35" i="17"/>
  <c r="X34" i="17"/>
  <c r="X32" i="17"/>
  <c r="X28" i="17"/>
  <c r="X27" i="17"/>
  <c r="X26" i="17"/>
  <c r="X25" i="17"/>
  <c r="X24" i="17"/>
  <c r="X20" i="17"/>
  <c r="X19" i="17"/>
  <c r="X18" i="17"/>
  <c r="X16" i="17"/>
  <c r="X12" i="17"/>
  <c r="X11" i="17"/>
  <c r="X10" i="17"/>
  <c r="X9" i="17"/>
  <c r="X8" i="17"/>
  <c r="X6" i="17"/>
  <c r="X5" i="17"/>
  <c r="X4" i="17"/>
  <c r="Q4" i="17"/>
  <c r="AC4" i="17" s="1"/>
  <c r="AB4" i="17" s="1"/>
  <c r="Q5" i="17"/>
  <c r="AC5" i="17" s="1"/>
  <c r="AB5" i="17" s="1"/>
  <c r="Q6" i="17"/>
  <c r="AC6" i="17" s="1"/>
  <c r="AB6" i="17" s="1"/>
  <c r="Q7" i="17"/>
  <c r="AC7" i="17" s="1"/>
  <c r="AB7" i="17" s="1"/>
  <c r="X7" i="17"/>
  <c r="Q8" i="17"/>
  <c r="AC8" i="17" s="1"/>
  <c r="AB8" i="17" s="1"/>
  <c r="Q9" i="17"/>
  <c r="AC9" i="17" s="1"/>
  <c r="AB9" i="17" s="1"/>
  <c r="Q10" i="17"/>
  <c r="AC10" i="17" s="1"/>
  <c r="AB10" i="17" s="1"/>
  <c r="Q11" i="17"/>
  <c r="AC11" i="17" s="1"/>
  <c r="AB11" i="17" s="1"/>
  <c r="Q12" i="17"/>
  <c r="AC12" i="17" s="1"/>
  <c r="AB12" i="17" s="1"/>
  <c r="Q13" i="17"/>
  <c r="AC13" i="17" s="1"/>
  <c r="AB13" i="17" s="1"/>
  <c r="X13" i="17"/>
  <c r="Q14" i="17"/>
  <c r="AC14" i="17" s="1"/>
  <c r="AB14" i="17" s="1"/>
  <c r="X14" i="17"/>
  <c r="Q15" i="17"/>
  <c r="AC15" i="17" s="1"/>
  <c r="AB15" i="17" s="1"/>
  <c r="X15" i="17"/>
  <c r="Q16" i="17"/>
  <c r="AC16" i="17" s="1"/>
  <c r="AB16" i="17" s="1"/>
  <c r="Q17" i="17"/>
  <c r="AC17" i="17" s="1"/>
  <c r="AB17" i="17" s="1"/>
  <c r="X17" i="17"/>
  <c r="Q18" i="17"/>
  <c r="AC18" i="17" s="1"/>
  <c r="AB18" i="17" s="1"/>
  <c r="Q19" i="17"/>
  <c r="AC19" i="17" s="1"/>
  <c r="AB19" i="17" s="1"/>
  <c r="Q20" i="17"/>
  <c r="AC20" i="17" s="1"/>
  <c r="AB20" i="17" s="1"/>
  <c r="Q21" i="17"/>
  <c r="AC21" i="17" s="1"/>
  <c r="AB21" i="17" s="1"/>
  <c r="X21" i="17"/>
  <c r="Q22" i="17"/>
  <c r="AC22" i="17" s="1"/>
  <c r="AB22" i="17" s="1"/>
  <c r="X22" i="17"/>
  <c r="Q23" i="17"/>
  <c r="AC23" i="17" s="1"/>
  <c r="AB23" i="17" s="1"/>
  <c r="X23" i="17"/>
  <c r="Q24" i="17"/>
  <c r="AC24" i="17" s="1"/>
  <c r="AB24" i="17" s="1"/>
  <c r="Q25" i="17"/>
  <c r="AC25" i="17" s="1"/>
  <c r="AB25" i="17" s="1"/>
  <c r="Q26" i="17"/>
  <c r="AC26" i="17" s="1"/>
  <c r="AB26" i="17" s="1"/>
  <c r="Q27" i="17"/>
  <c r="AC27" i="17" s="1"/>
  <c r="AB27" i="17" s="1"/>
  <c r="Q28" i="17"/>
  <c r="AC28" i="17" s="1"/>
  <c r="AB28" i="17" s="1"/>
  <c r="Q29" i="17"/>
  <c r="AC29" i="17" s="1"/>
  <c r="AB29" i="17" s="1"/>
  <c r="X29" i="17"/>
  <c r="Q30" i="17"/>
  <c r="AC30" i="17" s="1"/>
  <c r="AB30" i="17" s="1"/>
  <c r="X30" i="17"/>
  <c r="Q31" i="17"/>
  <c r="AC31" i="17" s="1"/>
  <c r="AB31" i="17" s="1"/>
  <c r="X31" i="17"/>
  <c r="Q32" i="17"/>
  <c r="AC32" i="17" s="1"/>
  <c r="AB32" i="17" s="1"/>
  <c r="Q33" i="17"/>
  <c r="AC33" i="17" s="1"/>
  <c r="AB33" i="17" s="1"/>
  <c r="X33" i="17"/>
  <c r="Q34" i="17"/>
  <c r="AC34" i="17" s="1"/>
  <c r="AB34" i="17" s="1"/>
  <c r="Q35" i="17"/>
  <c r="AC35" i="17" s="1"/>
  <c r="AB35" i="17" s="1"/>
  <c r="Q36" i="17"/>
  <c r="AC36" i="17" s="1"/>
  <c r="AB36" i="17" s="1"/>
  <c r="X36" i="17"/>
  <c r="Q37" i="17"/>
  <c r="AC37" i="17" s="1"/>
  <c r="AB37" i="17" s="1"/>
  <c r="X37" i="17"/>
  <c r="Q38" i="17"/>
  <c r="AC38" i="17" s="1"/>
  <c r="AB38" i="17" s="1"/>
  <c r="X38" i="17"/>
  <c r="Q39" i="17"/>
  <c r="AC39" i="17" s="1"/>
  <c r="AB39" i="17" s="1"/>
  <c r="X39" i="17"/>
  <c r="Q40" i="17"/>
  <c r="AC40" i="17" s="1"/>
  <c r="AB40" i="17" s="1"/>
  <c r="Q41" i="17"/>
  <c r="AC41" i="17" s="1"/>
  <c r="AB41" i="17" s="1"/>
  <c r="Q42" i="17"/>
  <c r="AC42" i="17" s="1"/>
  <c r="AB42" i="17" s="1"/>
  <c r="Q43" i="17"/>
  <c r="AC43" i="17" s="1"/>
  <c r="AB43" i="17" s="1"/>
  <c r="Q44" i="17"/>
  <c r="AC44" i="17" s="1"/>
  <c r="AB44" i="17" s="1"/>
  <c r="Q45" i="17"/>
  <c r="AC45" i="17" s="1"/>
  <c r="AB45" i="17" s="1"/>
  <c r="X45" i="17"/>
  <c r="Q46" i="17"/>
  <c r="AC46" i="17" s="1"/>
  <c r="AB46" i="17" s="1"/>
  <c r="X46" i="17"/>
  <c r="Q47" i="17"/>
  <c r="AC47" i="17" s="1"/>
  <c r="AB47" i="17" s="1"/>
  <c r="X47" i="17"/>
  <c r="Q48" i="17"/>
  <c r="AC48" i="17" s="1"/>
  <c r="AB48" i="17" s="1"/>
  <c r="Q49" i="17"/>
  <c r="AC49" i="17" s="1"/>
  <c r="AB49" i="17" s="1"/>
  <c r="Q50" i="17"/>
  <c r="AC50" i="17" s="1"/>
  <c r="AB50" i="17" s="1"/>
  <c r="Q51" i="17"/>
  <c r="AC51" i="17" s="1"/>
  <c r="AB51" i="17" s="1"/>
  <c r="Q52" i="17"/>
  <c r="AC52" i="17" s="1"/>
  <c r="AB52" i="17" s="1"/>
  <c r="Q53" i="17"/>
  <c r="AC53" i="17" s="1"/>
  <c r="AB53" i="17" s="1"/>
  <c r="X53" i="17"/>
  <c r="Q54" i="17"/>
  <c r="AC54" i="17" s="1"/>
  <c r="AB54" i="17" s="1"/>
  <c r="X54" i="17"/>
  <c r="Q55" i="17"/>
  <c r="AC55" i="17" s="1"/>
  <c r="AB55" i="17" s="1"/>
  <c r="X55" i="17"/>
  <c r="Q56" i="17"/>
  <c r="AC56" i="17" s="1"/>
  <c r="AB56" i="17" s="1"/>
  <c r="Q57" i="17"/>
  <c r="AC57" i="17" s="1"/>
  <c r="AB57" i="17" s="1"/>
  <c r="Q58" i="17"/>
  <c r="AC58" i="17" s="1"/>
  <c r="AB58" i="17" s="1"/>
  <c r="Q59" i="17"/>
  <c r="AC59" i="17" s="1"/>
  <c r="AB59" i="17" s="1"/>
  <c r="Q60" i="17"/>
  <c r="AC60" i="17" s="1"/>
  <c r="AB60" i="17" s="1"/>
  <c r="Q61" i="17"/>
  <c r="AC61" i="17" s="1"/>
  <c r="AB61" i="17" s="1"/>
  <c r="X61" i="17"/>
  <c r="Q62" i="17"/>
  <c r="AC62" i="17" s="1"/>
  <c r="AB62" i="17" s="1"/>
  <c r="X62" i="17"/>
  <c r="Q63" i="17"/>
  <c r="AC63" i="17" s="1"/>
  <c r="AB63" i="17" s="1"/>
  <c r="X63" i="17"/>
  <c r="Q64" i="17"/>
  <c r="AC64" i="17" s="1"/>
  <c r="AB64" i="17" s="1"/>
  <c r="Q65" i="17"/>
  <c r="AC65" i="17" s="1"/>
  <c r="AB65" i="17" s="1"/>
  <c r="Q66" i="17"/>
  <c r="AC66" i="17" s="1"/>
  <c r="AB66" i="17" s="1"/>
  <c r="Q67" i="17"/>
  <c r="AC67" i="17" s="1"/>
  <c r="AB67" i="17" s="1"/>
  <c r="Q68" i="17"/>
  <c r="AC68" i="17" s="1"/>
  <c r="AB68" i="17" s="1"/>
  <c r="Q69" i="17"/>
  <c r="AC69" i="17" s="1"/>
  <c r="AB69" i="17" s="1"/>
  <c r="X69" i="17"/>
  <c r="Q70" i="17"/>
  <c r="AC70" i="17" s="1"/>
  <c r="AB70" i="17" s="1"/>
  <c r="X70" i="17"/>
  <c r="Q71" i="17"/>
  <c r="AC71" i="17" s="1"/>
  <c r="AB71" i="17" s="1"/>
  <c r="X71" i="17"/>
  <c r="Q72" i="17"/>
  <c r="AC72" i="17" s="1"/>
  <c r="AB72" i="17" s="1"/>
  <c r="Q73" i="17"/>
  <c r="AC73" i="17" s="1"/>
  <c r="AB73" i="17" s="1"/>
  <c r="Q74" i="17"/>
  <c r="AC74" i="17" s="1"/>
  <c r="AB74" i="17" s="1"/>
  <c r="Q75" i="17"/>
  <c r="AC75" i="17" s="1"/>
  <c r="AB75" i="17" s="1"/>
  <c r="Q76" i="17"/>
  <c r="AC76" i="17" s="1"/>
  <c r="AB76" i="17" s="1"/>
  <c r="Q77" i="17"/>
  <c r="AC77" i="17" s="1"/>
  <c r="AB77" i="17" s="1"/>
  <c r="X77" i="17"/>
  <c r="Q78" i="17"/>
  <c r="AC78" i="17" s="1"/>
  <c r="AB78" i="17" s="1"/>
  <c r="X78" i="17"/>
  <c r="Q79" i="17"/>
  <c r="AC79" i="17" s="1"/>
  <c r="AB79" i="17" s="1"/>
  <c r="X79" i="17"/>
  <c r="Q80" i="17"/>
  <c r="AC80" i="17" s="1"/>
  <c r="AB80" i="17" s="1"/>
  <c r="Q81" i="17"/>
  <c r="AC81" i="17" s="1"/>
  <c r="AB81" i="17" s="1"/>
  <c r="Q82" i="17"/>
  <c r="AC82" i="17" s="1"/>
  <c r="AB82" i="17" s="1"/>
  <c r="Q83" i="17"/>
  <c r="AC83" i="17" s="1"/>
  <c r="AB83" i="17" s="1"/>
  <c r="Q84" i="17"/>
  <c r="AC84" i="17" s="1"/>
  <c r="AB84" i="17" s="1"/>
  <c r="Q85" i="17"/>
  <c r="AC85" i="17" s="1"/>
  <c r="AB85" i="17" s="1"/>
  <c r="X85" i="17"/>
  <c r="Q86" i="17"/>
  <c r="AC86" i="17" s="1"/>
  <c r="AB86" i="17" s="1"/>
  <c r="X86" i="17"/>
  <c r="Q87" i="17"/>
  <c r="AC87" i="17" s="1"/>
  <c r="AB87" i="17" s="1"/>
  <c r="X87" i="17"/>
  <c r="Q88" i="17"/>
  <c r="AC88" i="17" s="1"/>
  <c r="AB88" i="17" s="1"/>
  <c r="Q89" i="17"/>
  <c r="AC89" i="17" s="1"/>
  <c r="AB89" i="17" s="1"/>
  <c r="X89" i="17"/>
  <c r="Q90" i="17"/>
  <c r="AC90" i="17" s="1"/>
  <c r="AB90" i="17" s="1"/>
  <c r="X90" i="17"/>
  <c r="Q91" i="17"/>
  <c r="AC91" i="17" s="1"/>
  <c r="AB91" i="17" s="1"/>
  <c r="Q92" i="17"/>
  <c r="AC92" i="17" s="1"/>
  <c r="AB92" i="17" s="1"/>
  <c r="Q93" i="17"/>
  <c r="AC93" i="17" s="1"/>
  <c r="AB93" i="17" s="1"/>
  <c r="X93" i="17"/>
  <c r="Q94" i="17"/>
  <c r="AC94" i="17" s="1"/>
  <c r="AB94" i="17" s="1"/>
  <c r="X94" i="17"/>
  <c r="Q95" i="17"/>
  <c r="AC95" i="17" s="1"/>
  <c r="AB95" i="17" s="1"/>
  <c r="X95" i="17"/>
  <c r="Q96" i="17"/>
  <c r="AC96" i="17" s="1"/>
  <c r="AB96" i="17" s="1"/>
  <c r="Q97" i="17"/>
  <c r="AC97" i="17" s="1"/>
  <c r="AB97" i="17" s="1"/>
  <c r="Q98" i="17"/>
  <c r="AC98" i="17" s="1"/>
  <c r="AB98" i="17" s="1"/>
  <c r="Q99" i="17"/>
  <c r="AC99" i="17" s="1"/>
  <c r="AB99" i="17" s="1"/>
  <c r="X99" i="17"/>
  <c r="Q100" i="17"/>
  <c r="AC100" i="17" s="1"/>
  <c r="AB100" i="17" s="1"/>
  <c r="Q101" i="17"/>
  <c r="AC101" i="17" s="1"/>
  <c r="AB101" i="17" s="1"/>
  <c r="X101" i="17"/>
  <c r="Q102" i="17"/>
  <c r="AC102" i="17" s="1"/>
  <c r="AB102" i="17" s="1"/>
  <c r="X102" i="17"/>
  <c r="Q103" i="17"/>
  <c r="AC103" i="17" s="1"/>
  <c r="AB103" i="17" s="1"/>
  <c r="X103" i="17"/>
  <c r="Q104" i="17"/>
  <c r="AC104" i="17" s="1"/>
  <c r="AB104" i="17" s="1"/>
  <c r="Q105" i="17"/>
  <c r="AC105" i="17" s="1"/>
  <c r="AB105" i="17" s="1"/>
  <c r="Q106" i="17"/>
  <c r="AC106" i="17" s="1"/>
  <c r="AB106" i="17" s="1"/>
  <c r="X106" i="17"/>
  <c r="Q107" i="17"/>
  <c r="AC107" i="17" s="1"/>
  <c r="AB107" i="17" s="1"/>
  <c r="Q108" i="17"/>
  <c r="AC108" i="17" s="1"/>
  <c r="AB108" i="17" s="1"/>
  <c r="X108" i="17"/>
  <c r="Q109" i="17"/>
  <c r="AC109" i="17" s="1"/>
  <c r="AB109" i="17" s="1"/>
  <c r="X109" i="17"/>
  <c r="Q110" i="17"/>
  <c r="AC110" i="17" s="1"/>
  <c r="AB110" i="17" s="1"/>
  <c r="X110" i="17"/>
  <c r="Q111" i="17"/>
  <c r="AC111" i="17" s="1"/>
  <c r="AB111" i="17" s="1"/>
  <c r="X111" i="17"/>
  <c r="Q112" i="17"/>
  <c r="AC112" i="17" s="1"/>
  <c r="AB112" i="17" s="1"/>
  <c r="Q113" i="17"/>
  <c r="AC113" i="17" s="1"/>
  <c r="AB113" i="17" s="1"/>
  <c r="X113" i="17"/>
  <c r="Q114" i="17"/>
  <c r="AC114" i="17" s="1"/>
  <c r="AB114" i="17" s="1"/>
  <c r="Q115" i="17"/>
  <c r="AC115" i="17" s="1"/>
  <c r="AB115" i="17" s="1"/>
  <c r="Q116" i="17"/>
  <c r="AC116" i="17" s="1"/>
  <c r="AB116" i="17" s="1"/>
  <c r="Q117" i="17"/>
  <c r="AC117" i="17" s="1"/>
  <c r="AB117" i="17" s="1"/>
  <c r="X117" i="17"/>
  <c r="Q118" i="17"/>
  <c r="AC118" i="17" s="1"/>
  <c r="AB118" i="17" s="1"/>
  <c r="X118" i="17"/>
  <c r="Q119" i="17"/>
  <c r="AC119" i="17" s="1"/>
  <c r="AB119" i="17" s="1"/>
  <c r="X119" i="17"/>
  <c r="Q120" i="17"/>
  <c r="AC120" i="17" s="1"/>
  <c r="AB120" i="17" s="1"/>
  <c r="Q121" i="17"/>
  <c r="AC121" i="17" s="1"/>
  <c r="AB121" i="17" s="1"/>
  <c r="Q122" i="17"/>
  <c r="AC122" i="17" s="1"/>
  <c r="AB122" i="17" s="1"/>
  <c r="Q123" i="17"/>
  <c r="AC123" i="17" s="1"/>
  <c r="AB123" i="17" s="1"/>
  <c r="Q124" i="17"/>
  <c r="AC124" i="17" s="1"/>
  <c r="AB124" i="17" s="1"/>
  <c r="Q125" i="17"/>
  <c r="AC125" i="17" s="1"/>
  <c r="AB125" i="17" s="1"/>
  <c r="X125" i="17"/>
  <c r="Q126" i="17"/>
  <c r="AC126" i="17" s="1"/>
  <c r="AB126" i="17" s="1"/>
  <c r="X126" i="17"/>
  <c r="Q127" i="17"/>
  <c r="AC127" i="17" s="1"/>
  <c r="AB127" i="17" s="1"/>
  <c r="X127" i="17"/>
  <c r="Q128" i="17"/>
  <c r="AC128" i="17" s="1"/>
  <c r="AB128" i="17" s="1"/>
  <c r="Q129" i="17"/>
  <c r="AC129" i="17" s="1"/>
  <c r="AB129" i="17" s="1"/>
  <c r="X129" i="17"/>
  <c r="Q130" i="17"/>
  <c r="AC130" i="17" s="1"/>
  <c r="AB130" i="17" s="1"/>
  <c r="Q131" i="17"/>
  <c r="AC131" i="17" s="1"/>
  <c r="AB131" i="17" s="1"/>
  <c r="Q132" i="17"/>
  <c r="AC132" i="17" s="1"/>
  <c r="AB132" i="17" s="1"/>
  <c r="Q133" i="17"/>
  <c r="AC133" i="17" s="1"/>
  <c r="AB133" i="17" s="1"/>
  <c r="X133" i="17"/>
  <c r="Q134" i="17"/>
  <c r="AC134" i="17" s="1"/>
  <c r="AB134" i="17" s="1"/>
  <c r="X134" i="17"/>
  <c r="Q135" i="17"/>
  <c r="AC135" i="17" s="1"/>
  <c r="AB135" i="17" s="1"/>
  <c r="X135" i="17"/>
  <c r="Q136" i="17"/>
  <c r="AC136" i="17" s="1"/>
  <c r="AB136" i="17" s="1"/>
  <c r="Q137" i="17"/>
  <c r="AC137" i="17" s="1"/>
  <c r="AB137" i="17" s="1"/>
  <c r="Q138" i="17"/>
  <c r="AC138" i="17" s="1"/>
  <c r="AB138" i="17" s="1"/>
  <c r="Q139" i="17"/>
  <c r="AC139" i="17" s="1"/>
  <c r="AB139" i="17" s="1"/>
  <c r="Q140" i="17"/>
  <c r="AC140" i="17" s="1"/>
  <c r="AB140" i="17" s="1"/>
  <c r="Q141" i="17"/>
  <c r="AC141" i="17" s="1"/>
  <c r="AB141" i="17" s="1"/>
  <c r="X141" i="17"/>
  <c r="Q142" i="17"/>
  <c r="AC142" i="17" s="1"/>
  <c r="AB142" i="17" s="1"/>
  <c r="X142" i="17"/>
  <c r="Q143" i="17"/>
  <c r="AC143" i="17" s="1"/>
  <c r="AB143" i="17" s="1"/>
  <c r="X143" i="17"/>
  <c r="Q144" i="17"/>
  <c r="AC144" i="17" s="1"/>
  <c r="AB144" i="17" s="1"/>
  <c r="Q145" i="17"/>
  <c r="AC145" i="17" s="1"/>
  <c r="AB145" i="17" s="1"/>
  <c r="X145" i="17"/>
  <c r="Q146" i="17"/>
  <c r="AC146" i="17" s="1"/>
  <c r="AB146" i="17" s="1"/>
  <c r="X146" i="17"/>
  <c r="Q147" i="17"/>
  <c r="AC147" i="17" s="1"/>
  <c r="AB147" i="17" s="1"/>
  <c r="X147" i="17"/>
  <c r="Q149" i="17"/>
  <c r="AC149" i="17" s="1"/>
  <c r="AB149" i="17" s="1"/>
  <c r="X149" i="17"/>
  <c r="Q150" i="17"/>
  <c r="AC150" i="17" s="1"/>
  <c r="AB150" i="17" s="1"/>
  <c r="X150" i="17"/>
  <c r="Z23" i="13"/>
  <c r="AA151" i="17"/>
  <c r="U151" i="17"/>
  <c r="AA2" i="17"/>
  <c r="X2" i="17"/>
  <c r="U2" i="17"/>
  <c r="R2" i="17"/>
  <c r="Q2" i="17"/>
  <c r="K23" i="13" l="1"/>
  <c r="Q151" i="17" l="1"/>
  <c r="R148" i="17" s="1"/>
  <c r="O23" i="13"/>
  <c r="R149" i="17" l="1"/>
  <c r="R41" i="17"/>
  <c r="R65" i="17"/>
  <c r="R73" i="17"/>
  <c r="R89" i="17"/>
  <c r="R97" i="17"/>
  <c r="R101" i="17"/>
  <c r="R125" i="17"/>
  <c r="R141" i="17"/>
  <c r="R150" i="17"/>
  <c r="R28" i="17"/>
  <c r="R32" i="17"/>
  <c r="R36" i="17"/>
  <c r="R40" i="17"/>
  <c r="R44" i="17"/>
  <c r="R48" i="17"/>
  <c r="R52" i="17"/>
  <c r="R56" i="17"/>
  <c r="R60" i="17"/>
  <c r="R64" i="17"/>
  <c r="R68" i="17"/>
  <c r="R72" i="17"/>
  <c r="R76" i="17"/>
  <c r="R80" i="17"/>
  <c r="R84" i="17"/>
  <c r="R88" i="17"/>
  <c r="R92" i="17"/>
  <c r="R96" i="17"/>
  <c r="R100" i="17"/>
  <c r="R104" i="17"/>
  <c r="R108" i="17"/>
  <c r="R112" i="17"/>
  <c r="R116" i="17"/>
  <c r="R120" i="17"/>
  <c r="R124" i="17"/>
  <c r="R128" i="17"/>
  <c r="R132" i="17"/>
  <c r="R136" i="17"/>
  <c r="R140" i="17"/>
  <c r="R144" i="17"/>
  <c r="R13" i="17"/>
  <c r="R33" i="17"/>
  <c r="R49" i="17"/>
  <c r="R85" i="17"/>
  <c r="R137" i="17"/>
  <c r="R135" i="17"/>
  <c r="R139" i="17"/>
  <c r="R21" i="17"/>
  <c r="R81" i="17"/>
  <c r="R105" i="17"/>
  <c r="R7" i="17"/>
  <c r="R11" i="17"/>
  <c r="R15" i="17"/>
  <c r="R19" i="17"/>
  <c r="R23" i="17"/>
  <c r="R27" i="17"/>
  <c r="R31" i="17"/>
  <c r="R35" i="17"/>
  <c r="R39" i="17"/>
  <c r="R43" i="17"/>
  <c r="R47" i="17"/>
  <c r="R51" i="17"/>
  <c r="R55" i="17"/>
  <c r="R59" i="17"/>
  <c r="R63" i="17"/>
  <c r="R67" i="17"/>
  <c r="R71" i="17"/>
  <c r="R75" i="17"/>
  <c r="R79" i="17"/>
  <c r="R83" i="17"/>
  <c r="R87" i="17"/>
  <c r="R91" i="17"/>
  <c r="R95" i="17"/>
  <c r="R99" i="17"/>
  <c r="R103" i="17"/>
  <c r="R107" i="17"/>
  <c r="R111" i="17"/>
  <c r="R115" i="17"/>
  <c r="R119" i="17"/>
  <c r="R123" i="17"/>
  <c r="R127" i="17"/>
  <c r="R131" i="17"/>
  <c r="R143" i="17"/>
  <c r="R147" i="17"/>
  <c r="R9" i="17"/>
  <c r="R29" i="17"/>
  <c r="R37" i="17"/>
  <c r="R57" i="17"/>
  <c r="R138" i="17"/>
  <c r="R146" i="17"/>
  <c r="R45" i="17"/>
  <c r="R61" i="17"/>
  <c r="R121" i="17"/>
  <c r="R129" i="17"/>
  <c r="R145" i="17"/>
  <c r="R6" i="17"/>
  <c r="R10" i="17"/>
  <c r="R14" i="17"/>
  <c r="R18" i="17"/>
  <c r="R22" i="17"/>
  <c r="R26" i="17"/>
  <c r="R30" i="17"/>
  <c r="R34" i="17"/>
  <c r="R38" i="17"/>
  <c r="R42" i="17"/>
  <c r="R46" i="17"/>
  <c r="R50" i="17"/>
  <c r="R54" i="17"/>
  <c r="R58" i="17"/>
  <c r="R62" i="17"/>
  <c r="R66" i="17"/>
  <c r="R70" i="17"/>
  <c r="R74" i="17"/>
  <c r="R78" i="17"/>
  <c r="R82" i="17"/>
  <c r="R86" i="17"/>
  <c r="R90" i="17"/>
  <c r="R94" i="17"/>
  <c r="R98" i="17"/>
  <c r="R102" i="17"/>
  <c r="R106" i="17"/>
  <c r="R110" i="17"/>
  <c r="R114" i="17"/>
  <c r="R118" i="17"/>
  <c r="R122" i="17"/>
  <c r="R126" i="17"/>
  <c r="R130" i="17"/>
  <c r="R134" i="17"/>
  <c r="R142" i="17"/>
  <c r="R17" i="17"/>
  <c r="R25" i="17"/>
  <c r="R53" i="17"/>
  <c r="R93" i="17"/>
  <c r="R109" i="17"/>
  <c r="R113" i="17"/>
  <c r="R5" i="17"/>
  <c r="R69" i="17"/>
  <c r="R77" i="17"/>
  <c r="R117" i="17"/>
  <c r="R133" i="17"/>
  <c r="R12" i="17"/>
  <c r="R24" i="17"/>
  <c r="R4" i="17"/>
  <c r="R16" i="17"/>
  <c r="R8" i="17"/>
  <c r="R20" i="17"/>
  <c r="AB20" i="13"/>
  <c r="AB21" i="13"/>
  <c r="P23" i="13" l="1"/>
  <c r="AB9" i="13" l="1"/>
  <c r="AB15" i="13" l="1"/>
  <c r="W11" i="13" l="1"/>
  <c r="W18" i="13"/>
  <c r="W19" i="13"/>
  <c r="W10" i="13"/>
  <c r="W17" i="13"/>
  <c r="W13" i="13"/>
  <c r="W6" i="13"/>
  <c r="W14" i="13"/>
  <c r="W21" i="13"/>
  <c r="W12" i="13"/>
  <c r="W4" i="13"/>
  <c r="W15" i="13"/>
  <c r="W9" i="13"/>
  <c r="W16" i="13"/>
  <c r="W7" i="13"/>
  <c r="W5" i="13"/>
  <c r="W20" i="13"/>
  <c r="W8" i="13"/>
  <c r="AB4" i="13" l="1"/>
  <c r="AA4" i="13" s="1"/>
  <c r="AB14" i="13"/>
  <c r="AA14" i="13" s="1"/>
  <c r="AB12" i="13"/>
  <c r="AA12" i="13" s="1"/>
  <c r="AB11" i="13"/>
  <c r="AA11" i="13" s="1"/>
  <c r="AB19" i="13"/>
  <c r="AA19" i="13" s="1"/>
  <c r="AB10" i="13"/>
  <c r="AA10" i="13" s="1"/>
  <c r="AB13" i="13"/>
  <c r="AA13" i="13" s="1"/>
  <c r="AB17" i="13"/>
  <c r="AA17" i="13" s="1"/>
  <c r="AA9" i="13"/>
  <c r="AB5" i="13"/>
  <c r="AA5" i="13" s="1"/>
  <c r="AA15" i="13"/>
  <c r="AB16" i="13"/>
  <c r="AA16" i="13" s="1"/>
  <c r="AB8" i="13"/>
  <c r="AA8" i="13" s="1"/>
  <c r="AA20" i="13"/>
  <c r="AB7" i="13"/>
  <c r="AA7" i="13" s="1"/>
  <c r="AB18" i="13"/>
  <c r="AA18" i="13" s="1"/>
  <c r="AA21" i="13"/>
  <c r="AB6" i="13"/>
  <c r="AA6" i="13" s="1"/>
  <c r="N23" i="13" l="1"/>
  <c r="P151" i="17"/>
  <c r="O151" i="17"/>
  <c r="L23" i="13" l="1"/>
  <c r="M23" i="13"/>
  <c r="AC151" i="17"/>
  <c r="M151" i="17"/>
  <c r="N151" i="17"/>
  <c r="L151" i="17" l="1"/>
  <c r="J23" i="13" l="1"/>
  <c r="I23" i="13"/>
  <c r="H23" i="13"/>
  <c r="G23" i="13"/>
  <c r="F23" i="13"/>
  <c r="Y23" i="13" l="1"/>
  <c r="T23" i="13"/>
  <c r="R23" i="13"/>
  <c r="E23" i="13"/>
  <c r="D23" i="13"/>
  <c r="W23" i="13" l="1"/>
  <c r="U23" i="13"/>
  <c r="F151" i="17" l="1"/>
  <c r="K151" i="17"/>
  <c r="J151" i="17"/>
  <c r="I151" i="17"/>
  <c r="H151" i="17"/>
  <c r="G151" i="17"/>
  <c r="E151" i="17" l="1"/>
  <c r="V151" i="17" l="1"/>
  <c r="X151" i="17"/>
  <c r="Q15" i="13"/>
  <c r="Q8" i="13"/>
  <c r="Q7" i="13"/>
  <c r="Q11" i="13"/>
  <c r="Q18" i="13"/>
  <c r="Q12" i="13"/>
  <c r="Q10" i="13"/>
  <c r="Q4" i="13"/>
  <c r="Q5" i="13"/>
  <c r="Q9" i="13"/>
  <c r="Q17" i="13"/>
  <c r="Q16" i="13"/>
  <c r="Q14" i="13"/>
  <c r="Q19" i="13"/>
  <c r="Q21" i="13"/>
  <c r="Q20" i="13"/>
  <c r="Q13" i="13"/>
  <c r="Q6" i="13"/>
  <c r="AB23" i="13"/>
  <c r="AA23" i="13" s="1"/>
  <c r="Q23" i="13" l="1"/>
  <c r="AB151" i="17" l="1"/>
  <c r="R151" i="17" l="1"/>
</calcChain>
</file>

<file path=xl/sharedStrings.xml><?xml version="1.0" encoding="utf-8"?>
<sst xmlns="http://schemas.openxmlformats.org/spreadsheetml/2006/main" count="340" uniqueCount="143">
  <si>
    <t>Ruedas y sus partes</t>
  </si>
  <si>
    <t>Total</t>
  </si>
  <si>
    <t>Productos de caucho</t>
  </si>
  <si>
    <t>Sistema de suspensión</t>
  </si>
  <si>
    <t>Partes de Motor</t>
  </si>
  <si>
    <t>Partes eléctricas</t>
  </si>
  <si>
    <t>Accesorios</t>
  </si>
  <si>
    <t>Baterías</t>
  </si>
  <si>
    <t>Sistema de frenos</t>
  </si>
  <si>
    <t>Sistema de transmisión</t>
  </si>
  <si>
    <t>Sistema de dirección</t>
  </si>
  <si>
    <t>Sistema de enfriamiento</t>
  </si>
  <si>
    <t>Sistema de escape</t>
  </si>
  <si>
    <t>Ejes y diferencial</t>
  </si>
  <si>
    <t>Partes de carrocería</t>
  </si>
  <si>
    <t>Elaboración y Diseño : Asociación Automotriz del Perú AAP.</t>
  </si>
  <si>
    <t>Lubricantes</t>
  </si>
  <si>
    <t>Filtros</t>
  </si>
  <si>
    <t>PARTIDA</t>
  </si>
  <si>
    <t>TOTAL</t>
  </si>
  <si>
    <t>N°</t>
  </si>
  <si>
    <t>Estructura</t>
  </si>
  <si>
    <t>N</t>
  </si>
  <si>
    <t>Partida</t>
  </si>
  <si>
    <t>Fuente: ADUANAS - SUNAT</t>
  </si>
  <si>
    <t>TIPO DE SUMINISTRO</t>
  </si>
  <si>
    <t>Otros consumibles</t>
  </si>
  <si>
    <t>Neumáticos</t>
  </si>
  <si>
    <t>IMPORTACION DE SUMINISTROS (Valor FOB US$)</t>
  </si>
  <si>
    <t>DESCRIPCION</t>
  </si>
  <si>
    <t>NUEVO</t>
  </si>
  <si>
    <t>USADO</t>
  </si>
  <si>
    <t>Total general</t>
  </si>
  <si>
    <t>Var %</t>
  </si>
  <si>
    <t>UNITED STATES</t>
  </si>
  <si>
    <t>CHINA</t>
  </si>
  <si>
    <t>JAPAN</t>
  </si>
  <si>
    <t>BRAZIL</t>
  </si>
  <si>
    <t>GERMANY</t>
  </si>
  <si>
    <t>KOREA, REPUBLIC OF</t>
  </si>
  <si>
    <t>MEXICO</t>
  </si>
  <si>
    <t>INDIA</t>
  </si>
  <si>
    <t>ITALY</t>
  </si>
  <si>
    <t>FRANCE</t>
  </si>
  <si>
    <t>THAILAND</t>
  </si>
  <si>
    <t>COLOMBIA</t>
  </si>
  <si>
    <t>SPAIN</t>
  </si>
  <si>
    <t>TAIWAN</t>
  </si>
  <si>
    <t>SWEDEN</t>
  </si>
  <si>
    <t>UNITED KINGDOM</t>
  </si>
  <si>
    <t>TURKEY</t>
  </si>
  <si>
    <t>ECUADOR</t>
  </si>
  <si>
    <t>INDONESIA</t>
  </si>
  <si>
    <t>SINGAPORE</t>
  </si>
  <si>
    <t>BELGIUM</t>
  </si>
  <si>
    <t>POLAND</t>
  </si>
  <si>
    <t>CANADA</t>
  </si>
  <si>
    <t>CZECH REPUBLIC</t>
  </si>
  <si>
    <t>VIET NAM</t>
  </si>
  <si>
    <t>CHILE</t>
  </si>
  <si>
    <t>ARGENTINA</t>
  </si>
  <si>
    <t>AUSTRIA</t>
  </si>
  <si>
    <t>ROMANIA</t>
  </si>
  <si>
    <t>FINLAND</t>
  </si>
  <si>
    <t>SWITZERLAND</t>
  </si>
  <si>
    <t>UNITED ARAB EMIRATES</t>
  </si>
  <si>
    <t>MALAYSIA</t>
  </si>
  <si>
    <t>NETHERLANDS</t>
  </si>
  <si>
    <t>SLOVAKIA</t>
  </si>
  <si>
    <t>EL SALVADOR</t>
  </si>
  <si>
    <t>DENMARK</t>
  </si>
  <si>
    <t>SOUTH AFRICA</t>
  </si>
  <si>
    <t>HUNGARY</t>
  </si>
  <si>
    <t>AUSTRALIA</t>
  </si>
  <si>
    <t>TUNISIA</t>
  </si>
  <si>
    <t>PHILIPPINES</t>
  </si>
  <si>
    <t>COSTA RICA</t>
  </si>
  <si>
    <t>ISRAEL</t>
  </si>
  <si>
    <t>PAIS DE ORIGEN</t>
  </si>
  <si>
    <t>OTROS</t>
  </si>
  <si>
    <t>% PART</t>
  </si>
  <si>
    <t>VAR %</t>
  </si>
  <si>
    <t>BRIDGESTONE MINING SOLUTIONS PERU S.A.C.</t>
  </si>
  <si>
    <t>TERPEL COMERCIAL DEL PERU S.R.L.</t>
  </si>
  <si>
    <t>MICHELIN DEL PERU S.A.</t>
  </si>
  <si>
    <t>J.CH.COMERCIAL S.A.</t>
  </si>
  <si>
    <t>DISTRIBUIDORA CUMMINS PERU S.A.C</t>
  </si>
  <si>
    <t>CORPORACION PRIMAX S.A.</t>
  </si>
  <si>
    <t>KOMATSU-MITSUI MAQUINARIAS PERU S.A.</t>
  </si>
  <si>
    <t>TIRE SOL S.A.C.</t>
  </si>
  <si>
    <t>TOYOTA DEL PERU S A</t>
  </si>
  <si>
    <t>PROMOTORA GENESIS S.A.C.</t>
  </si>
  <si>
    <t>M &amp; M REPUESTOS Y SERVICIOS S.A.</t>
  </si>
  <si>
    <t>VOLVO PERU S A</t>
  </si>
  <si>
    <t>IMPORTADOR</t>
  </si>
  <si>
    <t>LITHUANIA</t>
  </si>
  <si>
    <t>FERREYROS SOCIEDAD ANONIMA</t>
  </si>
  <si>
    <t>DESCRIPCION PARTIDA</t>
  </si>
  <si>
    <t>Neumaticos - radiales</t>
  </si>
  <si>
    <t>Los demas - Neumáticos de caucho</t>
  </si>
  <si>
    <t>Los demas - Neumáticos  de caucho</t>
  </si>
  <si>
    <t>Neumáticos  utilizados en motocicletas</t>
  </si>
  <si>
    <t>Neumáticos para máquinas agrícolas o forestales</t>
  </si>
  <si>
    <t>Neumáticos  para minería y construcción</t>
  </si>
  <si>
    <t>Neumáticos (llantas neumáticas) recauchutados o usados, de caucho; de los tipos utilizados en autobuses o camiones</t>
  </si>
  <si>
    <t>Neumáticos (llantas neumáticas) recauchutados o usados,bandajes. Los demás</t>
  </si>
  <si>
    <t>Neumáticos (llantas neumáticas) recauchutados o usados,bandajes (llantas macizos)</t>
  </si>
  <si>
    <t>Neumáticos (llantas neumáticas) recauchutados o usados,bandajes (llantas huecas)</t>
  </si>
  <si>
    <t>Cámaras de caucho para neumáticos,de los tipos utilizados en automóviles de turismo (incluidos los del tipo familiar («break» o «station
wagon») y los de carreras), en autobuses o camiones</t>
  </si>
  <si>
    <t>Cámaras de caucho para neumáticos - Las Demás</t>
  </si>
  <si>
    <t>Parches para reparar cámaras de aire y neumáticos (llantas neumáticas)</t>
  </si>
  <si>
    <t>Grasas lubricantes</t>
  </si>
  <si>
    <t>Aceites base para lubricantes</t>
  </si>
  <si>
    <t>Aceites para transmisiones hidráulicas</t>
  </si>
  <si>
    <t>Otros aceites lubricantes</t>
  </si>
  <si>
    <t>Las demás,preparaciones lubricantes</t>
  </si>
  <si>
    <t>Para filtrar lubricantes o carburantes en los motores de encendido por chispa o compresión</t>
  </si>
  <si>
    <t>Los demás, aparatos para filtrar o depurar líquidos</t>
  </si>
  <si>
    <t>Filtros de entrada de aire para motores de encendido por chispa o compresión</t>
  </si>
  <si>
    <t>Los demás, aparatos para filtrar o depurar gases</t>
  </si>
  <si>
    <t>Elementos filtrantes, del tipo de los utilizados en filtros para motores</t>
  </si>
  <si>
    <t>Acumuladores eléctricos de plomo, de los tipos utilizados para arranque de motores de émbolo (pistón)</t>
  </si>
  <si>
    <t>SRI LANKA</t>
  </si>
  <si>
    <t>ACUMULADO 
ene 2025</t>
  </si>
  <si>
    <t>% Part ACUM 
ene 2025</t>
  </si>
  <si>
    <t>Ene-24</t>
  </si>
  <si>
    <t>Dic-24</t>
  </si>
  <si>
    <t>Var % Ene 25 vs Dic 24</t>
  </si>
  <si>
    <t>Var % Ene 25 vs Ene 24</t>
  </si>
  <si>
    <t>Var %
ACUM 25/24</t>
  </si>
  <si>
    <t>ACUMULADO 
ene 2024</t>
  </si>
  <si>
    <t>IMPORTACION DE SUMINISTROS ENERO (Valor FOB US$)</t>
  </si>
  <si>
    <t>SERBIA</t>
  </si>
  <si>
    <t>BOLIVIA, PLURINATIONAL STATE OF</t>
  </si>
  <si>
    <t>UKRAINE</t>
  </si>
  <si>
    <t>BULGARIA</t>
  </si>
  <si>
    <t>IMPORTACION DE SUMINISTROS POR IMPORTADOR - ENERO (Valor FOB US$)</t>
  </si>
  <si>
    <t>SOLTRAK S.A.</t>
  </si>
  <si>
    <t>AUTOREX PERUANA S A</t>
  </si>
  <si>
    <t>IMPORTACION DE SUMINISTROS POR DESCRIPCION DE PARTIDA -  ENERO (Valor FOB US$)</t>
  </si>
  <si>
    <t>IMPORTACION DE SUMINISTROS POR DESCRIPCION DE PARTIDA - ENERO (Valor FOB US$)</t>
  </si>
  <si>
    <t>IMPORTACION DE SUMINISTROS ACUMULADO ENERO (Valor FOB US$)</t>
  </si>
  <si>
    <t>IMPORTACION DE SUMINISTROS POR DESCRIPCION DE PARTIDA - ACUMULADO ENERO (Valor FOB US$)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</si>
</sst>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4">
    <numFmt numFmtId="164" formatCode="_ * #,##0.00_ ;_ * \-#,##0.00_ ;_ * &quot;-&quot;??_ ;_ @_ "/>
    <numFmt numFmtId="165" formatCode="&quot;@ &quot;#,###&quot; rpm&quot;"/>
    <numFmt numFmtId="166" formatCode="##&quot;°&quot;"/>
    <numFmt numFmtId="167" formatCode="#,###&quot; cc&quot;"/>
    <numFmt numFmtId="168" formatCode="__@"/>
    <numFmt numFmtId="169" formatCode="_(@_)"/>
    <numFmt numFmtId="170" formatCode="_([$€]* #,##0.00_);_([$€]* \(#,##0.00\);_([$€]* &quot;-&quot;??_);_(@_)"/>
    <numFmt numFmtId="171" formatCode="0#"/>
    <numFmt numFmtId="172" formatCode="#,###&quot; Kg.&quot;"/>
    <numFmt numFmtId="173" formatCode="#,###&quot; Kg./m³&quot;"/>
    <numFmt numFmtId="174" formatCode="#,###&quot; Kg-m&quot;"/>
    <numFmt numFmtId="175" formatCode="#.00&quot; Km/gal&quot;"/>
    <numFmt numFmtId="176" formatCode="#.00&quot; Km/hr&quot;"/>
    <numFmt numFmtId="177" formatCode="#.00&quot; l/hr&quot;"/>
    <numFmt numFmtId="178" formatCode="#&quot; litros&quot;"/>
    <numFmt numFmtId="179" formatCode="#.00&quot; m&quot;"/>
    <numFmt numFmtId="180" formatCode="#.0&quot; m/m&quot;"/>
    <numFmt numFmtId="181" formatCode="#.00&quot; m²&quot;"/>
    <numFmt numFmtId="182" formatCode="#.0&quot; m³&quot;"/>
    <numFmt numFmtId="183" formatCode="###,###\ &quot;mm&quot;"/>
    <numFmt numFmtId="184" formatCode="_(* #,##0.00_);_(* \(#,##0.00\);_(* &quot;-&quot;??_);_(@_)"/>
    <numFmt numFmtId="185" formatCode="###,###.00"/>
    <numFmt numFmtId="186" formatCode="_(&quot;US$ &quot;#,##0.00_);_(&quot;US$ &quot;\ \(#,##0.00\);_(* &quot;-&quot;_);_(@_)"/>
    <numFmt numFmtId="187" formatCode="####&quot;.&quot;##&quot;.&quot;##&quot;.&quot;##"/>
    <numFmt numFmtId="188" formatCode="##.0&quot; PS&quot;"/>
    <numFmt numFmtId="189" formatCode="##.0\ &quot;: 1&quot;"/>
    <numFmt numFmtId="190" formatCode="#,###&quot; rpm&quot;"/>
    <numFmt numFmtId="191" formatCode="_(&quot;S/. &quot;#,##0.00_);_(&quot;S/. &quot;\(#,##0.00\);_(&quot;S/. &quot;\ &quot;-&quot;??_);_(@_)"/>
    <numFmt numFmtId="192" formatCode="###\-\ ####"/>
    <numFmt numFmtId="193" formatCode="#,###&quot; Ton.&quot;"/>
    <numFmt numFmtId="194" formatCode="0.0%"/>
    <numFmt numFmtId="195" formatCode="_ * #,##0_ ;_ * \-#,##0_ ;_ * &quot;-&quot;??_ ;_ @_ "/>
    <numFmt numFmtId="196" formatCode="_(* #,##0_);_(* \(#,##0\);_(* &quot;-&quot;??_);_(@_)"/>
    <numFmt numFmtId="197" formatCode="#,##0_ ;\-#,##0\ 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8"/>
      <name val="Arial"/>
      <family val="2"/>
    </font>
    <font>
      <sz val="11"/>
      <color indexed="8"/>
      <name val="Calibri"/>
      <family val="2"/>
    </font>
    <font>
      <sz val="11"/>
      <color indexed="63"/>
      <name val="Calibri"/>
      <family val="2"/>
    </font>
    <font>
      <sz val="11"/>
      <color indexed="9"/>
      <name val="Calibri"/>
      <family val="2"/>
    </font>
    <font>
      <b/>
      <sz val="10"/>
      <name val="Arial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49"/>
      <name val="Calibri"/>
      <family val="2"/>
    </font>
    <font>
      <b/>
      <sz val="11"/>
      <color indexed="56"/>
      <name val="Calibri"/>
      <family val="2"/>
    </font>
    <font>
      <sz val="11"/>
      <color indexed="54"/>
      <name val="Calibri"/>
      <family val="2"/>
    </font>
    <font>
      <sz val="11"/>
      <color indexed="62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7"/>
      <name val="Arial"/>
      <family val="2"/>
    </font>
    <font>
      <b/>
      <sz val="8"/>
      <color indexed="10"/>
      <name val="Arial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sz val="6"/>
      <name val="Arial"/>
      <family val="2"/>
    </font>
    <font>
      <sz val="5"/>
      <name val="Arial"/>
      <family val="2"/>
    </font>
    <font>
      <sz val="11"/>
      <color indexed="10"/>
      <name val="Calibri"/>
      <family val="2"/>
    </font>
    <font>
      <i/>
      <sz val="11"/>
      <color indexed="61"/>
      <name val="Calibri"/>
      <family val="2"/>
    </font>
    <font>
      <i/>
      <sz val="11"/>
      <color indexed="23"/>
      <name val="Calibri"/>
      <family val="2"/>
    </font>
    <font>
      <b/>
      <sz val="15"/>
      <color indexed="49"/>
      <name val="Calibri"/>
      <family val="2"/>
    </font>
    <font>
      <b/>
      <sz val="15"/>
      <color indexed="56"/>
      <name val="Calibri"/>
      <family val="2"/>
    </font>
    <font>
      <b/>
      <sz val="13"/>
      <color indexed="49"/>
      <name val="Calibri"/>
      <family val="2"/>
    </font>
    <font>
      <b/>
      <sz val="13"/>
      <color indexed="56"/>
      <name val="Calibri"/>
      <family val="2"/>
    </font>
    <font>
      <b/>
      <sz val="18"/>
      <color indexed="49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돋움"/>
      <family val="3"/>
      <charset val="129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3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62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60497A"/>
        <bgColor theme="4" tint="0.79998168889431442"/>
      </patternFill>
    </fill>
    <fill>
      <patternFill patternType="solid">
        <fgColor rgb="FF60497A"/>
        <bgColor indexed="64"/>
      </patternFill>
    </fill>
    <fill>
      <patternFill patternType="solid">
        <fgColor rgb="FFFFFFFF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60497A"/>
        <bgColor theme="4" tint="0.79995117038483843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double">
        <color indexed="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40">
    <xf numFmtId="0" fontId="0" fillId="0" borderId="0"/>
    <xf numFmtId="0" fontId="2" fillId="0" borderId="0"/>
    <xf numFmtId="165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0" applyNumberFormat="0" applyBorder="0" applyAlignment="0" applyProtection="0"/>
    <xf numFmtId="0" fontId="7" fillId="17" borderId="0" applyNumberFormat="0" applyBorder="0" applyAlignment="0" applyProtection="0"/>
    <xf numFmtId="0" fontId="6" fillId="12" borderId="0" applyNumberFormat="0" applyBorder="0" applyAlignment="0" applyProtection="0"/>
    <xf numFmtId="0" fontId="7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6" fillId="18" borderId="0" applyNumberFormat="0" applyBorder="0" applyAlignment="0" applyProtection="0"/>
    <xf numFmtId="0" fontId="7" fillId="19" borderId="0" applyNumberFormat="0" applyBorder="0" applyAlignment="0" applyProtection="0"/>
    <xf numFmtId="0" fontId="6" fillId="16" borderId="0" applyNumberFormat="0" applyBorder="0" applyAlignment="0" applyProtection="0"/>
    <xf numFmtId="0" fontId="7" fillId="16" borderId="0" applyNumberFormat="0" applyBorder="0" applyAlignment="0" applyProtection="0"/>
    <xf numFmtId="0" fontId="6" fillId="4" borderId="0" applyNumberFormat="0" applyBorder="0" applyAlignment="0" applyProtection="0"/>
    <xf numFmtId="0" fontId="7" fillId="20" borderId="0" applyNumberFormat="0" applyBorder="0" applyAlignment="0" applyProtection="0"/>
    <xf numFmtId="166" fontId="8" fillId="0" borderId="0" applyFont="0" applyFill="0" applyBorder="0" applyAlignment="0" applyProtection="0">
      <alignment horizontal="center" vertical="center"/>
    </xf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0" fillId="2" borderId="2" applyNumberFormat="0" applyAlignment="0" applyProtection="0"/>
    <xf numFmtId="0" fontId="10" fillId="10" borderId="3" applyNumberFormat="0" applyAlignment="0" applyProtection="0"/>
    <xf numFmtId="167" fontId="4" fillId="0" borderId="0" applyFont="0" applyFill="0" applyBorder="0" applyAlignment="0" applyProtection="0">
      <alignment horizontal="center" vertical="center"/>
    </xf>
    <xf numFmtId="0" fontId="11" fillId="18" borderId="4" applyNumberFormat="0" applyAlignment="0" applyProtection="0"/>
    <xf numFmtId="0" fontId="12" fillId="21" borderId="5" applyNumberFormat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168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" fillId="16" borderId="0" applyNumberFormat="0" applyBorder="0" applyAlignment="0" applyProtection="0"/>
    <xf numFmtId="0" fontId="7" fillId="18" borderId="0" applyNumberFormat="0" applyBorder="0" applyAlignment="0" applyProtection="0"/>
    <xf numFmtId="0" fontId="6" fillId="22" borderId="0" applyNumberFormat="0" applyBorder="0" applyAlignment="0" applyProtection="0"/>
    <xf numFmtId="0" fontId="7" fillId="22" borderId="0" applyNumberFormat="0" applyBorder="0" applyAlignment="0" applyProtection="0"/>
    <xf numFmtId="0" fontId="6" fillId="23" borderId="0" applyNumberFormat="0" applyBorder="0" applyAlignment="0" applyProtection="0"/>
    <xf numFmtId="0" fontId="7" fillId="23" borderId="0" applyNumberFormat="0" applyBorder="0" applyAlignment="0" applyProtection="0"/>
    <xf numFmtId="0" fontId="6" fillId="24" borderId="0" applyNumberFormat="0" applyBorder="0" applyAlignment="0" applyProtection="0"/>
    <xf numFmtId="0" fontId="7" fillId="19" borderId="0" applyNumberFormat="0" applyBorder="0" applyAlignment="0" applyProtection="0"/>
    <xf numFmtId="0" fontId="6" fillId="16" borderId="0" applyNumberFormat="0" applyBorder="0" applyAlignment="0" applyProtection="0"/>
    <xf numFmtId="0" fontId="7" fillId="16" borderId="0" applyNumberFormat="0" applyBorder="0" applyAlignment="0" applyProtection="0"/>
    <xf numFmtId="0" fontId="6" fillId="25" borderId="0" applyNumberFormat="0" applyBorder="0" applyAlignment="0" applyProtection="0"/>
    <xf numFmtId="0" fontId="7" fillId="25" borderId="0" applyNumberFormat="0" applyBorder="0" applyAlignment="0" applyProtection="0"/>
    <xf numFmtId="0" fontId="16" fillId="4" borderId="2" applyNumberFormat="0" applyAlignment="0" applyProtection="0"/>
    <xf numFmtId="0" fontId="17" fillId="4" borderId="3" applyNumberFormat="0" applyAlignment="0" applyProtection="0"/>
    <xf numFmtId="169" fontId="4" fillId="0" borderId="0" applyFont="0" applyFill="0" applyBorder="0" applyAlignment="0" applyProtection="0">
      <alignment vertical="center"/>
    </xf>
    <xf numFmtId="170" fontId="3" fillId="0" borderId="0" applyFont="0" applyFill="0" applyBorder="0" applyAlignment="0" applyProtection="0"/>
    <xf numFmtId="171" fontId="18" fillId="0" borderId="0" applyFont="0" applyFill="0" applyBorder="0" applyProtection="0">
      <alignment horizontal="center" vertical="center"/>
    </xf>
    <xf numFmtId="14" fontId="19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172" fontId="18" fillId="0" borderId="0" applyFont="0" applyFill="0" applyBorder="0" applyAlignment="0" applyProtection="0">
      <alignment horizontal="center" vertical="center"/>
    </xf>
    <xf numFmtId="173" fontId="21" fillId="0" borderId="7" applyFont="0" applyFill="0" applyBorder="0" applyAlignment="0" applyProtection="0">
      <alignment horizontal="right" vertical="center"/>
    </xf>
    <xf numFmtId="174" fontId="18" fillId="0" borderId="0" applyFont="0" applyFill="0" applyBorder="0" applyAlignment="0" applyProtection="0">
      <alignment vertical="center"/>
    </xf>
    <xf numFmtId="172" fontId="18" fillId="0" borderId="0" applyFont="0" applyFill="0" applyBorder="0" applyAlignment="0" applyProtection="0"/>
    <xf numFmtId="175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/>
    <xf numFmtId="177" fontId="18" fillId="0" borderId="0" applyFont="0" applyFill="0" applyBorder="0" applyProtection="0">
      <alignment horizontal="right" vertical="center"/>
    </xf>
    <xf numFmtId="178" fontId="22" fillId="0" borderId="0" applyFont="0" applyFill="0" applyBorder="0" applyAlignment="0" applyProtection="0">
      <alignment horizontal="center" vertical="center"/>
    </xf>
    <xf numFmtId="179" fontId="18" fillId="0" borderId="0" applyFont="0" applyFill="0" applyBorder="0" applyAlignment="0" applyProtection="0"/>
    <xf numFmtId="180" fontId="4" fillId="0" borderId="0" applyFont="0" applyFill="0" applyBorder="0" applyAlignment="0" applyProtection="0">
      <alignment horizontal="center" vertical="center"/>
    </xf>
    <xf numFmtId="181" fontId="18" fillId="0" borderId="0" applyFont="0" applyFill="0" applyBorder="0" applyProtection="0">
      <alignment horizontal="right" vertical="center"/>
    </xf>
    <xf numFmtId="182" fontId="18" fillId="0" borderId="0" applyFont="0" applyFill="0" applyBorder="0" applyProtection="0">
      <alignment horizontal="right" vertical="center"/>
    </xf>
    <xf numFmtId="183" fontId="18" fillId="0" borderId="0" applyFont="0" applyFill="0" applyBorder="0" applyAlignment="0" applyProtection="0">
      <alignment horizontal="left" vertical="center"/>
    </xf>
    <xf numFmtId="184" fontId="3" fillId="0" borderId="0" applyFont="0" applyFill="0" applyBorder="0" applyAlignment="0" applyProtection="0"/>
    <xf numFmtId="164" fontId="23" fillId="0" borderId="0" applyFont="0" applyFill="0" applyBorder="0" applyAlignment="0" applyProtection="0"/>
    <xf numFmtId="184" fontId="19" fillId="0" borderId="0" applyFont="0" applyFill="0" applyBorder="0" applyAlignment="0" applyProtection="0"/>
    <xf numFmtId="185" fontId="18" fillId="0" borderId="0" applyFont="0" applyFill="0" applyBorder="0" applyAlignment="0" applyProtection="0">
      <alignment horizontal="center" vertical="center"/>
    </xf>
    <xf numFmtId="3" fontId="18" fillId="0" borderId="0" applyFont="0" applyFill="0" applyBorder="0" applyAlignment="0" applyProtection="0">
      <alignment vertical="center"/>
    </xf>
    <xf numFmtId="186" fontId="18" fillId="0" borderId="0" applyFont="0" applyFill="0" applyBorder="0" applyAlignment="0" applyProtection="0">
      <alignment vertical="center"/>
    </xf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9" fillId="6" borderId="8" applyNumberFormat="0" applyFont="0" applyAlignment="0" applyProtection="0"/>
    <xf numFmtId="0" fontId="5" fillId="6" borderId="9" applyNumberFormat="0" applyFont="0" applyAlignment="0" applyProtection="0"/>
    <xf numFmtId="187" fontId="18" fillId="0" borderId="0" applyFont="0" applyFill="0" applyBorder="0" applyAlignment="0" applyProtection="0">
      <alignment vertical="center"/>
    </xf>
    <xf numFmtId="188" fontId="4" fillId="0" borderId="0" applyFont="0" applyFill="0" applyBorder="0" applyAlignment="0" applyProtection="0">
      <alignment vertical="center"/>
    </xf>
    <xf numFmtId="189" fontId="4" fillId="0" borderId="0" applyFont="0" applyFill="0" applyBorder="0" applyAlignment="0" applyProtection="0">
      <alignment vertical="center"/>
    </xf>
    <xf numFmtId="190" fontId="18" fillId="0" borderId="0" applyFont="0" applyFill="0" applyBorder="0" applyAlignment="0" applyProtection="0"/>
    <xf numFmtId="0" fontId="12" fillId="2" borderId="10" applyNumberFormat="0" applyAlignment="0" applyProtection="0"/>
    <xf numFmtId="0" fontId="11" fillId="10" borderId="11" applyNumberFormat="0" applyAlignment="0" applyProtection="0"/>
    <xf numFmtId="0" fontId="25" fillId="0" borderId="0" applyNumberFormat="0" applyFill="0" applyBorder="0" applyAlignment="0" applyProtection="0">
      <alignment vertical="center"/>
    </xf>
    <xf numFmtId="191" fontId="19" fillId="0" borderId="0" applyFont="0" applyFill="0" applyBorder="0" applyProtection="0">
      <alignment horizontal="right" vertical="center"/>
    </xf>
    <xf numFmtId="49" fontId="26" fillId="0" borderId="0" applyFill="0" applyBorder="0" applyProtection="0"/>
    <xf numFmtId="49" fontId="26" fillId="0" borderId="0" applyFill="0" applyBorder="0" applyProtection="0">
      <alignment vertical="top"/>
    </xf>
    <xf numFmtId="192" fontId="8" fillId="0" borderId="0" applyFont="0" applyFill="0" applyBorder="0" applyAlignment="0" applyProtection="0">
      <alignment vertical="center"/>
    </xf>
    <xf numFmtId="49" fontId="18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8" fontId="25" fillId="0" borderId="0" applyFont="0" applyFill="0" applyBorder="0" applyAlignment="0" applyProtection="0">
      <alignment horizontal="center" vertical="center"/>
    </xf>
    <xf numFmtId="49" fontId="8" fillId="26" borderId="1" applyProtection="0">
      <alignment horizontal="center" vertical="center"/>
    </xf>
    <xf numFmtId="0" fontId="30" fillId="0" borderId="12" applyNumberFormat="0" applyFill="0" applyAlignment="0" applyProtection="0"/>
    <xf numFmtId="0" fontId="31" fillId="0" borderId="13" applyNumberFormat="0" applyFill="0" applyAlignment="0" applyProtection="0"/>
    <xf numFmtId="0" fontId="32" fillId="0" borderId="14" applyNumberFormat="0" applyFill="0" applyAlignment="0" applyProtection="0"/>
    <xf numFmtId="0" fontId="33" fillId="0" borderId="14" applyNumberFormat="0" applyFill="0" applyAlignment="0" applyProtection="0"/>
    <xf numFmtId="0" fontId="14" fillId="0" borderId="15" applyNumberFormat="0" applyFill="0" applyAlignment="0" applyProtection="0"/>
    <xf numFmtId="0" fontId="15" fillId="0" borderId="16" applyNumberFormat="0" applyFill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93" fontId="18" fillId="0" borderId="17" applyFont="0" applyFill="0" applyBorder="0" applyAlignment="0" applyProtection="0">
      <alignment horizontal="center" vertical="center"/>
    </xf>
    <xf numFmtId="0" fontId="36" fillId="0" borderId="18" applyNumberFormat="0" applyFill="0" applyAlignment="0" applyProtection="0"/>
    <xf numFmtId="0" fontId="36" fillId="0" borderId="19" applyNumberFormat="0" applyFill="0" applyAlignment="0" applyProtection="0"/>
    <xf numFmtId="49" fontId="4" fillId="26" borderId="1" applyFill="0" applyBorder="0" applyProtection="0">
      <alignment vertical="center" wrapText="1"/>
    </xf>
    <xf numFmtId="0" fontId="37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0" fontId="5" fillId="0" borderId="0"/>
    <xf numFmtId="0" fontId="19" fillId="0" borderId="0"/>
    <xf numFmtId="9" fontId="19" fillId="0" borderId="0" applyFont="0" applyFill="0" applyBorder="0" applyAlignment="0" applyProtection="0"/>
  </cellStyleXfs>
  <cellXfs count="142">
    <xf numFmtId="0" fontId="0" fillId="0" borderId="0" xfId="0"/>
    <xf numFmtId="3" fontId="38" fillId="27" borderId="0" xfId="0" applyNumberFormat="1" applyFont="1" applyFill="1" applyAlignment="1">
      <alignment horizontal="right" vertical="center" wrapText="1"/>
    </xf>
    <xf numFmtId="0" fontId="40" fillId="27" borderId="0" xfId="0" applyFont="1" applyFill="1" applyAlignment="1">
      <alignment vertical="center"/>
    </xf>
    <xf numFmtId="0" fontId="41" fillId="27" borderId="0" xfId="0" applyFont="1" applyFill="1" applyAlignment="1">
      <alignment horizontal="center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41" fillId="27" borderId="0" xfId="93" applyFont="1" applyFill="1" applyAlignment="1">
      <alignment horizontal="left" vertical="center"/>
    </xf>
    <xf numFmtId="195" fontId="41" fillId="0" borderId="25" xfId="135" applyNumberFormat="1" applyFont="1" applyFill="1" applyBorder="1" applyAlignment="1">
      <alignment horizontal="right" vertical="center"/>
    </xf>
    <xf numFmtId="195" fontId="41" fillId="0" borderId="0" xfId="135" applyNumberFormat="1" applyFont="1" applyFill="1" applyBorder="1" applyAlignment="1">
      <alignment horizontal="right" vertical="center"/>
    </xf>
    <xf numFmtId="195" fontId="41" fillId="0" borderId="27" xfId="135" applyNumberFormat="1" applyFont="1" applyFill="1" applyBorder="1" applyAlignment="1">
      <alignment horizontal="right" vertical="center"/>
    </xf>
    <xf numFmtId="2" fontId="41" fillId="0" borderId="26" xfId="0" applyNumberFormat="1" applyFont="1" applyBorder="1" applyAlignment="1">
      <alignment horizontal="left" vertical="center"/>
    </xf>
    <xf numFmtId="195" fontId="41" fillId="0" borderId="24" xfId="135" applyNumberFormat="1" applyFont="1" applyFill="1" applyBorder="1" applyAlignment="1">
      <alignment horizontal="right" vertical="center"/>
    </xf>
    <xf numFmtId="2" fontId="41" fillId="0" borderId="17" xfId="0" applyNumberFormat="1" applyFont="1" applyBorder="1" applyAlignment="1">
      <alignment horizontal="left" vertical="center"/>
    </xf>
    <xf numFmtId="196" fontId="41" fillId="0" borderId="25" xfId="85" applyNumberFormat="1" applyFont="1" applyFill="1" applyBorder="1" applyAlignment="1">
      <alignment horizontal="center" vertical="center"/>
    </xf>
    <xf numFmtId="194" fontId="41" fillId="0" borderId="26" xfId="139" applyNumberFormat="1" applyFont="1" applyFill="1" applyBorder="1" applyAlignment="1">
      <alignment vertical="center"/>
    </xf>
    <xf numFmtId="196" fontId="41" fillId="0" borderId="0" xfId="85" applyNumberFormat="1" applyFont="1" applyFill="1" applyBorder="1" applyAlignment="1">
      <alignment horizontal="center" vertical="center"/>
    </xf>
    <xf numFmtId="194" fontId="41" fillId="0" borderId="17" xfId="139" applyNumberFormat="1" applyFont="1" applyFill="1" applyBorder="1" applyAlignment="1">
      <alignment vertical="center"/>
    </xf>
    <xf numFmtId="196" fontId="41" fillId="0" borderId="7" xfId="85" applyNumberFormat="1" applyFont="1" applyFill="1" applyBorder="1" applyAlignment="1">
      <alignment horizontal="center" vertical="center"/>
    </xf>
    <xf numFmtId="194" fontId="41" fillId="0" borderId="29" xfId="139" applyNumberFormat="1" applyFont="1" applyFill="1" applyBorder="1" applyAlignment="1">
      <alignment vertical="center"/>
    </xf>
    <xf numFmtId="196" fontId="41" fillId="0" borderId="22" xfId="85" applyNumberFormat="1" applyFont="1" applyFill="1" applyBorder="1" applyAlignment="1">
      <alignment horizontal="center" vertical="center"/>
    </xf>
    <xf numFmtId="194" fontId="41" fillId="0" borderId="23" xfId="139" applyNumberFormat="1" applyFont="1" applyFill="1" applyBorder="1" applyAlignment="1">
      <alignment vertical="center"/>
    </xf>
    <xf numFmtId="0" fontId="0" fillId="27" borderId="0" xfId="0" applyFill="1" applyAlignment="1">
      <alignment horizontal="center" vertical="center"/>
    </xf>
    <xf numFmtId="0" fontId="43" fillId="27" borderId="0" xfId="0" applyFont="1" applyFill="1" applyAlignment="1">
      <alignment vertical="center"/>
    </xf>
    <xf numFmtId="0" fontId="43" fillId="0" borderId="0" xfId="0" applyFont="1" applyAlignment="1">
      <alignment vertical="center"/>
    </xf>
    <xf numFmtId="0" fontId="44" fillId="27" borderId="0" xfId="0" applyFont="1" applyFill="1" applyAlignment="1">
      <alignment vertical="center"/>
    </xf>
    <xf numFmtId="0" fontId="0" fillId="27" borderId="0" xfId="0" applyFill="1" applyAlignment="1">
      <alignment vertical="center"/>
    </xf>
    <xf numFmtId="2" fontId="38" fillId="28" borderId="21" xfId="0" applyNumberFormat="1" applyFont="1" applyFill="1" applyBorder="1" applyAlignment="1">
      <alignment horizontal="center" vertical="center" wrapText="1"/>
    </xf>
    <xf numFmtId="2" fontId="38" fillId="28" borderId="23" xfId="0" applyNumberFormat="1" applyFont="1" applyFill="1" applyBorder="1" applyAlignment="1">
      <alignment horizontal="center" vertical="center" wrapText="1"/>
    </xf>
    <xf numFmtId="3" fontId="38" fillId="0" borderId="0" xfId="0" applyNumberFormat="1" applyFont="1" applyAlignment="1">
      <alignment horizontal="center" vertical="center" wrapText="1"/>
    </xf>
    <xf numFmtId="17" fontId="38" fillId="28" borderId="21" xfId="0" applyNumberFormat="1" applyFont="1" applyFill="1" applyBorder="1" applyAlignment="1">
      <alignment horizontal="center" vertical="center" wrapText="1"/>
    </xf>
    <xf numFmtId="3" fontId="38" fillId="0" borderId="30" xfId="0" applyNumberFormat="1" applyFont="1" applyBorder="1" applyAlignment="1">
      <alignment horizontal="center" vertical="center" wrapText="1"/>
    </xf>
    <xf numFmtId="17" fontId="38" fillId="28" borderId="22" xfId="0" quotePrefix="1" applyNumberFormat="1" applyFont="1" applyFill="1" applyBorder="1" applyAlignment="1">
      <alignment horizontal="center" vertical="center" wrapText="1"/>
    </xf>
    <xf numFmtId="0" fontId="38" fillId="28" borderId="21" xfId="136" applyFont="1" applyFill="1" applyBorder="1" applyAlignment="1">
      <alignment horizontal="center" vertical="center" wrapText="1"/>
    </xf>
    <xf numFmtId="0" fontId="44" fillId="27" borderId="0" xfId="0" applyFont="1" applyFill="1" applyAlignment="1">
      <alignment horizontal="center" vertical="center"/>
    </xf>
    <xf numFmtId="2" fontId="38" fillId="27" borderId="0" xfId="0" applyNumberFormat="1" applyFont="1" applyFill="1" applyAlignment="1">
      <alignment horizontal="center" vertical="center" wrapText="1"/>
    </xf>
    <xf numFmtId="2" fontId="38" fillId="0" borderId="0" xfId="0" applyNumberFormat="1" applyFont="1" applyAlignment="1">
      <alignment horizontal="center" vertical="center" wrapText="1"/>
    </xf>
    <xf numFmtId="1" fontId="41" fillId="0" borderId="24" xfId="0" applyNumberFormat="1" applyFont="1" applyBorder="1" applyAlignment="1">
      <alignment horizontal="center" vertical="center"/>
    </xf>
    <xf numFmtId="3" fontId="41" fillId="0" borderId="0" xfId="0" applyNumberFormat="1" applyFont="1" applyAlignment="1">
      <alignment horizontal="right" vertical="center"/>
    </xf>
    <xf numFmtId="194" fontId="42" fillId="0" borderId="26" xfId="134" applyNumberFormat="1" applyFont="1" applyFill="1" applyBorder="1" applyAlignment="1">
      <alignment horizontal="right" vertical="center"/>
    </xf>
    <xf numFmtId="3" fontId="41" fillId="0" borderId="27" xfId="0" applyNumberFormat="1" applyFont="1" applyBorder="1" applyAlignment="1">
      <alignment horizontal="right" vertical="center"/>
    </xf>
    <xf numFmtId="0" fontId="41" fillId="27" borderId="0" xfId="0" applyFont="1" applyFill="1" applyAlignment="1">
      <alignment vertical="center"/>
    </xf>
    <xf numFmtId="1" fontId="41" fillId="0" borderId="27" xfId="0" applyNumberFormat="1" applyFont="1" applyBorder="1" applyAlignment="1">
      <alignment horizontal="center" vertical="center"/>
    </xf>
    <xf numFmtId="194" fontId="42" fillId="0" borderId="17" xfId="134" applyNumberFormat="1" applyFont="1" applyFill="1" applyBorder="1" applyAlignment="1">
      <alignment horizontal="right" vertical="center"/>
    </xf>
    <xf numFmtId="2" fontId="38" fillId="0" borderId="0" xfId="0" applyNumberFormat="1" applyFont="1" applyAlignment="1">
      <alignment horizontal="center" vertical="center"/>
    </xf>
    <xf numFmtId="2" fontId="38" fillId="28" borderId="21" xfId="0" applyNumberFormat="1" applyFont="1" applyFill="1" applyBorder="1" applyAlignment="1">
      <alignment horizontal="center" vertical="center"/>
    </xf>
    <xf numFmtId="2" fontId="38" fillId="28" borderId="23" xfId="0" applyNumberFormat="1" applyFont="1" applyFill="1" applyBorder="1" applyAlignment="1">
      <alignment horizontal="left" vertical="center" wrapText="1"/>
    </xf>
    <xf numFmtId="195" fontId="38" fillId="28" borderId="21" xfId="135" applyNumberFormat="1" applyFont="1" applyFill="1" applyBorder="1" applyAlignment="1">
      <alignment horizontal="center" vertical="center" wrapText="1"/>
    </xf>
    <xf numFmtId="195" fontId="38" fillId="28" borderId="22" xfId="135" applyNumberFormat="1" applyFont="1" applyFill="1" applyBorder="1" applyAlignment="1">
      <alignment horizontal="center" vertical="center" wrapText="1"/>
    </xf>
    <xf numFmtId="3" fontId="38" fillId="28" borderId="22" xfId="0" applyNumberFormat="1" applyFont="1" applyFill="1" applyBorder="1" applyAlignment="1">
      <alignment horizontal="center" vertical="center" wrapText="1"/>
    </xf>
    <xf numFmtId="194" fontId="38" fillId="28" borderId="23" xfId="134" applyNumberFormat="1" applyFont="1" applyFill="1" applyBorder="1" applyAlignment="1">
      <alignment horizontal="center" vertical="center" wrapText="1"/>
    </xf>
    <xf numFmtId="195" fontId="38" fillId="28" borderId="21" xfId="135" applyNumberFormat="1" applyFont="1" applyFill="1" applyBorder="1" applyAlignment="1">
      <alignment vertical="center"/>
    </xf>
    <xf numFmtId="4" fontId="0" fillId="0" borderId="0" xfId="0" applyNumberFormat="1" applyAlignment="1">
      <alignment vertical="center"/>
    </xf>
    <xf numFmtId="3" fontId="0" fillId="27" borderId="0" xfId="0" applyNumberFormat="1" applyFill="1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3" fontId="0" fillId="27" borderId="0" xfId="0" applyNumberFormat="1" applyFill="1" applyAlignment="1">
      <alignment horizontal="right" vertical="center"/>
    </xf>
    <xf numFmtId="0" fontId="43" fillId="27" borderId="20" xfId="0" applyFont="1" applyFill="1" applyBorder="1" applyAlignment="1">
      <alignment vertical="center"/>
    </xf>
    <xf numFmtId="0" fontId="42" fillId="27" borderId="0" xfId="0" applyFont="1" applyFill="1" applyAlignment="1">
      <alignment horizontal="center" vertical="center"/>
    </xf>
    <xf numFmtId="3" fontId="38" fillId="28" borderId="1" xfId="0" applyNumberFormat="1" applyFont="1" applyFill="1" applyBorder="1" applyAlignment="1">
      <alignment horizontal="center" vertical="center" wrapText="1"/>
    </xf>
    <xf numFmtId="3" fontId="38" fillId="0" borderId="20" xfId="0" applyNumberFormat="1" applyFont="1" applyBorder="1" applyAlignment="1">
      <alignment horizontal="center" vertical="center" wrapText="1"/>
    </xf>
    <xf numFmtId="0" fontId="43" fillId="27" borderId="0" xfId="0" applyFont="1" applyFill="1" applyAlignment="1">
      <alignment horizontal="center" vertical="center"/>
    </xf>
    <xf numFmtId="0" fontId="39" fillId="27" borderId="0" xfId="0" applyFont="1" applyFill="1" applyAlignment="1">
      <alignment vertical="center"/>
    </xf>
    <xf numFmtId="0" fontId="0" fillId="0" borderId="3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95" fontId="0" fillId="0" borderId="24" xfId="135" applyNumberFormat="1" applyFont="1" applyFill="1" applyBorder="1" applyAlignment="1">
      <alignment horizontal="right" vertical="center"/>
    </xf>
    <xf numFmtId="195" fontId="0" fillId="0" borderId="25" xfId="135" applyNumberFormat="1" applyFont="1" applyFill="1" applyBorder="1" applyAlignment="1">
      <alignment horizontal="right" vertical="center"/>
    </xf>
    <xf numFmtId="194" fontId="43" fillId="0" borderId="26" xfId="134" applyNumberFormat="1" applyFont="1" applyFill="1" applyBorder="1" applyAlignment="1">
      <alignment horizontal="right" vertical="center"/>
    </xf>
    <xf numFmtId="195" fontId="0" fillId="0" borderId="24" xfId="135" applyNumberFormat="1" applyFont="1" applyFill="1" applyBorder="1" applyAlignment="1">
      <alignment vertical="center"/>
    </xf>
    <xf numFmtId="0" fontId="0" fillId="0" borderId="30" xfId="0" applyBorder="1" applyAlignment="1">
      <alignment horizontal="left" vertical="center"/>
    </xf>
    <xf numFmtId="195" fontId="0" fillId="0" borderId="27" xfId="135" applyNumberFormat="1" applyFont="1" applyFill="1" applyBorder="1" applyAlignment="1">
      <alignment horizontal="right" vertical="center"/>
    </xf>
    <xf numFmtId="195" fontId="0" fillId="0" borderId="0" xfId="135" applyNumberFormat="1" applyFont="1" applyFill="1" applyBorder="1" applyAlignment="1">
      <alignment horizontal="right" vertical="center"/>
    </xf>
    <xf numFmtId="194" fontId="43" fillId="0" borderId="17" xfId="134" applyNumberFormat="1" applyFont="1" applyFill="1" applyBorder="1" applyAlignment="1">
      <alignment horizontal="right" vertical="center"/>
    </xf>
    <xf numFmtId="195" fontId="0" fillId="0" borderId="27" xfId="135" applyNumberFormat="1" applyFont="1" applyFill="1" applyBorder="1" applyAlignment="1">
      <alignment vertical="center"/>
    </xf>
    <xf numFmtId="0" fontId="0" fillId="0" borderId="32" xfId="0" applyBorder="1" applyAlignment="1">
      <alignment horizontal="left" vertical="center"/>
    </xf>
    <xf numFmtId="195" fontId="0" fillId="0" borderId="28" xfId="135" applyNumberFormat="1" applyFont="1" applyFill="1" applyBorder="1" applyAlignment="1">
      <alignment horizontal="right" vertical="center"/>
    </xf>
    <xf numFmtId="195" fontId="0" fillId="0" borderId="7" xfId="135" applyNumberFormat="1" applyFont="1" applyFill="1" applyBorder="1" applyAlignment="1">
      <alignment horizontal="right" vertical="center"/>
    </xf>
    <xf numFmtId="194" fontId="43" fillId="0" borderId="29" xfId="134" applyNumberFormat="1" applyFont="1" applyFill="1" applyBorder="1" applyAlignment="1">
      <alignment horizontal="right" vertical="center"/>
    </xf>
    <xf numFmtId="195" fontId="0" fillId="0" borderId="28" xfId="135" applyNumberFormat="1" applyFont="1" applyFill="1" applyBorder="1" applyAlignment="1">
      <alignment vertical="center"/>
    </xf>
    <xf numFmtId="195" fontId="38" fillId="27" borderId="0" xfId="135" applyNumberFormat="1" applyFont="1" applyFill="1" applyAlignment="1">
      <alignment horizontal="right" vertical="center" wrapText="1"/>
    </xf>
    <xf numFmtId="194" fontId="38" fillId="27" borderId="0" xfId="134" applyNumberFormat="1" applyFont="1" applyFill="1" applyAlignment="1">
      <alignment horizontal="right" vertical="center" wrapText="1"/>
    </xf>
    <xf numFmtId="194" fontId="43" fillId="27" borderId="0" xfId="134" applyNumberFormat="1" applyFont="1" applyFill="1" applyAlignment="1">
      <alignment vertical="center"/>
    </xf>
    <xf numFmtId="3" fontId="38" fillId="0" borderId="33" xfId="0" applyNumberFormat="1" applyFont="1" applyBorder="1" applyAlignment="1">
      <alignment horizontal="center" vertical="center" wrapText="1"/>
    </xf>
    <xf numFmtId="195" fontId="38" fillId="28" borderId="21" xfId="135" applyNumberFormat="1" applyFont="1" applyFill="1" applyBorder="1" applyAlignment="1">
      <alignment horizontal="right" vertical="center" wrapText="1"/>
    </xf>
    <xf numFmtId="195" fontId="38" fillId="28" borderId="22" xfId="135" applyNumberFormat="1" applyFont="1" applyFill="1" applyBorder="1" applyAlignment="1">
      <alignment horizontal="right" vertical="center" wrapText="1"/>
    </xf>
    <xf numFmtId="194" fontId="38" fillId="28" borderId="23" xfId="134" applyNumberFormat="1" applyFont="1" applyFill="1" applyBorder="1" applyAlignment="1">
      <alignment horizontal="right" vertical="center" wrapText="1"/>
    </xf>
    <xf numFmtId="0" fontId="45" fillId="27" borderId="0" xfId="0" applyFont="1" applyFill="1" applyAlignment="1">
      <alignment vertical="center"/>
    </xf>
    <xf numFmtId="195" fontId="46" fillId="27" borderId="0" xfId="135" applyNumberFormat="1" applyFont="1" applyFill="1" applyAlignment="1">
      <alignment horizontal="right" vertical="center"/>
    </xf>
    <xf numFmtId="195" fontId="46" fillId="27" borderId="0" xfId="135" applyNumberFormat="1" applyFont="1" applyFill="1" applyAlignment="1">
      <alignment vertical="center"/>
    </xf>
    <xf numFmtId="0" fontId="38" fillId="28" borderId="22" xfId="136" applyFont="1" applyFill="1" applyBorder="1" applyAlignment="1">
      <alignment horizontal="center" vertical="center" wrapText="1"/>
    </xf>
    <xf numFmtId="0" fontId="38" fillId="28" borderId="23" xfId="136" applyFont="1" applyFill="1" applyBorder="1" applyAlignment="1">
      <alignment horizontal="center" vertical="center" wrapText="1"/>
    </xf>
    <xf numFmtId="195" fontId="47" fillId="27" borderId="0" xfId="135" applyNumberFormat="1" applyFont="1" applyFill="1" applyAlignment="1">
      <alignment horizontal="right" vertical="center"/>
    </xf>
    <xf numFmtId="3" fontId="46" fillId="27" borderId="0" xfId="0" applyNumberFormat="1" applyFont="1" applyFill="1" applyAlignment="1">
      <alignment vertical="center"/>
    </xf>
    <xf numFmtId="194" fontId="0" fillId="0" borderId="0" xfId="134" applyNumberFormat="1" applyFont="1" applyFill="1" applyAlignment="1">
      <alignment vertical="center"/>
    </xf>
    <xf numFmtId="3" fontId="43" fillId="0" borderId="0" xfId="0" applyNumberFormat="1" applyFont="1"/>
    <xf numFmtId="9" fontId="0" fillId="27" borderId="0" xfId="134" applyFont="1" applyFill="1" applyAlignment="1">
      <alignment vertical="center"/>
    </xf>
    <xf numFmtId="3" fontId="48" fillId="27" borderId="0" xfId="0" applyNumberFormat="1" applyFont="1" applyFill="1" applyAlignment="1">
      <alignment horizontal="right" vertical="center" wrapText="1"/>
    </xf>
    <xf numFmtId="197" fontId="47" fillId="27" borderId="0" xfId="135" applyNumberFormat="1" applyFont="1" applyFill="1" applyAlignment="1">
      <alignment horizontal="right" vertical="center"/>
    </xf>
    <xf numFmtId="4" fontId="0" fillId="27" borderId="0" xfId="0" applyNumberFormat="1" applyFill="1" applyAlignment="1">
      <alignment horizontal="right" vertical="center"/>
    </xf>
    <xf numFmtId="0" fontId="0" fillId="0" borderId="0" xfId="0" applyAlignment="1">
      <alignment horizontal="left"/>
    </xf>
    <xf numFmtId="3" fontId="0" fillId="0" borderId="0" xfId="0" applyNumberFormat="1"/>
    <xf numFmtId="194" fontId="0" fillId="0" borderId="0" xfId="134" applyNumberFormat="1" applyFont="1" applyAlignment="1">
      <alignment horizontal="center"/>
    </xf>
    <xf numFmtId="0" fontId="38" fillId="29" borderId="0" xfId="0" applyFont="1" applyFill="1"/>
    <xf numFmtId="0" fontId="38" fillId="29" borderId="0" xfId="0" applyFont="1" applyFill="1" applyAlignment="1">
      <alignment horizontal="centerContinuous" vertical="center"/>
    </xf>
    <xf numFmtId="0" fontId="38" fillId="29" borderId="34" xfId="0" applyFont="1" applyFill="1" applyBorder="1"/>
    <xf numFmtId="0" fontId="38" fillId="29" borderId="34" xfId="0" applyFont="1" applyFill="1" applyBorder="1" applyAlignment="1">
      <alignment horizontal="center"/>
    </xf>
    <xf numFmtId="0" fontId="38" fillId="29" borderId="35" xfId="0" applyFont="1" applyFill="1" applyBorder="1" applyAlignment="1">
      <alignment horizontal="left"/>
    </xf>
    <xf numFmtId="3" fontId="38" fillId="29" borderId="35" xfId="0" applyNumberFormat="1" applyFont="1" applyFill="1" applyBorder="1"/>
    <xf numFmtId="194" fontId="38" fillId="29" borderId="35" xfId="134" applyNumberFormat="1" applyFont="1" applyFill="1" applyBorder="1" applyAlignment="1">
      <alignment horizontal="center"/>
    </xf>
    <xf numFmtId="2" fontId="38" fillId="30" borderId="0" xfId="0" applyNumberFormat="1" applyFont="1" applyFill="1" applyAlignment="1">
      <alignment horizontal="centerContinuous" vertical="center" wrapText="1"/>
    </xf>
    <xf numFmtId="0" fontId="38" fillId="31" borderId="0" xfId="0" applyFont="1" applyFill="1"/>
    <xf numFmtId="0" fontId="38" fillId="31" borderId="0" xfId="0" applyFont="1" applyFill="1" applyAlignment="1">
      <alignment horizontal="center"/>
    </xf>
    <xf numFmtId="194" fontId="0" fillId="32" borderId="0" xfId="134" applyNumberFormat="1" applyFont="1" applyFill="1" applyBorder="1" applyAlignment="1">
      <alignment horizontal="center"/>
    </xf>
    <xf numFmtId="194" fontId="38" fillId="31" borderId="0" xfId="134" applyNumberFormat="1" applyFont="1" applyFill="1" applyBorder="1" applyAlignment="1">
      <alignment horizontal="center"/>
    </xf>
    <xf numFmtId="0" fontId="38" fillId="33" borderId="35" xfId="0" applyFont="1" applyFill="1" applyBorder="1" applyAlignment="1">
      <alignment horizontal="left"/>
    </xf>
    <xf numFmtId="3" fontId="38" fillId="33" borderId="35" xfId="0" applyNumberFormat="1" applyFont="1" applyFill="1" applyBorder="1"/>
    <xf numFmtId="9" fontId="38" fillId="33" borderId="35" xfId="134" applyFont="1" applyFill="1" applyBorder="1" applyAlignment="1">
      <alignment horizontal="center"/>
    </xf>
    <xf numFmtId="194" fontId="38" fillId="33" borderId="35" xfId="134" applyNumberFormat="1" applyFont="1" applyFill="1" applyBorder="1" applyAlignment="1">
      <alignment horizontal="center"/>
    </xf>
    <xf numFmtId="0" fontId="49" fillId="0" borderId="0" xfId="0" applyFont="1"/>
    <xf numFmtId="194" fontId="41" fillId="0" borderId="17" xfId="139" applyNumberFormat="1" applyFont="1" applyFill="1" applyBorder="1" applyAlignment="1">
      <alignment horizontal="center" vertical="center"/>
    </xf>
    <xf numFmtId="0" fontId="38" fillId="33" borderId="22" xfId="0" applyFont="1" applyFill="1" applyBorder="1" applyAlignment="1">
      <alignment horizontal="center" vertical="center"/>
    </xf>
    <xf numFmtId="0" fontId="50" fillId="27" borderId="0" xfId="0" applyFont="1" applyFill="1" applyAlignment="1">
      <alignment vertical="center"/>
    </xf>
    <xf numFmtId="0" fontId="52" fillId="33" borderId="34" xfId="0" applyFont="1" applyFill="1" applyBorder="1" applyAlignment="1">
      <alignment vertical="center"/>
    </xf>
    <xf numFmtId="0" fontId="52" fillId="33" borderId="34" xfId="0" applyFont="1" applyFill="1" applyBorder="1" applyAlignment="1">
      <alignment horizontal="center" vertical="center"/>
    </xf>
    <xf numFmtId="0" fontId="51" fillId="0" borderId="0" xfId="0" applyFont="1" applyAlignment="1">
      <alignment horizontal="left"/>
    </xf>
    <xf numFmtId="3" fontId="51" fillId="0" borderId="0" xfId="0" applyNumberFormat="1" applyFont="1"/>
    <xf numFmtId="194" fontId="51" fillId="0" borderId="0" xfId="134" applyNumberFormat="1" applyFont="1" applyAlignment="1">
      <alignment horizontal="center"/>
    </xf>
    <xf numFmtId="194" fontId="53" fillId="0" borderId="17" xfId="139" applyNumberFormat="1" applyFont="1" applyFill="1" applyBorder="1" applyAlignment="1">
      <alignment horizontal="center" vertical="center"/>
    </xf>
    <xf numFmtId="0" fontId="54" fillId="30" borderId="22" xfId="0" applyFont="1" applyFill="1" applyBorder="1" applyAlignment="1">
      <alignment horizontal="left"/>
    </xf>
    <xf numFmtId="3" fontId="54" fillId="30" borderId="22" xfId="0" applyNumberFormat="1" applyFont="1" applyFill="1" applyBorder="1"/>
    <xf numFmtId="9" fontId="54" fillId="30" borderId="22" xfId="134" applyFont="1" applyFill="1" applyBorder="1" applyAlignment="1">
      <alignment horizontal="center"/>
    </xf>
    <xf numFmtId="194" fontId="54" fillId="30" borderId="22" xfId="134" applyNumberFormat="1" applyFont="1" applyFill="1" applyBorder="1" applyAlignment="1">
      <alignment horizontal="center"/>
    </xf>
    <xf numFmtId="0" fontId="51" fillId="0" borderId="0" xfId="0" applyFont="1" applyAlignment="1">
      <alignment horizontal="center"/>
    </xf>
    <xf numFmtId="0" fontId="51" fillId="0" borderId="0" xfId="0" applyFont="1" applyAlignment="1">
      <alignment horizontal="center" vertical="center"/>
    </xf>
    <xf numFmtId="3" fontId="51" fillId="0" borderId="0" xfId="0" applyNumberFormat="1" applyFont="1" applyAlignment="1">
      <alignment vertical="center"/>
    </xf>
    <xf numFmtId="194" fontId="51" fillId="0" borderId="0" xfId="134" applyNumberFormat="1" applyFont="1" applyAlignment="1">
      <alignment horizontal="center" vertical="center"/>
    </xf>
    <xf numFmtId="0" fontId="51" fillId="0" borderId="0" xfId="0" applyFont="1" applyAlignment="1">
      <alignment horizontal="left" vertical="center" wrapText="1"/>
    </xf>
    <xf numFmtId="17" fontId="38" fillId="28" borderId="22" xfId="137" applyNumberFormat="1" applyFont="1" applyFill="1" applyBorder="1" applyAlignment="1">
      <alignment horizontal="center" vertical="center" wrapText="1"/>
    </xf>
    <xf numFmtId="17" fontId="38" fillId="28" borderId="23" xfId="137" applyNumberFormat="1" applyFont="1" applyFill="1" applyBorder="1" applyAlignment="1">
      <alignment horizontal="center" vertical="center" wrapText="1"/>
    </xf>
    <xf numFmtId="0" fontId="50" fillId="27" borderId="7" xfId="0" applyFont="1" applyFill="1" applyBorder="1" applyAlignment="1">
      <alignment horizontal="left" vertical="center"/>
    </xf>
    <xf numFmtId="0" fontId="50" fillId="27" borderId="7" xfId="0" applyFont="1" applyFill="1" applyBorder="1" applyAlignment="1">
      <alignment horizontal="center" vertical="center"/>
    </xf>
    <xf numFmtId="0" fontId="51" fillId="0" borderId="0" xfId="0" applyFont="1" applyAlignment="1">
      <alignment horizontal="center"/>
    </xf>
  </cellXfs>
  <cellStyles count="140">
    <cellStyle name="@ .....rpm" xfId="2" xr:uid="{00000000-0005-0000-0000-000000000000}"/>
    <cellStyle name="20% - Énfasis1 2" xfId="3" xr:uid="{00000000-0005-0000-0000-000001000000}"/>
    <cellStyle name="20% - Énfasis1 2 2" xfId="4" xr:uid="{00000000-0005-0000-0000-000002000000}"/>
    <cellStyle name="20% - Énfasis2 2" xfId="5" xr:uid="{00000000-0005-0000-0000-000003000000}"/>
    <cellStyle name="20% - Énfasis2 2 2" xfId="6" xr:uid="{00000000-0005-0000-0000-000004000000}"/>
    <cellStyle name="20% - Énfasis3 2" xfId="7" xr:uid="{00000000-0005-0000-0000-000005000000}"/>
    <cellStyle name="20% - Énfasis3 2 2" xfId="8" xr:uid="{00000000-0005-0000-0000-000006000000}"/>
    <cellStyle name="20% - Énfasis4 2" xfId="9" xr:uid="{00000000-0005-0000-0000-000007000000}"/>
    <cellStyle name="20% - Énfasis4 2 2" xfId="10" xr:uid="{00000000-0005-0000-0000-000008000000}"/>
    <cellStyle name="20% - Énfasis5 2" xfId="11" xr:uid="{00000000-0005-0000-0000-000009000000}"/>
    <cellStyle name="20% - Énfasis5 2 2" xfId="12" xr:uid="{00000000-0005-0000-0000-00000A000000}"/>
    <cellStyle name="20% - Énfasis6 2" xfId="13" xr:uid="{00000000-0005-0000-0000-00000B000000}"/>
    <cellStyle name="20% - Énfasis6 2 2" xfId="14" xr:uid="{00000000-0005-0000-0000-00000C000000}"/>
    <cellStyle name="40% - Énfasis1 2" xfId="15" xr:uid="{00000000-0005-0000-0000-00000D000000}"/>
    <cellStyle name="40% - Énfasis1 2 2" xfId="16" xr:uid="{00000000-0005-0000-0000-00000E000000}"/>
    <cellStyle name="40% - Énfasis2 2" xfId="17" xr:uid="{00000000-0005-0000-0000-00000F000000}"/>
    <cellStyle name="40% - Énfasis2 2 2" xfId="18" xr:uid="{00000000-0005-0000-0000-000010000000}"/>
    <cellStyle name="40% - Énfasis3 2" xfId="19" xr:uid="{00000000-0005-0000-0000-000011000000}"/>
    <cellStyle name="40% - Énfasis3 2 2" xfId="20" xr:uid="{00000000-0005-0000-0000-000012000000}"/>
    <cellStyle name="40% - Énfasis4 2" xfId="21" xr:uid="{00000000-0005-0000-0000-000013000000}"/>
    <cellStyle name="40% - Énfasis4 2 2" xfId="22" xr:uid="{00000000-0005-0000-0000-000014000000}"/>
    <cellStyle name="40% - Énfasis5 2" xfId="23" xr:uid="{00000000-0005-0000-0000-000015000000}"/>
    <cellStyle name="40% - Énfasis5 2 2" xfId="24" xr:uid="{00000000-0005-0000-0000-000016000000}"/>
    <cellStyle name="40% - Énfasis6 2" xfId="25" xr:uid="{00000000-0005-0000-0000-000017000000}"/>
    <cellStyle name="40% - Énfasis6 2 2" xfId="26" xr:uid="{00000000-0005-0000-0000-000018000000}"/>
    <cellStyle name="60% - Énfasis1 2" xfId="27" xr:uid="{00000000-0005-0000-0000-000019000000}"/>
    <cellStyle name="60% - Énfasis1 2 2" xfId="28" xr:uid="{00000000-0005-0000-0000-00001A000000}"/>
    <cellStyle name="60% - Énfasis2 2" xfId="29" xr:uid="{00000000-0005-0000-0000-00001B000000}"/>
    <cellStyle name="60% - Énfasis2 2 2" xfId="30" xr:uid="{00000000-0005-0000-0000-00001C000000}"/>
    <cellStyle name="60% - Énfasis3 2" xfId="31" xr:uid="{00000000-0005-0000-0000-00001D000000}"/>
    <cellStyle name="60% - Énfasis3 2 2" xfId="32" xr:uid="{00000000-0005-0000-0000-00001E000000}"/>
    <cellStyle name="60% - Énfasis4 2" xfId="33" xr:uid="{00000000-0005-0000-0000-00001F000000}"/>
    <cellStyle name="60% - Énfasis4 2 2" xfId="34" xr:uid="{00000000-0005-0000-0000-000020000000}"/>
    <cellStyle name="60% - Énfasis5 2" xfId="35" xr:uid="{00000000-0005-0000-0000-000021000000}"/>
    <cellStyle name="60% - Énfasis5 2 2" xfId="36" xr:uid="{00000000-0005-0000-0000-000022000000}"/>
    <cellStyle name="60% - Énfasis6 2" xfId="37" xr:uid="{00000000-0005-0000-0000-000023000000}"/>
    <cellStyle name="60% - Énfasis6 2 2" xfId="38" xr:uid="{00000000-0005-0000-0000-000024000000}"/>
    <cellStyle name="Angulo" xfId="39" xr:uid="{00000000-0005-0000-0000-000025000000}"/>
    <cellStyle name="Buena 2" xfId="40" xr:uid="{00000000-0005-0000-0000-000026000000}"/>
    <cellStyle name="Buena 2 2" xfId="41" xr:uid="{00000000-0005-0000-0000-000027000000}"/>
    <cellStyle name="Cálculo 2" xfId="42" xr:uid="{00000000-0005-0000-0000-000028000000}"/>
    <cellStyle name="Cálculo 2 2" xfId="43" xr:uid="{00000000-0005-0000-0000-000029000000}"/>
    <cellStyle name="cc" xfId="44" xr:uid="{00000000-0005-0000-0000-00002A000000}"/>
    <cellStyle name="Celda de comprobación 2" xfId="45" xr:uid="{00000000-0005-0000-0000-00002B000000}"/>
    <cellStyle name="Celda de comprobación 2 2" xfId="46" xr:uid="{00000000-0005-0000-0000-00002C000000}"/>
    <cellStyle name="Celda vinculada 2" xfId="47" xr:uid="{00000000-0005-0000-0000-00002D000000}"/>
    <cellStyle name="Celda vinculada 2 2" xfId="48" xr:uid="{00000000-0005-0000-0000-00002E000000}"/>
    <cellStyle name="DobleEspacio" xfId="49" xr:uid="{00000000-0005-0000-0000-00002F000000}"/>
    <cellStyle name="Encabezado 4 2" xfId="50" xr:uid="{00000000-0005-0000-0000-000030000000}"/>
    <cellStyle name="Encabezado 4 2 2" xfId="51" xr:uid="{00000000-0005-0000-0000-000031000000}"/>
    <cellStyle name="Énfasis1 2" xfId="52" xr:uid="{00000000-0005-0000-0000-000032000000}"/>
    <cellStyle name="Énfasis1 2 2" xfId="53" xr:uid="{00000000-0005-0000-0000-000033000000}"/>
    <cellStyle name="Énfasis2 2" xfId="54" xr:uid="{00000000-0005-0000-0000-000034000000}"/>
    <cellStyle name="Énfasis2 2 2" xfId="55" xr:uid="{00000000-0005-0000-0000-000035000000}"/>
    <cellStyle name="Énfasis3 2" xfId="56" xr:uid="{00000000-0005-0000-0000-000036000000}"/>
    <cellStyle name="Énfasis3 2 2" xfId="57" xr:uid="{00000000-0005-0000-0000-000037000000}"/>
    <cellStyle name="Énfasis4 2" xfId="58" xr:uid="{00000000-0005-0000-0000-000038000000}"/>
    <cellStyle name="Énfasis4 2 2" xfId="59" xr:uid="{00000000-0005-0000-0000-000039000000}"/>
    <cellStyle name="Énfasis5 2" xfId="60" xr:uid="{00000000-0005-0000-0000-00003A000000}"/>
    <cellStyle name="Énfasis5 2 2" xfId="61" xr:uid="{00000000-0005-0000-0000-00003B000000}"/>
    <cellStyle name="Énfasis6 2" xfId="62" xr:uid="{00000000-0005-0000-0000-00003C000000}"/>
    <cellStyle name="Énfasis6 2 2" xfId="63" xr:uid="{00000000-0005-0000-0000-00003D000000}"/>
    <cellStyle name="Entrada 2" xfId="64" xr:uid="{00000000-0005-0000-0000-00003E000000}"/>
    <cellStyle name="Entrada 2 2" xfId="65" xr:uid="{00000000-0005-0000-0000-00003F000000}"/>
    <cellStyle name="Espacio" xfId="66" xr:uid="{00000000-0005-0000-0000-000040000000}"/>
    <cellStyle name="Euro" xfId="67" xr:uid="{00000000-0005-0000-0000-000041000000}"/>
    <cellStyle name="Evaluación" xfId="68" xr:uid="{00000000-0005-0000-0000-000042000000}"/>
    <cellStyle name="Fecha" xfId="69" xr:uid="{00000000-0005-0000-0000-000043000000}"/>
    <cellStyle name="Incorrecto 2" xfId="70" xr:uid="{00000000-0005-0000-0000-000044000000}"/>
    <cellStyle name="Incorrecto 2 2" xfId="71" xr:uid="{00000000-0005-0000-0000-000045000000}"/>
    <cellStyle name="Kg." xfId="72" xr:uid="{00000000-0005-0000-0000-000046000000}"/>
    <cellStyle name="Kg./m³" xfId="73" xr:uid="{00000000-0005-0000-0000-000047000000}"/>
    <cellStyle name="Kg-m" xfId="74" xr:uid="{00000000-0005-0000-0000-000048000000}"/>
    <cellStyle name="Kilos" xfId="75" xr:uid="{00000000-0005-0000-0000-000049000000}"/>
    <cellStyle name="Km/gal" xfId="76" xr:uid="{00000000-0005-0000-0000-00004A000000}"/>
    <cellStyle name="Km/hr" xfId="77" xr:uid="{00000000-0005-0000-0000-00004B000000}"/>
    <cellStyle name="l/hr" xfId="78" xr:uid="{00000000-0005-0000-0000-00004C000000}"/>
    <cellStyle name="Litros" xfId="79" xr:uid="{00000000-0005-0000-0000-00004D000000}"/>
    <cellStyle name="m" xfId="80" xr:uid="{00000000-0005-0000-0000-00004E000000}"/>
    <cellStyle name="m/m" xfId="81" xr:uid="{00000000-0005-0000-0000-00004F000000}"/>
    <cellStyle name="m²" xfId="82" xr:uid="{00000000-0005-0000-0000-000050000000}"/>
    <cellStyle name="m³" xfId="83" xr:uid="{00000000-0005-0000-0000-000051000000}"/>
    <cellStyle name="Milimetros" xfId="84" xr:uid="{00000000-0005-0000-0000-000052000000}"/>
    <cellStyle name="Millares" xfId="135" builtinId="3"/>
    <cellStyle name="Millares 2" xfId="85" xr:uid="{00000000-0005-0000-0000-000054000000}"/>
    <cellStyle name="Millares 2 2" xfId="86" xr:uid="{00000000-0005-0000-0000-000055000000}"/>
    <cellStyle name="Millares 3" xfId="87" xr:uid="{00000000-0005-0000-0000-000056000000}"/>
    <cellStyle name="Millones" xfId="88" xr:uid="{00000000-0005-0000-0000-000057000000}"/>
    <cellStyle name="Millones (0)" xfId="89" xr:uid="{00000000-0005-0000-0000-000058000000}"/>
    <cellStyle name="Moneda centrado" xfId="90" xr:uid="{00000000-0005-0000-0000-000059000000}"/>
    <cellStyle name="Neutral 2" xfId="91" xr:uid="{00000000-0005-0000-0000-00005A000000}"/>
    <cellStyle name="Neutral 2 2" xfId="92" xr:uid="{00000000-0005-0000-0000-00005B000000}"/>
    <cellStyle name="Normal" xfId="0" builtinId="0"/>
    <cellStyle name="Normal 2" xfId="93" xr:uid="{00000000-0005-0000-0000-00005D000000}"/>
    <cellStyle name="Normal 2 2" xfId="94" xr:uid="{00000000-0005-0000-0000-00005E000000}"/>
    <cellStyle name="Normal 2 3 2" xfId="138" xr:uid="{00000000-0005-0000-0000-00005F000000}"/>
    <cellStyle name="Normal 2_Autom" xfId="95" xr:uid="{00000000-0005-0000-0000-000060000000}"/>
    <cellStyle name="Normal 3" xfId="1" xr:uid="{00000000-0005-0000-0000-000061000000}"/>
    <cellStyle name="Normal 4" xfId="96" xr:uid="{00000000-0005-0000-0000-000062000000}"/>
    <cellStyle name="Normal 5" xfId="97" xr:uid="{00000000-0005-0000-0000-000063000000}"/>
    <cellStyle name="Normal 6" xfId="98" xr:uid="{00000000-0005-0000-0000-000064000000}"/>
    <cellStyle name="Normal 7" xfId="99" xr:uid="{00000000-0005-0000-0000-000065000000}"/>
    <cellStyle name="Normal 8" xfId="100" xr:uid="{00000000-0005-0000-0000-000066000000}"/>
    <cellStyle name="Normal_Hoja1 2" xfId="137" xr:uid="{00000000-0005-0000-0000-000067000000}"/>
    <cellStyle name="Normal_Hoja2 2" xfId="136" xr:uid="{00000000-0005-0000-0000-000068000000}"/>
    <cellStyle name="Notas 2" xfId="101" xr:uid="{00000000-0005-0000-0000-000069000000}"/>
    <cellStyle name="Notas 2 2" xfId="102" xr:uid="{00000000-0005-0000-0000-00006A000000}"/>
    <cellStyle name="Partida" xfId="103" xr:uid="{00000000-0005-0000-0000-00006B000000}"/>
    <cellStyle name="Porcentaje" xfId="134" builtinId="5"/>
    <cellStyle name="Porcentaje 2" xfId="139" xr:uid="{00000000-0005-0000-0000-00006D000000}"/>
    <cellStyle name="PS" xfId="104" xr:uid="{00000000-0005-0000-0000-00006E000000}"/>
    <cellStyle name="Relación" xfId="105" xr:uid="{00000000-0005-0000-0000-00006F000000}"/>
    <cellStyle name="rpm" xfId="106" xr:uid="{00000000-0005-0000-0000-000070000000}"/>
    <cellStyle name="Salida 2" xfId="107" xr:uid="{00000000-0005-0000-0000-000071000000}"/>
    <cellStyle name="Salida 2 2" xfId="108" xr:uid="{00000000-0005-0000-0000-000072000000}"/>
    <cellStyle name="Small 6" xfId="109" xr:uid="{00000000-0005-0000-0000-000073000000}"/>
    <cellStyle name="Soles" xfId="110" xr:uid="{00000000-0005-0000-0000-000074000000}"/>
    <cellStyle name="Subscript" xfId="111" xr:uid="{00000000-0005-0000-0000-000075000000}"/>
    <cellStyle name="Superscript" xfId="112" xr:uid="{00000000-0005-0000-0000-000076000000}"/>
    <cellStyle name="Teléfono" xfId="113" xr:uid="{00000000-0005-0000-0000-000077000000}"/>
    <cellStyle name="Text" xfId="114" xr:uid="{00000000-0005-0000-0000-000078000000}"/>
    <cellStyle name="Texto de advertencia 2" xfId="115" xr:uid="{00000000-0005-0000-0000-000079000000}"/>
    <cellStyle name="Texto de advertencia 2 2" xfId="116" xr:uid="{00000000-0005-0000-0000-00007A000000}"/>
    <cellStyle name="Texto explicativo 2" xfId="117" xr:uid="{00000000-0005-0000-0000-00007B000000}"/>
    <cellStyle name="Texto explicativo 2 2" xfId="118" xr:uid="{00000000-0005-0000-0000-00007C000000}"/>
    <cellStyle name="Time" xfId="119" xr:uid="{00000000-0005-0000-0000-00007D000000}"/>
    <cellStyle name="Title 10" xfId="120" xr:uid="{00000000-0005-0000-0000-00007E000000}"/>
    <cellStyle name="Título 1 2" xfId="121" xr:uid="{00000000-0005-0000-0000-00007F000000}"/>
    <cellStyle name="Título 1 2 2" xfId="122" xr:uid="{00000000-0005-0000-0000-000080000000}"/>
    <cellStyle name="Título 2 2" xfId="123" xr:uid="{00000000-0005-0000-0000-000081000000}"/>
    <cellStyle name="Título 2 2 2" xfId="124" xr:uid="{00000000-0005-0000-0000-000082000000}"/>
    <cellStyle name="Título 3 2" xfId="125" xr:uid="{00000000-0005-0000-0000-000083000000}"/>
    <cellStyle name="Título 3 2 2" xfId="126" xr:uid="{00000000-0005-0000-0000-000084000000}"/>
    <cellStyle name="Título 4" xfId="127" xr:uid="{00000000-0005-0000-0000-000085000000}"/>
    <cellStyle name="Título 4 2" xfId="128" xr:uid="{00000000-0005-0000-0000-000086000000}"/>
    <cellStyle name="Ton" xfId="129" xr:uid="{00000000-0005-0000-0000-000087000000}"/>
    <cellStyle name="Total 2" xfId="130" xr:uid="{00000000-0005-0000-0000-000088000000}"/>
    <cellStyle name="Total 2 2" xfId="131" xr:uid="{00000000-0005-0000-0000-000089000000}"/>
    <cellStyle name="Wrap Text 8" xfId="132" xr:uid="{00000000-0005-0000-0000-00008A000000}"/>
    <cellStyle name="표준_RA-210426(5월오더)" xfId="133" xr:uid="{00000000-0005-0000-0000-00008B000000}"/>
  </cellStyles>
  <dxfs count="33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E9AAE0C-2E73-4A8D-926D-8D1A6ABAEC73}">
      <tableStyleElement type="wholeTable" dxfId="32"/>
      <tableStyleElement type="headerRow" dxfId="31"/>
    </tableStyle>
  </tableStyles>
  <colors>
    <mruColors>
      <color rgb="FF60497A"/>
      <color rgb="FFFF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C:\Users\everde\Desktop\09-%202014%20-%20Reporte%20-%20Setiembre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F:\01.%20AAP\01.%20Gerencia%20de%20Placas\1.3.%20Estad&#237;sticas\01.%20Inmatriculaciones%20e%20Importaciones\2014\11.%20Noviembre\Suministros_Work_Noviembre-2014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showGridLines="0" tabSelected="1"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"/>
    </sheetView>
  </sheetViews>
  <sheetFormatPr baseColWidth="10" defaultRowHeight="15" outlineLevelCol="1" x14ac:dyDescent="0.25"/>
  <cols>
    <col min="1" max="1" width="4.42578125" style="3" customWidth="1"/>
    <col min="2" max="2" width="25.28515625" style="26" customWidth="1"/>
    <col min="3" max="3" width="1" style="55" customWidth="1"/>
    <col min="4" max="4" width="13" style="56" bestFit="1" customWidth="1"/>
    <col min="5" max="14" width="8.85546875" style="56" hidden="1" customWidth="1" outlineLevel="1"/>
    <col min="15" max="15" width="10.28515625" style="56" hidden="1" customWidth="1" outlineLevel="1"/>
    <col min="16" max="16" width="16.5703125" style="56" bestFit="1" customWidth="1" collapsed="1"/>
    <col min="17" max="17" width="13" style="56" bestFit="1" customWidth="1"/>
    <col min="18" max="18" width="1.140625" style="26" customWidth="1"/>
    <col min="19" max="19" width="13" style="26" bestFit="1" customWidth="1"/>
    <col min="20" max="20" width="13.7109375" style="26" customWidth="1"/>
    <col min="21" max="21" width="6.28515625" style="26" customWidth="1"/>
    <col min="22" max="22" width="9.5703125" style="26" customWidth="1"/>
    <col min="23" max="23" width="6.28515625" style="26" customWidth="1"/>
    <col min="24" max="24" width="8.5703125" style="26" customWidth="1"/>
    <col min="25" max="25" width="1.140625" style="26" customWidth="1"/>
    <col min="26" max="26" width="14.5703125" style="26" bestFit="1" customWidth="1"/>
    <col min="27" max="27" width="6.28515625" style="26" customWidth="1"/>
    <col min="28" max="28" width="8.5703125" style="26" bestFit="1" customWidth="1"/>
    <col min="29" max="16384" width="11.42578125" style="26"/>
  </cols>
  <sheetData>
    <row r="1" spans="1:29" ht="36" customHeight="1" x14ac:dyDescent="0.25">
      <c r="B1" s="86" t="s">
        <v>28</v>
      </c>
      <c r="C1" s="57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81"/>
      <c r="Q1" s="23"/>
    </row>
    <row r="2" spans="1:29" s="61" customFormat="1" ht="38.1" customHeight="1" x14ac:dyDescent="0.25">
      <c r="A2" s="58" t="s">
        <v>20</v>
      </c>
      <c r="B2" s="59" t="s">
        <v>25</v>
      </c>
      <c r="C2" s="60"/>
      <c r="D2" s="30">
        <v>45658</v>
      </c>
      <c r="E2" s="30">
        <v>45689</v>
      </c>
      <c r="F2" s="30">
        <v>45717</v>
      </c>
      <c r="G2" s="30">
        <v>45748</v>
      </c>
      <c r="H2" s="30">
        <v>45778</v>
      </c>
      <c r="I2" s="30">
        <v>45809</v>
      </c>
      <c r="J2" s="30">
        <v>45839</v>
      </c>
      <c r="K2" s="30">
        <v>45870</v>
      </c>
      <c r="L2" s="30">
        <v>45901</v>
      </c>
      <c r="M2" s="30">
        <v>45931</v>
      </c>
      <c r="N2" s="30">
        <v>45962</v>
      </c>
      <c r="O2" s="30">
        <v>45992</v>
      </c>
      <c r="P2" s="89" t="s">
        <v>123</v>
      </c>
      <c r="Q2" s="90" t="s">
        <v>124</v>
      </c>
      <c r="R2" s="31"/>
      <c r="S2" s="32" t="s">
        <v>125</v>
      </c>
      <c r="T2" s="32" t="s">
        <v>126</v>
      </c>
      <c r="U2" s="137" t="s">
        <v>127</v>
      </c>
      <c r="V2" s="138"/>
      <c r="W2" s="137" t="s">
        <v>128</v>
      </c>
      <c r="X2" s="138"/>
      <c r="Y2" s="29"/>
      <c r="Z2" s="33" t="s">
        <v>130</v>
      </c>
      <c r="AA2" s="137" t="s">
        <v>129</v>
      </c>
      <c r="AB2" s="138"/>
    </row>
    <row r="3" spans="1:29" ht="6" customHeight="1" x14ac:dyDescent="0.25">
      <c r="B3" s="62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29" s="55" customFormat="1" x14ac:dyDescent="0.25">
      <c r="A4" s="6">
        <v>1</v>
      </c>
      <c r="B4" s="63" t="s">
        <v>27</v>
      </c>
      <c r="C4" s="64"/>
      <c r="D4" s="65">
        <v>52094664.970999941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>
        <f t="shared" ref="P4:P21" si="0">+SUM(D4:O4)</f>
        <v>52094664.970999941</v>
      </c>
      <c r="Q4" s="67">
        <f t="shared" ref="Q4:Q21" si="1">+P4/$P$23</f>
        <v>0.25580598305169994</v>
      </c>
      <c r="S4" s="68">
        <v>41835739.712000035</v>
      </c>
      <c r="T4" s="68">
        <v>61744130.426999912</v>
      </c>
      <c r="U4" s="14">
        <f t="shared" ref="U4:U21" si="2">+V4</f>
        <v>-0.15628150221353485</v>
      </c>
      <c r="V4" s="17">
        <f>IFERROR((D4-T4)/T4,0)</f>
        <v>-0.15628150221353485</v>
      </c>
      <c r="W4" s="14">
        <f t="shared" ref="W4:W21" si="3">+X4</f>
        <v>0.24521916738231517</v>
      </c>
      <c r="X4" s="17">
        <f>IFERROR((D4-S4)/S4,0)</f>
        <v>0.24521916738231517</v>
      </c>
      <c r="Z4" s="68">
        <v>41835739.712000035</v>
      </c>
      <c r="AA4" s="14">
        <f t="shared" ref="AA4:AA21" si="4">+AB4</f>
        <v>0.24521916738231517</v>
      </c>
      <c r="AB4" s="15">
        <f t="shared" ref="AB4:AB21" si="5">IFERROR((P4-Z4)/Z4,0)</f>
        <v>0.24521916738231517</v>
      </c>
      <c r="AC4" s="93"/>
    </row>
    <row r="5" spans="1:29" s="55" customFormat="1" x14ac:dyDescent="0.25">
      <c r="A5" s="6">
        <v>2</v>
      </c>
      <c r="B5" s="69" t="s">
        <v>4</v>
      </c>
      <c r="C5" s="64"/>
      <c r="D5" s="70">
        <v>34454854.216999941</v>
      </c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>
        <f t="shared" si="0"/>
        <v>34454854.216999941</v>
      </c>
      <c r="Q5" s="72">
        <f t="shared" si="1"/>
        <v>0.16918734113731457</v>
      </c>
      <c r="S5" s="73">
        <v>32961384.537000019</v>
      </c>
      <c r="T5" s="73">
        <v>30973573.313000016</v>
      </c>
      <c r="U5" s="16">
        <f t="shared" si="2"/>
        <v>0.11239519795860252</v>
      </c>
      <c r="V5" s="17">
        <f t="shared" ref="V5:V23" si="6">IFERROR((D5-T5)/T5,0)</f>
        <v>0.11239519795860252</v>
      </c>
      <c r="W5" s="16">
        <f t="shared" si="3"/>
        <v>4.5309676792352656E-2</v>
      </c>
      <c r="X5" s="17">
        <f t="shared" ref="X5:X23" si="7">IFERROR((D5-S5)/S5,0)</f>
        <v>4.5309676792352656E-2</v>
      </c>
      <c r="Z5" s="73">
        <v>32961384.537000019</v>
      </c>
      <c r="AA5" s="16">
        <f t="shared" si="4"/>
        <v>4.5309676792352656E-2</v>
      </c>
      <c r="AB5" s="17">
        <f t="shared" si="5"/>
        <v>4.5309676792352656E-2</v>
      </c>
      <c r="AC5" s="93"/>
    </row>
    <row r="6" spans="1:29" s="55" customFormat="1" x14ac:dyDescent="0.25">
      <c r="A6" s="6">
        <v>3</v>
      </c>
      <c r="B6" s="69" t="s">
        <v>16</v>
      </c>
      <c r="C6" s="64"/>
      <c r="D6" s="70">
        <v>27943760.794000018</v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>
        <f t="shared" si="0"/>
        <v>27943760.794000018</v>
      </c>
      <c r="Q6" s="72">
        <f t="shared" si="1"/>
        <v>0.13721522547558326</v>
      </c>
      <c r="S6" s="73">
        <v>30008898.422000013</v>
      </c>
      <c r="T6" s="73">
        <v>41812799.808000013</v>
      </c>
      <c r="U6" s="16">
        <f t="shared" si="2"/>
        <v>-0.33169362199338875</v>
      </c>
      <c r="V6" s="17">
        <f t="shared" si="6"/>
        <v>-0.33169362199338875</v>
      </c>
      <c r="W6" s="16">
        <f t="shared" si="3"/>
        <v>-6.8817508692222071E-2</v>
      </c>
      <c r="X6" s="17">
        <f t="shared" si="7"/>
        <v>-6.8817508692222071E-2</v>
      </c>
      <c r="Z6" s="73">
        <v>30008898.422000013</v>
      </c>
      <c r="AA6" s="16">
        <f t="shared" si="4"/>
        <v>-6.8817508692222071E-2</v>
      </c>
      <c r="AB6" s="17">
        <f t="shared" si="5"/>
        <v>-6.8817508692222071E-2</v>
      </c>
      <c r="AC6" s="93"/>
    </row>
    <row r="7" spans="1:29" s="55" customFormat="1" x14ac:dyDescent="0.25">
      <c r="A7" s="6">
        <v>4</v>
      </c>
      <c r="B7" s="69" t="s">
        <v>17</v>
      </c>
      <c r="C7" s="64"/>
      <c r="D7" s="70">
        <v>19477212.154000014</v>
      </c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>
        <f t="shared" si="0"/>
        <v>19477212.154000014</v>
      </c>
      <c r="Q7" s="72">
        <f t="shared" si="1"/>
        <v>9.5641029747174436E-2</v>
      </c>
      <c r="S7" s="73">
        <v>16092386.350000011</v>
      </c>
      <c r="T7" s="73">
        <v>16954704.631000005</v>
      </c>
      <c r="U7" s="16">
        <f t="shared" si="2"/>
        <v>0.14877920777150275</v>
      </c>
      <c r="V7" s="17">
        <f t="shared" si="6"/>
        <v>0.14877920777150275</v>
      </c>
      <c r="W7" s="16">
        <f t="shared" si="3"/>
        <v>0.21033709546750975</v>
      </c>
      <c r="X7" s="17">
        <f t="shared" si="7"/>
        <v>0.21033709546750975</v>
      </c>
      <c r="Z7" s="73">
        <v>16092386.350000011</v>
      </c>
      <c r="AA7" s="16">
        <f t="shared" si="4"/>
        <v>0.21033709546750975</v>
      </c>
      <c r="AB7" s="17">
        <f t="shared" si="5"/>
        <v>0.21033709546750975</v>
      </c>
      <c r="AC7" s="93"/>
    </row>
    <row r="8" spans="1:29" s="55" customFormat="1" x14ac:dyDescent="0.25">
      <c r="A8" s="6">
        <v>5</v>
      </c>
      <c r="B8" s="69" t="s">
        <v>26</v>
      </c>
      <c r="C8" s="64"/>
      <c r="D8" s="70">
        <v>13669003.880000012</v>
      </c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>
        <f t="shared" si="0"/>
        <v>13669003.880000012</v>
      </c>
      <c r="Q8" s="72">
        <f t="shared" si="1"/>
        <v>6.712036591093154E-2</v>
      </c>
      <c r="S8" s="73">
        <v>9329506.5599999931</v>
      </c>
      <c r="T8" s="73">
        <v>11597525.982000012</v>
      </c>
      <c r="U8" s="16">
        <f t="shared" si="2"/>
        <v>0.17861377514609977</v>
      </c>
      <c r="V8" s="17">
        <f t="shared" si="6"/>
        <v>0.17861377514609977</v>
      </c>
      <c r="W8" s="16">
        <f t="shared" si="3"/>
        <v>0.46513685285409373</v>
      </c>
      <c r="X8" s="17">
        <f t="shared" si="7"/>
        <v>0.46513685285409373</v>
      </c>
      <c r="Z8" s="73">
        <v>9329506.5599999931</v>
      </c>
      <c r="AA8" s="16">
        <f t="shared" si="4"/>
        <v>0.46513685285409373</v>
      </c>
      <c r="AB8" s="17">
        <f t="shared" si="5"/>
        <v>0.46513685285409373</v>
      </c>
      <c r="AC8" s="93"/>
    </row>
    <row r="9" spans="1:29" s="55" customFormat="1" x14ac:dyDescent="0.25">
      <c r="A9" s="6">
        <v>6</v>
      </c>
      <c r="B9" s="69" t="s">
        <v>9</v>
      </c>
      <c r="C9" s="64"/>
      <c r="D9" s="70">
        <v>9063246.6989999842</v>
      </c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>
        <f t="shared" si="0"/>
        <v>9063246.6989999842</v>
      </c>
      <c r="Q9" s="72">
        <f t="shared" si="1"/>
        <v>4.4504225773759953E-2</v>
      </c>
      <c r="S9" s="73">
        <v>7894586.4120000079</v>
      </c>
      <c r="T9" s="73">
        <v>8869698.1990000047</v>
      </c>
      <c r="U9" s="16">
        <f t="shared" si="2"/>
        <v>2.1821317440293597E-2</v>
      </c>
      <c r="V9" s="17">
        <f t="shared" si="6"/>
        <v>2.1821317440293597E-2</v>
      </c>
      <c r="W9" s="16">
        <f t="shared" si="3"/>
        <v>0.148033123714192</v>
      </c>
      <c r="X9" s="17">
        <f t="shared" si="7"/>
        <v>0.148033123714192</v>
      </c>
      <c r="Z9" s="73">
        <v>7894586.4120000079</v>
      </c>
      <c r="AA9" s="16">
        <f t="shared" si="4"/>
        <v>0.148033123714192</v>
      </c>
      <c r="AB9" s="17">
        <f t="shared" si="5"/>
        <v>0.148033123714192</v>
      </c>
      <c r="AC9" s="93"/>
    </row>
    <row r="10" spans="1:29" s="55" customFormat="1" x14ac:dyDescent="0.25">
      <c r="A10" s="6">
        <v>7</v>
      </c>
      <c r="B10" s="69" t="s">
        <v>5</v>
      </c>
      <c r="C10" s="64"/>
      <c r="D10" s="70">
        <v>8541416.0850000028</v>
      </c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>
        <f t="shared" si="0"/>
        <v>8541416.0850000028</v>
      </c>
      <c r="Q10" s="72">
        <f t="shared" si="1"/>
        <v>4.1941825319221138E-2</v>
      </c>
      <c r="S10" s="73">
        <v>7661965.8389999969</v>
      </c>
      <c r="T10" s="73">
        <v>9691992.4980000146</v>
      </c>
      <c r="U10" s="16">
        <f t="shared" si="2"/>
        <v>-0.11871412542234616</v>
      </c>
      <c r="V10" s="17">
        <f t="shared" si="6"/>
        <v>-0.11871412542234616</v>
      </c>
      <c r="W10" s="16">
        <f t="shared" si="3"/>
        <v>0.11478127995866756</v>
      </c>
      <c r="X10" s="17">
        <f t="shared" si="7"/>
        <v>0.11478127995866756</v>
      </c>
      <c r="Z10" s="73">
        <v>7661965.8389999969</v>
      </c>
      <c r="AA10" s="16">
        <f t="shared" si="4"/>
        <v>0.11478127995866756</v>
      </c>
      <c r="AB10" s="17">
        <f t="shared" si="5"/>
        <v>0.11478127995866756</v>
      </c>
      <c r="AC10" s="93"/>
    </row>
    <row r="11" spans="1:29" s="55" customFormat="1" x14ac:dyDescent="0.25">
      <c r="A11" s="6">
        <v>8</v>
      </c>
      <c r="B11" s="69" t="s">
        <v>14</v>
      </c>
      <c r="C11" s="64"/>
      <c r="D11" s="70">
        <v>6967813.6639999924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>
        <f t="shared" si="0"/>
        <v>6967813.6639999924</v>
      </c>
      <c r="Q11" s="72">
        <f t="shared" si="1"/>
        <v>3.4214797715520703E-2</v>
      </c>
      <c r="S11" s="73">
        <v>6570598.516999987</v>
      </c>
      <c r="T11" s="73">
        <v>8055502.8390000109</v>
      </c>
      <c r="U11" s="16">
        <f t="shared" si="2"/>
        <v>-0.13502436740932752</v>
      </c>
      <c r="V11" s="17">
        <f t="shared" si="6"/>
        <v>-0.13502436740932752</v>
      </c>
      <c r="W11" s="16">
        <f t="shared" si="3"/>
        <v>6.0453419269538101E-2</v>
      </c>
      <c r="X11" s="17">
        <f t="shared" si="7"/>
        <v>6.0453419269538101E-2</v>
      </c>
      <c r="Z11" s="73">
        <v>6570598.516999987</v>
      </c>
      <c r="AA11" s="16">
        <f t="shared" si="4"/>
        <v>6.0453419269538101E-2</v>
      </c>
      <c r="AB11" s="17">
        <f t="shared" si="5"/>
        <v>6.0453419269538101E-2</v>
      </c>
      <c r="AC11" s="93"/>
    </row>
    <row r="12" spans="1:29" s="55" customFormat="1" x14ac:dyDescent="0.25">
      <c r="A12" s="6">
        <v>9</v>
      </c>
      <c r="B12" s="69" t="s">
        <v>8</v>
      </c>
      <c r="C12" s="64"/>
      <c r="D12" s="70">
        <v>6040558.1719999928</v>
      </c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>
        <f t="shared" si="0"/>
        <v>6040558.1719999928</v>
      </c>
      <c r="Q12" s="72">
        <f t="shared" si="1"/>
        <v>2.9661596292626619E-2</v>
      </c>
      <c r="S12" s="73">
        <v>3905878.995999997</v>
      </c>
      <c r="T12" s="73">
        <v>5814410.5039999997</v>
      </c>
      <c r="U12" s="16">
        <f t="shared" si="2"/>
        <v>3.889434154062836E-2</v>
      </c>
      <c r="V12" s="17">
        <f t="shared" si="6"/>
        <v>3.889434154062836E-2</v>
      </c>
      <c r="W12" s="16">
        <f t="shared" si="3"/>
        <v>0.54652977682772985</v>
      </c>
      <c r="X12" s="17">
        <f t="shared" si="7"/>
        <v>0.54652977682772985</v>
      </c>
      <c r="Z12" s="73">
        <v>3905878.995999997</v>
      </c>
      <c r="AA12" s="16">
        <f t="shared" si="4"/>
        <v>0.54652977682772985</v>
      </c>
      <c r="AB12" s="17">
        <f t="shared" si="5"/>
        <v>0.54652977682772985</v>
      </c>
      <c r="AC12" s="93"/>
    </row>
    <row r="13" spans="1:29" s="55" customFormat="1" x14ac:dyDescent="0.25">
      <c r="A13" s="6">
        <v>10</v>
      </c>
      <c r="B13" s="69" t="s">
        <v>7</v>
      </c>
      <c r="C13" s="64"/>
      <c r="D13" s="70">
        <v>4564700.9070000015</v>
      </c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>
        <f t="shared" si="0"/>
        <v>4564700.9070000015</v>
      </c>
      <c r="Q13" s="72">
        <f t="shared" si="1"/>
        <v>2.2414537141224433E-2</v>
      </c>
      <c r="S13" s="73">
        <v>4925436.5639999984</v>
      </c>
      <c r="T13" s="73">
        <v>6145938.2230000012</v>
      </c>
      <c r="U13" s="16">
        <f t="shared" si="2"/>
        <v>-0.25728168078268682</v>
      </c>
      <c r="V13" s="17">
        <f t="shared" si="6"/>
        <v>-0.25728168078268682</v>
      </c>
      <c r="W13" s="16">
        <f t="shared" si="3"/>
        <v>-7.3239326567844307E-2</v>
      </c>
      <c r="X13" s="17">
        <f t="shared" si="7"/>
        <v>-7.3239326567844307E-2</v>
      </c>
      <c r="Z13" s="73">
        <v>4925436.5639999984</v>
      </c>
      <c r="AA13" s="16">
        <f t="shared" si="4"/>
        <v>-7.3239326567844307E-2</v>
      </c>
      <c r="AB13" s="17">
        <f t="shared" si="5"/>
        <v>-7.3239326567844307E-2</v>
      </c>
      <c r="AC13" s="93"/>
    </row>
    <row r="14" spans="1:29" s="55" customFormat="1" x14ac:dyDescent="0.25">
      <c r="A14" s="6">
        <v>11</v>
      </c>
      <c r="B14" s="69" t="s">
        <v>3</v>
      </c>
      <c r="C14" s="64"/>
      <c r="D14" s="70">
        <v>4396901.3779999986</v>
      </c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>
        <f t="shared" si="0"/>
        <v>4396901.3779999986</v>
      </c>
      <c r="Q14" s="72">
        <f t="shared" si="1"/>
        <v>2.1590573238292089E-2</v>
      </c>
      <c r="S14" s="73">
        <v>4309228.098000004</v>
      </c>
      <c r="T14" s="73">
        <v>4330934.4999999963</v>
      </c>
      <c r="U14" s="16">
        <f t="shared" si="2"/>
        <v>1.5231557531059961E-2</v>
      </c>
      <c r="V14" s="17">
        <f t="shared" si="6"/>
        <v>1.5231557531059961E-2</v>
      </c>
      <c r="W14" s="16">
        <f t="shared" si="3"/>
        <v>2.034547209062466E-2</v>
      </c>
      <c r="X14" s="17">
        <f t="shared" si="7"/>
        <v>2.034547209062466E-2</v>
      </c>
      <c r="Z14" s="73">
        <v>4309228.098000004</v>
      </c>
      <c r="AA14" s="16">
        <f t="shared" si="4"/>
        <v>2.034547209062466E-2</v>
      </c>
      <c r="AB14" s="17">
        <f t="shared" si="5"/>
        <v>2.034547209062466E-2</v>
      </c>
      <c r="AC14" s="93"/>
    </row>
    <row r="15" spans="1:29" s="55" customFormat="1" x14ac:dyDescent="0.25">
      <c r="A15" s="6">
        <v>12</v>
      </c>
      <c r="B15" s="69" t="s">
        <v>6</v>
      </c>
      <c r="C15" s="64"/>
      <c r="D15" s="70">
        <v>4256361.2240000004</v>
      </c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>
        <f t="shared" si="0"/>
        <v>4256361.2240000004</v>
      </c>
      <c r="Q15" s="72">
        <f t="shared" si="1"/>
        <v>2.0900463948363455E-2</v>
      </c>
      <c r="S15" s="73">
        <v>2130345.9820000012</v>
      </c>
      <c r="T15" s="73">
        <v>2719993.0259999996</v>
      </c>
      <c r="U15" s="16">
        <f t="shared" si="2"/>
        <v>0.56484269750476968</v>
      </c>
      <c r="V15" s="17">
        <f t="shared" si="6"/>
        <v>0.56484269750476968</v>
      </c>
      <c r="W15" s="16">
        <f t="shared" si="3"/>
        <v>0.99796711893908596</v>
      </c>
      <c r="X15" s="17">
        <f t="shared" si="7"/>
        <v>0.99796711893908596</v>
      </c>
      <c r="Z15" s="73">
        <v>2130345.9820000012</v>
      </c>
      <c r="AA15" s="16">
        <f t="shared" si="4"/>
        <v>0.99796711893908596</v>
      </c>
      <c r="AB15" s="17">
        <f t="shared" si="5"/>
        <v>0.99796711893908596</v>
      </c>
      <c r="AC15" s="93"/>
    </row>
    <row r="16" spans="1:29" s="55" customFormat="1" x14ac:dyDescent="0.25">
      <c r="A16" s="6">
        <v>13</v>
      </c>
      <c r="B16" s="69" t="s">
        <v>2</v>
      </c>
      <c r="C16" s="64"/>
      <c r="D16" s="70">
        <v>2958691.9890000005</v>
      </c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>
        <f t="shared" si="0"/>
        <v>2958691.9890000005</v>
      </c>
      <c r="Q16" s="72">
        <f t="shared" si="1"/>
        <v>1.4528380463040858E-2</v>
      </c>
      <c r="S16" s="73">
        <v>2630600.2910000011</v>
      </c>
      <c r="T16" s="73">
        <v>2896068.5519999946</v>
      </c>
      <c r="U16" s="16">
        <f t="shared" si="2"/>
        <v>2.16236031280264E-2</v>
      </c>
      <c r="V16" s="17">
        <f t="shared" si="6"/>
        <v>2.16236031280264E-2</v>
      </c>
      <c r="W16" s="16">
        <f t="shared" si="3"/>
        <v>0.12472122774504751</v>
      </c>
      <c r="X16" s="17">
        <f t="shared" si="7"/>
        <v>0.12472122774504751</v>
      </c>
      <c r="Z16" s="73">
        <v>2630600.2910000011</v>
      </c>
      <c r="AA16" s="16">
        <f t="shared" si="4"/>
        <v>0.12472122774504751</v>
      </c>
      <c r="AB16" s="17">
        <f t="shared" si="5"/>
        <v>0.12472122774504751</v>
      </c>
      <c r="AC16" s="93"/>
    </row>
    <row r="17" spans="1:30" s="55" customFormat="1" x14ac:dyDescent="0.25">
      <c r="A17" s="6">
        <v>14</v>
      </c>
      <c r="B17" s="69" t="s">
        <v>0</v>
      </c>
      <c r="C17" s="64"/>
      <c r="D17" s="70">
        <v>2940098.9809999987</v>
      </c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>
        <f t="shared" si="0"/>
        <v>2940098.9809999987</v>
      </c>
      <c r="Q17" s="72">
        <f t="shared" si="1"/>
        <v>1.4437081235145328E-2</v>
      </c>
      <c r="S17" s="73">
        <v>2028451.9419999998</v>
      </c>
      <c r="T17" s="73">
        <v>3069447.6999999983</v>
      </c>
      <c r="U17" s="16">
        <f t="shared" si="2"/>
        <v>-4.2140714435368827E-2</v>
      </c>
      <c r="V17" s="17">
        <f t="shared" si="6"/>
        <v>-4.2140714435368827E-2</v>
      </c>
      <c r="W17" s="16">
        <f t="shared" si="3"/>
        <v>0.44942994217607107</v>
      </c>
      <c r="X17" s="17">
        <f t="shared" si="7"/>
        <v>0.44942994217607107</v>
      </c>
      <c r="Z17" s="73">
        <v>2028451.9419999998</v>
      </c>
      <c r="AA17" s="16">
        <f t="shared" si="4"/>
        <v>0.44942994217607107</v>
      </c>
      <c r="AB17" s="17">
        <f t="shared" si="5"/>
        <v>0.44942994217607107</v>
      </c>
      <c r="AC17" s="93"/>
    </row>
    <row r="18" spans="1:30" s="55" customFormat="1" x14ac:dyDescent="0.25">
      <c r="A18" s="6">
        <v>15</v>
      </c>
      <c r="B18" s="69" t="s">
        <v>10</v>
      </c>
      <c r="C18" s="64"/>
      <c r="D18" s="70">
        <v>2098049.9279999994</v>
      </c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>
        <f t="shared" si="0"/>
        <v>2098049.9279999994</v>
      </c>
      <c r="Q18" s="72">
        <f t="shared" si="1"/>
        <v>1.0302278066714791E-2</v>
      </c>
      <c r="S18" s="73">
        <v>2617065.4619999998</v>
      </c>
      <c r="T18" s="73">
        <v>1792578.3780000012</v>
      </c>
      <c r="U18" s="16">
        <f t="shared" si="2"/>
        <v>0.17040903413150393</v>
      </c>
      <c r="V18" s="17">
        <f t="shared" si="6"/>
        <v>0.17040903413150393</v>
      </c>
      <c r="W18" s="16">
        <f t="shared" si="3"/>
        <v>-0.19831966052670352</v>
      </c>
      <c r="X18" s="17">
        <f t="shared" si="7"/>
        <v>-0.19831966052670352</v>
      </c>
      <c r="Z18" s="73">
        <v>2617065.4619999998</v>
      </c>
      <c r="AA18" s="16">
        <f t="shared" si="4"/>
        <v>-0.19831966052670352</v>
      </c>
      <c r="AB18" s="17">
        <f t="shared" si="5"/>
        <v>-0.19831966052670352</v>
      </c>
      <c r="AC18" s="93"/>
    </row>
    <row r="19" spans="1:30" s="55" customFormat="1" x14ac:dyDescent="0.25">
      <c r="A19" s="6">
        <v>16</v>
      </c>
      <c r="B19" s="69" t="s">
        <v>11</v>
      </c>
      <c r="C19" s="64"/>
      <c r="D19" s="70">
        <v>1602007.0160000001</v>
      </c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>
        <f t="shared" si="0"/>
        <v>1602007.0160000001</v>
      </c>
      <c r="Q19" s="72">
        <f t="shared" si="1"/>
        <v>7.8665057124703563E-3</v>
      </c>
      <c r="S19" s="73">
        <v>1392775.5240000004</v>
      </c>
      <c r="T19" s="73">
        <v>1942101.7750000006</v>
      </c>
      <c r="U19" s="16">
        <f t="shared" si="2"/>
        <v>-0.17511685709674019</v>
      </c>
      <c r="V19" s="17">
        <f t="shared" si="6"/>
        <v>-0.17511685709674019</v>
      </c>
      <c r="W19" s="16">
        <f t="shared" si="3"/>
        <v>0.15022628441882321</v>
      </c>
      <c r="X19" s="17">
        <f t="shared" si="7"/>
        <v>0.15022628441882321</v>
      </c>
      <c r="Z19" s="73">
        <v>1392775.5240000004</v>
      </c>
      <c r="AA19" s="16">
        <f t="shared" si="4"/>
        <v>0.15022628441882321</v>
      </c>
      <c r="AB19" s="17">
        <f t="shared" si="5"/>
        <v>0.15022628441882321</v>
      </c>
      <c r="AC19" s="93"/>
    </row>
    <row r="20" spans="1:30" s="55" customFormat="1" x14ac:dyDescent="0.25">
      <c r="A20" s="6">
        <v>17</v>
      </c>
      <c r="B20" s="69" t="s">
        <v>13</v>
      </c>
      <c r="C20" s="64"/>
      <c r="D20" s="70">
        <v>1576578.3890000002</v>
      </c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>
        <f t="shared" si="0"/>
        <v>1576578.3890000002</v>
      </c>
      <c r="Q20" s="72">
        <f t="shared" si="1"/>
        <v>7.7416408164006521E-3</v>
      </c>
      <c r="S20" s="73">
        <v>862943.84200000018</v>
      </c>
      <c r="T20" s="73">
        <v>1187410.174000001</v>
      </c>
      <c r="U20" s="16">
        <f t="shared" si="2"/>
        <v>0.32774539373283051</v>
      </c>
      <c r="V20" s="17">
        <f t="shared" si="6"/>
        <v>0.32774539373283051</v>
      </c>
      <c r="W20" s="16">
        <f t="shared" si="3"/>
        <v>0.82697681154551872</v>
      </c>
      <c r="X20" s="17">
        <f t="shared" si="7"/>
        <v>0.82697681154551872</v>
      </c>
      <c r="Z20" s="73">
        <v>862943.84200000018</v>
      </c>
      <c r="AA20" s="16">
        <f t="shared" si="4"/>
        <v>0.82697681154551872</v>
      </c>
      <c r="AB20" s="17">
        <f t="shared" si="5"/>
        <v>0.82697681154551872</v>
      </c>
      <c r="AC20" s="93"/>
    </row>
    <row r="21" spans="1:30" s="55" customFormat="1" x14ac:dyDescent="0.25">
      <c r="A21" s="6">
        <v>18</v>
      </c>
      <c r="B21" s="74" t="s">
        <v>12</v>
      </c>
      <c r="C21" s="64"/>
      <c r="D21" s="75">
        <v>1003205.9310000002</v>
      </c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>
        <f t="shared" si="0"/>
        <v>1003205.9310000002</v>
      </c>
      <c r="Q21" s="77">
        <f t="shared" si="1"/>
        <v>4.9261489545159663E-3</v>
      </c>
      <c r="S21" s="78">
        <v>825729.77300000004</v>
      </c>
      <c r="T21" s="78">
        <v>536458.99199999997</v>
      </c>
      <c r="U21" s="18">
        <f t="shared" si="2"/>
        <v>0.87005147823116413</v>
      </c>
      <c r="V21" s="19">
        <f t="shared" si="6"/>
        <v>0.87005147823116413</v>
      </c>
      <c r="W21" s="18">
        <f t="shared" si="3"/>
        <v>0.21493249220650321</v>
      </c>
      <c r="X21" s="19">
        <f t="shared" si="7"/>
        <v>0.21493249220650321</v>
      </c>
      <c r="Z21" s="78">
        <v>825729.77300000004</v>
      </c>
      <c r="AA21" s="18">
        <f t="shared" si="4"/>
        <v>0.21493249220650321</v>
      </c>
      <c r="AB21" s="19">
        <f t="shared" si="5"/>
        <v>0.21493249220650321</v>
      </c>
      <c r="AC21" s="93"/>
    </row>
    <row r="22" spans="1:30" ht="6" customHeight="1" x14ac:dyDescent="0.25">
      <c r="B22" s="62"/>
      <c r="C22" s="4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80"/>
      <c r="V22" s="81"/>
      <c r="X22" s="81"/>
      <c r="AB22" s="81"/>
    </row>
    <row r="23" spans="1:30" s="23" customFormat="1" x14ac:dyDescent="0.25">
      <c r="B23" s="59" t="s">
        <v>1</v>
      </c>
      <c r="C23" s="82"/>
      <c r="D23" s="83">
        <f>SUM(D4:D21)</f>
        <v>203649126.37899989</v>
      </c>
      <c r="E23" s="84">
        <f t="shared" ref="E23:Z23" si="8">SUM(E4:E21)</f>
        <v>0</v>
      </c>
      <c r="F23" s="84">
        <f t="shared" si="8"/>
        <v>0</v>
      </c>
      <c r="G23" s="84">
        <f t="shared" si="8"/>
        <v>0</v>
      </c>
      <c r="H23" s="84">
        <f t="shared" si="8"/>
        <v>0</v>
      </c>
      <c r="I23" s="84">
        <f t="shared" si="8"/>
        <v>0</v>
      </c>
      <c r="J23" s="84">
        <f t="shared" si="8"/>
        <v>0</v>
      </c>
      <c r="K23" s="84">
        <f t="shared" si="8"/>
        <v>0</v>
      </c>
      <c r="L23" s="84">
        <f t="shared" ref="L23:O23" si="9">SUM(L4:L21)</f>
        <v>0</v>
      </c>
      <c r="M23" s="84">
        <f t="shared" si="9"/>
        <v>0</v>
      </c>
      <c r="N23" s="84">
        <f t="shared" si="9"/>
        <v>0</v>
      </c>
      <c r="O23" s="84">
        <f t="shared" si="9"/>
        <v>0</v>
      </c>
      <c r="P23" s="84">
        <f>SUM(P4:P21)</f>
        <v>203649126.37899989</v>
      </c>
      <c r="Q23" s="85">
        <f t="shared" si="8"/>
        <v>1</v>
      </c>
      <c r="R23" s="23">
        <f t="shared" si="8"/>
        <v>0</v>
      </c>
      <c r="S23" s="83">
        <f t="shared" ref="S23" si="10">SUM(S4:S21)</f>
        <v>177983522.82300004</v>
      </c>
      <c r="T23" s="83">
        <f t="shared" si="8"/>
        <v>220135269.52099997</v>
      </c>
      <c r="U23" s="20">
        <f t="shared" ref="U23" si="11">+V23</f>
        <v>-7.4890966712752818E-2</v>
      </c>
      <c r="V23" s="21">
        <f t="shared" si="6"/>
        <v>-7.4890966712752818E-2</v>
      </c>
      <c r="W23" s="20">
        <f t="shared" ref="W23" si="12">+X23</f>
        <v>0.14420213258461917</v>
      </c>
      <c r="X23" s="21">
        <f t="shared" si="7"/>
        <v>0.14420213258461917</v>
      </c>
      <c r="Y23" s="23">
        <f t="shared" si="8"/>
        <v>0</v>
      </c>
      <c r="Z23" s="83">
        <f t="shared" si="8"/>
        <v>177983522.82300004</v>
      </c>
      <c r="AA23" s="20">
        <f>+AB23</f>
        <v>0.14420213258461917</v>
      </c>
      <c r="AB23" s="21">
        <f>IFERROR((P23-Z23)/Z23,0)</f>
        <v>0.14420213258461917</v>
      </c>
      <c r="AD23" s="81"/>
    </row>
    <row r="24" spans="1:30" x14ac:dyDescent="0.25">
      <c r="B24" s="7" t="s">
        <v>24</v>
      </c>
      <c r="C24" s="4"/>
      <c r="D24" s="96"/>
      <c r="E24" s="96"/>
      <c r="F24" s="96"/>
      <c r="G24" s="96"/>
      <c r="H24" s="96"/>
      <c r="I24" s="96"/>
      <c r="J24" s="96"/>
      <c r="K24" s="96"/>
      <c r="L24" s="96"/>
      <c r="M24" s="1"/>
      <c r="N24" s="1"/>
      <c r="O24" s="1"/>
      <c r="P24" s="1"/>
      <c r="Q24" s="1"/>
    </row>
    <row r="25" spans="1:30" x14ac:dyDescent="0.25">
      <c r="B25" s="7" t="s">
        <v>15</v>
      </c>
    </row>
    <row r="27" spans="1:30" x14ac:dyDescent="0.25">
      <c r="B27" s="2"/>
      <c r="C27" s="5"/>
      <c r="D27" s="91"/>
      <c r="E27" s="91"/>
      <c r="F27" s="91"/>
      <c r="G27" s="91"/>
      <c r="H27" s="91"/>
      <c r="I27" s="91"/>
      <c r="J27" s="91"/>
      <c r="K27" s="91"/>
      <c r="L27" s="91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56"/>
      <c r="AB27" s="56"/>
    </row>
    <row r="28" spans="1:30" x14ac:dyDescent="0.25"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8"/>
      <c r="S28" s="88"/>
      <c r="T28" s="88"/>
      <c r="U28" s="88"/>
      <c r="V28" s="88"/>
      <c r="W28" s="88"/>
      <c r="X28" s="88"/>
      <c r="Y28" s="88"/>
      <c r="Z28" s="88"/>
    </row>
    <row r="29" spans="1:30" x14ac:dyDescent="0.25">
      <c r="D29" s="97"/>
      <c r="E29" s="97"/>
      <c r="F29" s="97"/>
      <c r="G29" s="97"/>
      <c r="H29" s="97"/>
      <c r="I29" s="97"/>
      <c r="J29" s="97"/>
      <c r="K29" s="97"/>
      <c r="L29" s="91"/>
      <c r="M29" s="91"/>
      <c r="N29" s="91"/>
      <c r="O29" s="87"/>
      <c r="P29" s="87"/>
      <c r="Q29" s="87"/>
      <c r="R29" s="88"/>
      <c r="S29" s="87"/>
      <c r="T29" s="87"/>
      <c r="U29" s="88"/>
      <c r="V29" s="88"/>
      <c r="W29" s="88"/>
      <c r="X29" s="88"/>
      <c r="Y29" s="88"/>
      <c r="Z29" s="87"/>
    </row>
    <row r="31" spans="1:30" x14ac:dyDescent="0.25">
      <c r="F31" s="98"/>
    </row>
    <row r="32" spans="1:30" x14ac:dyDescent="0.25">
      <c r="F32" s="98"/>
    </row>
  </sheetData>
  <autoFilter ref="B3:AB21" xr:uid="{00000000-0009-0000-0000-000000000000}">
    <sortState xmlns:xlrd2="http://schemas.microsoft.com/office/spreadsheetml/2017/richdata2" ref="B4:AB21">
      <sortCondition descending="1" ref="P3:P21"/>
    </sortState>
  </autoFilter>
  <sortState xmlns:xlrd2="http://schemas.microsoft.com/office/spreadsheetml/2017/richdata2" ref="B4:AB21">
    <sortCondition descending="1" ref="P4:P21"/>
  </sortState>
  <dataConsolidate>
    <dataRefs count="1">
      <dataRef ref="A4:G156" sheet="x" r:id="rId1"/>
    </dataRefs>
  </dataConsolidate>
  <mergeCells count="3">
    <mergeCell ref="W2:X2"/>
    <mergeCell ref="AA2:AB2"/>
    <mergeCell ref="U2:V2"/>
  </mergeCells>
  <conditionalFormatting sqref="V4:V21">
    <cfRule type="cellIs" dxfId="30" priority="4" operator="lessThan">
      <formula>0%</formula>
    </cfRule>
    <cfRule type="cellIs" dxfId="29" priority="5" operator="greaterThanOrEqual">
      <formula>1%</formula>
    </cfRule>
  </conditionalFormatting>
  <conditionalFormatting sqref="V23">
    <cfRule type="cellIs" dxfId="28" priority="1" operator="lessThan">
      <formula>0%</formula>
    </cfRule>
    <cfRule type="cellIs" dxfId="27" priority="2" operator="greaterThanOrEqual">
      <formula>1%</formula>
    </cfRule>
  </conditionalFormatting>
  <conditionalFormatting sqref="X4:X21">
    <cfRule type="cellIs" dxfId="26" priority="17" operator="lessThan">
      <formula>0%</formula>
    </cfRule>
    <cfRule type="cellIs" dxfId="25" priority="18" operator="greaterThanOrEqual">
      <formula>1%</formula>
    </cfRule>
  </conditionalFormatting>
  <conditionalFormatting sqref="X23">
    <cfRule type="cellIs" dxfId="24" priority="7" operator="lessThan">
      <formula>0%</formula>
    </cfRule>
    <cfRule type="cellIs" dxfId="23" priority="8" operator="greaterThanOrEqual">
      <formula>1%</formula>
    </cfRule>
  </conditionalFormatting>
  <conditionalFormatting sqref="AB4:AB21">
    <cfRule type="cellIs" dxfId="22" priority="21" operator="lessThan">
      <formula>0%</formula>
    </cfRule>
    <cfRule type="cellIs" dxfId="21" priority="22" operator="greaterThanOrEqual">
      <formula>1%</formula>
    </cfRule>
  </conditionalFormatting>
  <conditionalFormatting sqref="AB23">
    <cfRule type="cellIs" dxfId="20" priority="15" operator="lessThan">
      <formula>0%</formula>
    </cfRule>
    <cfRule type="cellIs" dxfId="19" priority="16" operator="greaterThanOrEqual">
      <formula>1%</formula>
    </cfRule>
  </conditionalFormatting>
  <pageMargins left="1.1023622047244095" right="0.70866141732283472" top="0.74803149606299213" bottom="0.74803149606299213" header="0.31496062992125984" footer="0.31496062992125984"/>
  <pageSetup paperSize="9" scale="70" orientation="landscape" verticalDpi="300" r:id="rId2"/>
  <ignoredErrors>
    <ignoredError sqref="V2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D937A2F6-0669-4313-AE55-B94C33E8C22B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U4:U21</xm:sqref>
        </x14:conditionalFormatting>
        <x14:conditionalFormatting xmlns:xm="http://schemas.microsoft.com/office/excel/2006/main">
          <x14:cfRule type="iconSet" priority="3" id="{6369AB89-88D7-4E95-A556-82792A624EE9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U23</xm:sqref>
        </x14:conditionalFormatting>
        <x14:conditionalFormatting xmlns:xm="http://schemas.microsoft.com/office/excel/2006/main">
          <x14:cfRule type="iconSet" priority="19" id="{B2EA6C93-0F11-4024-835A-1D15284CFAE2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W4:W21</xm:sqref>
        </x14:conditionalFormatting>
        <x14:conditionalFormatting xmlns:xm="http://schemas.microsoft.com/office/excel/2006/main">
          <x14:cfRule type="iconSet" priority="13" id="{F07DE24D-11A5-4794-AC8C-A47A981BB607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W23</xm:sqref>
        </x14:conditionalFormatting>
        <x14:conditionalFormatting xmlns:xm="http://schemas.microsoft.com/office/excel/2006/main">
          <x14:cfRule type="iconSet" priority="20" id="{D11BF96A-D414-42FD-AAB1-3AF9446FE4A9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AA4:AA21</xm:sqref>
        </x14:conditionalFormatting>
        <x14:conditionalFormatting xmlns:xm="http://schemas.microsoft.com/office/excel/2006/main">
          <x14:cfRule type="iconSet" priority="14" id="{BCF7175F-29CB-48EF-B4C6-A01DEEEA472B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AA23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56"/>
  <sheetViews>
    <sheetView showGridLines="0" zoomScale="80" zoomScaleNormal="80" zoomScaleSheetLayoutView="80" workbookViewId="0">
      <pane xSplit="1" ySplit="3" topLeftCell="B139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baseColWidth="10" defaultRowHeight="15" outlineLevelCol="1" x14ac:dyDescent="0.25"/>
  <cols>
    <col min="1" max="1" width="5" style="22" customWidth="1"/>
    <col min="2" max="2" width="18.42578125" style="26" customWidth="1"/>
    <col min="3" max="3" width="25.28515625" style="22" customWidth="1"/>
    <col min="4" max="4" width="1.28515625" style="54" customWidth="1"/>
    <col min="5" max="5" width="15" style="26" bestFit="1" customWidth="1"/>
    <col min="6" max="16" width="10.85546875" style="26" hidden="1" customWidth="1" outlineLevel="1"/>
    <col min="17" max="17" width="13.5703125" style="53" bestFit="1" customWidth="1" collapsed="1"/>
    <col min="18" max="18" width="14.42578125" style="53" customWidth="1"/>
    <col min="19" max="19" width="1.28515625" style="54" customWidth="1"/>
    <col min="20" max="20" width="13.7109375" style="26" customWidth="1"/>
    <col min="21" max="21" width="15.140625" style="26" customWidth="1"/>
    <col min="22" max="22" width="5.5703125" style="26" customWidth="1"/>
    <col min="23" max="23" width="8.85546875" style="26" customWidth="1"/>
    <col min="24" max="24" width="5.5703125" style="26" customWidth="1"/>
    <col min="25" max="25" width="8.85546875" style="26" customWidth="1"/>
    <col min="26" max="26" width="1.28515625" style="54" customWidth="1"/>
    <col min="27" max="27" width="16" style="26" customWidth="1"/>
    <col min="28" max="28" width="5.5703125" style="26" customWidth="1"/>
    <col min="29" max="29" width="10.7109375" style="26" customWidth="1"/>
    <col min="30" max="49" width="11.42578125" style="25"/>
    <col min="50" max="16384" width="11.42578125" style="26"/>
  </cols>
  <sheetData>
    <row r="1" spans="1:49" ht="33" customHeight="1" x14ac:dyDescent="0.25">
      <c r="B1" s="86" t="s">
        <v>28</v>
      </c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4"/>
      <c r="T1" s="23"/>
      <c r="U1" s="23"/>
      <c r="V1" s="23"/>
      <c r="W1" s="23"/>
      <c r="X1" s="23"/>
      <c r="Y1" s="23"/>
      <c r="Z1" s="24"/>
      <c r="AA1" s="23"/>
      <c r="AB1" s="23"/>
      <c r="AC1" s="23"/>
    </row>
    <row r="2" spans="1:49" s="22" customFormat="1" ht="39.950000000000003" customHeight="1" x14ac:dyDescent="0.25">
      <c r="B2" s="27" t="s">
        <v>18</v>
      </c>
      <c r="C2" s="28" t="s">
        <v>29</v>
      </c>
      <c r="D2" s="29"/>
      <c r="E2" s="30">
        <v>45658</v>
      </c>
      <c r="F2" s="30">
        <v>45689</v>
      </c>
      <c r="G2" s="30">
        <v>45717</v>
      </c>
      <c r="H2" s="30">
        <v>45748</v>
      </c>
      <c r="I2" s="30">
        <v>45778</v>
      </c>
      <c r="J2" s="30">
        <v>45809</v>
      </c>
      <c r="K2" s="30">
        <v>45839</v>
      </c>
      <c r="L2" s="30">
        <v>45870</v>
      </c>
      <c r="M2" s="30">
        <v>45901</v>
      </c>
      <c r="N2" s="30">
        <v>45931</v>
      </c>
      <c r="O2" s="30">
        <v>45962</v>
      </c>
      <c r="P2" s="30">
        <v>45992</v>
      </c>
      <c r="Q2" s="89" t="str">
        <f>Resumen!P2</f>
        <v>ACUMULADO 
ene 2025</v>
      </c>
      <c r="R2" s="90" t="str">
        <f>Resumen!Q2</f>
        <v>% Part ACUM 
ene 2025</v>
      </c>
      <c r="S2" s="31"/>
      <c r="T2" s="32" t="str">
        <f>Resumen!S2</f>
        <v>Ene-24</v>
      </c>
      <c r="U2" s="32" t="str">
        <f>Resumen!T2</f>
        <v>Dic-24</v>
      </c>
      <c r="V2" s="137" t="str">
        <f>Resumen!U2</f>
        <v>Var % Ene 25 vs Dic 24</v>
      </c>
      <c r="W2" s="138"/>
      <c r="X2" s="137" t="str">
        <f>Resumen!W2</f>
        <v>Var % Ene 25 vs Ene 24</v>
      </c>
      <c r="Y2" s="138"/>
      <c r="Z2" s="29"/>
      <c r="AA2" s="33" t="str">
        <f>Resumen!Z2</f>
        <v>ACUMULADO 
ene 2024</v>
      </c>
      <c r="AB2" s="137" t="str">
        <f>Resumen!AA2</f>
        <v>Var %
ACUM 25/24</v>
      </c>
      <c r="AC2" s="138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</row>
    <row r="3" spans="1:49" ht="6" customHeight="1" x14ac:dyDescent="0.25">
      <c r="A3" s="35" t="s">
        <v>22</v>
      </c>
      <c r="B3" s="35" t="s">
        <v>23</v>
      </c>
      <c r="C3" s="35" t="s">
        <v>21</v>
      </c>
      <c r="D3" s="36"/>
      <c r="E3" s="35">
        <v>41640</v>
      </c>
      <c r="F3" s="35">
        <v>41671</v>
      </c>
      <c r="G3" s="35">
        <v>41699</v>
      </c>
      <c r="H3" s="35">
        <v>41730</v>
      </c>
      <c r="I3" s="35">
        <v>41760</v>
      </c>
      <c r="J3" s="35">
        <v>41791</v>
      </c>
      <c r="K3" s="35">
        <v>41821</v>
      </c>
      <c r="L3" s="35">
        <v>41821</v>
      </c>
      <c r="M3" s="35"/>
      <c r="N3" s="35"/>
      <c r="O3" s="35"/>
      <c r="P3" s="35"/>
      <c r="Q3" s="35">
        <v>7</v>
      </c>
      <c r="R3" s="35"/>
      <c r="S3" s="36"/>
      <c r="T3" s="35">
        <v>41821</v>
      </c>
      <c r="U3" s="35">
        <v>41821</v>
      </c>
      <c r="V3" s="35"/>
      <c r="W3" s="35"/>
      <c r="X3" s="35"/>
      <c r="Y3" s="35"/>
      <c r="Z3" s="36"/>
    </row>
    <row r="4" spans="1:49" s="41" customFormat="1" x14ac:dyDescent="0.25">
      <c r="A4" s="6">
        <v>1</v>
      </c>
      <c r="B4" s="37">
        <v>2710193400</v>
      </c>
      <c r="C4" s="11" t="s">
        <v>16</v>
      </c>
      <c r="D4" s="38"/>
      <c r="E4" s="12">
        <v>1232758.4780000004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>
        <f>SUM(E4:P4)</f>
        <v>1232758.4780000004</v>
      </c>
      <c r="R4" s="39">
        <f t="shared" ref="R4:R35" si="0">+Q4/$Q$151</f>
        <v>6.0533452802826321E-3</v>
      </c>
      <c r="S4" s="40"/>
      <c r="T4" s="12">
        <v>1842894.3059999996</v>
      </c>
      <c r="U4" s="12">
        <v>2033098.0850000011</v>
      </c>
      <c r="V4" s="14">
        <f t="shared" ref="V4:V67" si="1">+W4</f>
        <v>-0.39365518707868946</v>
      </c>
      <c r="W4" s="15">
        <f>IFERROR((E4-U4)/U4,0)</f>
        <v>-0.39365518707868946</v>
      </c>
      <c r="X4" s="14">
        <f t="shared" ref="X4:X35" si="2">+Y4</f>
        <v>-0.33107478058483913</v>
      </c>
      <c r="Y4" s="15">
        <f>IFERROR((E4-T4)/T4,0)</f>
        <v>-0.33107478058483913</v>
      </c>
      <c r="Z4" s="38"/>
      <c r="AA4" s="12">
        <v>1842894.3059999996</v>
      </c>
      <c r="AB4" s="14">
        <f t="shared" ref="AB4:AB35" si="3">+AC4</f>
        <v>-0.33107478058483913</v>
      </c>
      <c r="AC4" s="15">
        <f t="shared" ref="AC4:AC35" si="4">IFERROR((Q4-AA4)/AA4,0)</f>
        <v>-0.33107478058483913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</row>
    <row r="5" spans="1:49" s="41" customFormat="1" x14ac:dyDescent="0.25">
      <c r="A5" s="6">
        <v>2</v>
      </c>
      <c r="B5" s="42">
        <v>2710193500</v>
      </c>
      <c r="C5" s="13" t="s">
        <v>16</v>
      </c>
      <c r="D5" s="38"/>
      <c r="E5" s="10">
        <v>8912920.5179999992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>
        <f t="shared" ref="Q5:Q68" si="5">SUM(E5:P5)</f>
        <v>8912920.5179999992</v>
      </c>
      <c r="R5" s="43">
        <f t="shared" si="0"/>
        <v>4.3766063112947833E-2</v>
      </c>
      <c r="S5" s="40"/>
      <c r="T5" s="10">
        <v>10628224.171999998</v>
      </c>
      <c r="U5" s="10">
        <v>14520812.685999997</v>
      </c>
      <c r="V5" s="16">
        <f t="shared" si="1"/>
        <v>-0.38619685339008297</v>
      </c>
      <c r="W5" s="17">
        <f t="shared" ref="W5:W68" si="6">IFERROR((E5-U5)/U5,0)</f>
        <v>-0.38619685339008297</v>
      </c>
      <c r="X5" s="16">
        <f t="shared" si="2"/>
        <v>-0.16139136945558202</v>
      </c>
      <c r="Y5" s="17">
        <f t="shared" ref="Y5:Y68" si="7">IFERROR((E5-T5)/T5,0)</f>
        <v>-0.16139136945558202</v>
      </c>
      <c r="Z5" s="38"/>
      <c r="AA5" s="10">
        <v>10628224.171999998</v>
      </c>
      <c r="AB5" s="16">
        <f t="shared" si="3"/>
        <v>-0.16139136945558202</v>
      </c>
      <c r="AC5" s="17">
        <f t="shared" si="4"/>
        <v>-0.16139136945558202</v>
      </c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</row>
    <row r="6" spans="1:49" s="41" customFormat="1" x14ac:dyDescent="0.25">
      <c r="A6" s="6">
        <v>3</v>
      </c>
      <c r="B6" s="42">
        <v>2710193600</v>
      </c>
      <c r="C6" s="13" t="s">
        <v>16</v>
      </c>
      <c r="D6" s="38"/>
      <c r="E6" s="10">
        <v>1543195.5159999991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>
        <f t="shared" si="5"/>
        <v>1543195.5159999991</v>
      </c>
      <c r="R6" s="43">
        <f t="shared" si="0"/>
        <v>7.5777173388313235E-3</v>
      </c>
      <c r="S6" s="40"/>
      <c r="T6" s="10">
        <v>1899053.9410000001</v>
      </c>
      <c r="U6" s="10">
        <v>3316887.4819999998</v>
      </c>
      <c r="V6" s="16">
        <f t="shared" si="1"/>
        <v>-0.5347458952483094</v>
      </c>
      <c r="W6" s="17">
        <f t="shared" si="6"/>
        <v>-0.5347458952483094</v>
      </c>
      <c r="X6" s="16">
        <f t="shared" si="2"/>
        <v>-0.18738721282061832</v>
      </c>
      <c r="Y6" s="17">
        <f t="shared" si="7"/>
        <v>-0.18738721282061832</v>
      </c>
      <c r="Z6" s="38"/>
      <c r="AA6" s="10">
        <v>1899053.9410000001</v>
      </c>
      <c r="AB6" s="16">
        <f t="shared" si="3"/>
        <v>-0.18738721282061832</v>
      </c>
      <c r="AC6" s="17">
        <f t="shared" si="4"/>
        <v>-0.18738721282061832</v>
      </c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</row>
    <row r="7" spans="1:49" s="41" customFormat="1" x14ac:dyDescent="0.25">
      <c r="A7" s="6">
        <v>4</v>
      </c>
      <c r="B7" s="42">
        <v>2710193800</v>
      </c>
      <c r="C7" s="13" t="s">
        <v>16</v>
      </c>
      <c r="D7" s="38"/>
      <c r="E7" s="10">
        <v>14020975.133000005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>
        <f t="shared" si="5"/>
        <v>14020975.133000005</v>
      </c>
      <c r="R7" s="43">
        <f t="shared" si="0"/>
        <v>6.8848687850034562E-2</v>
      </c>
      <c r="S7" s="40"/>
      <c r="T7" s="10">
        <v>12642186.515000001</v>
      </c>
      <c r="U7" s="10">
        <v>18069341.758000005</v>
      </c>
      <c r="V7" s="16">
        <f t="shared" si="1"/>
        <v>-0.22404615946829551</v>
      </c>
      <c r="W7" s="17">
        <f t="shared" si="6"/>
        <v>-0.22404615946829551</v>
      </c>
      <c r="X7" s="16">
        <f t="shared" si="2"/>
        <v>0.10906251196057476</v>
      </c>
      <c r="Y7" s="17">
        <f t="shared" si="7"/>
        <v>0.10906251196057476</v>
      </c>
      <c r="Z7" s="38"/>
      <c r="AA7" s="10">
        <v>12642186.515000001</v>
      </c>
      <c r="AB7" s="16">
        <f t="shared" si="3"/>
        <v>0.10906251196057476</v>
      </c>
      <c r="AC7" s="17">
        <f t="shared" si="4"/>
        <v>0.10906251196057476</v>
      </c>
      <c r="AD7" s="25"/>
      <c r="AE7" s="16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</row>
    <row r="8" spans="1:49" s="41" customFormat="1" x14ac:dyDescent="0.25">
      <c r="A8" s="6">
        <v>5</v>
      </c>
      <c r="B8" s="42">
        <v>3403990000</v>
      </c>
      <c r="C8" s="13" t="s">
        <v>16</v>
      </c>
      <c r="D8" s="38"/>
      <c r="E8" s="10">
        <v>2233911.1490000007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>
        <f t="shared" si="5"/>
        <v>2233911.1490000007</v>
      </c>
      <c r="R8" s="43">
        <f t="shared" si="0"/>
        <v>1.0969411893486812E-2</v>
      </c>
      <c r="S8" s="40"/>
      <c r="T8" s="10">
        <v>2996539.4880000004</v>
      </c>
      <c r="U8" s="10">
        <v>3872659.7969999993</v>
      </c>
      <c r="V8" s="16">
        <f t="shared" si="1"/>
        <v>-0.42315843216320581</v>
      </c>
      <c r="W8" s="17">
        <f t="shared" si="6"/>
        <v>-0.42315843216320581</v>
      </c>
      <c r="X8" s="16">
        <f t="shared" si="2"/>
        <v>-0.25450301658097141</v>
      </c>
      <c r="Y8" s="17">
        <f t="shared" si="7"/>
        <v>-0.25450301658097141</v>
      </c>
      <c r="Z8" s="38"/>
      <c r="AA8" s="10">
        <v>2996539.4880000004</v>
      </c>
      <c r="AB8" s="16">
        <f t="shared" si="3"/>
        <v>-0.25450301658097141</v>
      </c>
      <c r="AC8" s="17">
        <f t="shared" si="4"/>
        <v>-0.25450301658097141</v>
      </c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</row>
    <row r="9" spans="1:49" s="41" customFormat="1" x14ac:dyDescent="0.25">
      <c r="A9" s="6">
        <v>6</v>
      </c>
      <c r="B9" s="42">
        <v>3819000000</v>
      </c>
      <c r="C9" s="13" t="s">
        <v>26</v>
      </c>
      <c r="D9" s="38"/>
      <c r="E9" s="10">
        <v>459802.77500000008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>
        <f t="shared" si="5"/>
        <v>459802.77500000008</v>
      </c>
      <c r="R9" s="43">
        <f t="shared" si="0"/>
        <v>2.2578185488715875E-3</v>
      </c>
      <c r="S9" s="40"/>
      <c r="T9" s="10">
        <v>312398.61900000012</v>
      </c>
      <c r="U9" s="10">
        <v>633588.61599999992</v>
      </c>
      <c r="V9" s="16">
        <f t="shared" si="1"/>
        <v>-0.27428813683104408</v>
      </c>
      <c r="W9" s="17">
        <f t="shared" si="6"/>
        <v>-0.27428813683104408</v>
      </c>
      <c r="X9" s="16">
        <f t="shared" si="2"/>
        <v>0.47184637522357259</v>
      </c>
      <c r="Y9" s="17">
        <f t="shared" si="7"/>
        <v>0.47184637522357259</v>
      </c>
      <c r="Z9" s="38"/>
      <c r="AA9" s="10">
        <v>312398.61900000012</v>
      </c>
      <c r="AB9" s="16">
        <f t="shared" si="3"/>
        <v>0.47184637522357259</v>
      </c>
      <c r="AC9" s="17">
        <f t="shared" si="4"/>
        <v>0.47184637522357259</v>
      </c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</row>
    <row r="10" spans="1:49" s="41" customFormat="1" x14ac:dyDescent="0.25">
      <c r="A10" s="6">
        <v>7</v>
      </c>
      <c r="B10" s="42">
        <v>3820000000</v>
      </c>
      <c r="C10" s="13" t="s">
        <v>26</v>
      </c>
      <c r="D10" s="38"/>
      <c r="E10" s="10">
        <v>1217112.6209999993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>
        <f t="shared" si="5"/>
        <v>1217112.6209999993</v>
      </c>
      <c r="R10" s="43">
        <f t="shared" si="0"/>
        <v>5.9765177619023986E-3</v>
      </c>
      <c r="S10" s="40"/>
      <c r="T10" s="10">
        <v>817754.56500000018</v>
      </c>
      <c r="U10" s="10">
        <v>1345157.6729999997</v>
      </c>
      <c r="V10" s="16">
        <f t="shared" si="1"/>
        <v>-9.518962317215314E-2</v>
      </c>
      <c r="W10" s="17">
        <f t="shared" si="6"/>
        <v>-9.518962317215314E-2</v>
      </c>
      <c r="X10" s="16">
        <f t="shared" si="2"/>
        <v>0.48835931108498193</v>
      </c>
      <c r="Y10" s="17">
        <f t="shared" si="7"/>
        <v>0.48835931108498193</v>
      </c>
      <c r="Z10" s="38"/>
      <c r="AA10" s="10">
        <v>817754.56500000018</v>
      </c>
      <c r="AB10" s="16">
        <f t="shared" si="3"/>
        <v>0.48835931108498193</v>
      </c>
      <c r="AC10" s="17">
        <f t="shared" si="4"/>
        <v>0.48835931108498193</v>
      </c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</row>
    <row r="11" spans="1:49" s="41" customFormat="1" x14ac:dyDescent="0.25">
      <c r="A11" s="6">
        <v>8</v>
      </c>
      <c r="B11" s="42">
        <v>3926300000</v>
      </c>
      <c r="C11" s="13" t="s">
        <v>14</v>
      </c>
      <c r="D11" s="38"/>
      <c r="E11" s="10">
        <v>307352.56399999978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>
        <f t="shared" si="5"/>
        <v>307352.56399999978</v>
      </c>
      <c r="R11" s="43">
        <f t="shared" si="0"/>
        <v>1.5092260372774849E-3</v>
      </c>
      <c r="S11" s="40"/>
      <c r="T11" s="10">
        <v>220956.10899999982</v>
      </c>
      <c r="U11" s="10">
        <v>326239.65200000006</v>
      </c>
      <c r="V11" s="16">
        <f t="shared" si="1"/>
        <v>-5.7893293731199405E-2</v>
      </c>
      <c r="W11" s="17">
        <f t="shared" si="6"/>
        <v>-5.7893293731199405E-2</v>
      </c>
      <c r="X11" s="16">
        <f t="shared" si="2"/>
        <v>0.39101184117973414</v>
      </c>
      <c r="Y11" s="17">
        <f t="shared" si="7"/>
        <v>0.39101184117973414</v>
      </c>
      <c r="Z11" s="38"/>
      <c r="AA11" s="10">
        <v>220956.10899999982</v>
      </c>
      <c r="AB11" s="16">
        <f t="shared" si="3"/>
        <v>0.39101184117973414</v>
      </c>
      <c r="AC11" s="17">
        <f t="shared" si="4"/>
        <v>0.39101184117973414</v>
      </c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</row>
    <row r="12" spans="1:49" s="41" customFormat="1" x14ac:dyDescent="0.25">
      <c r="A12" s="6">
        <v>9</v>
      </c>
      <c r="B12" s="42">
        <v>4009110000</v>
      </c>
      <c r="C12" s="13" t="s">
        <v>2</v>
      </c>
      <c r="D12" s="38"/>
      <c r="E12" s="10">
        <v>436250.37299999985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>
        <f t="shared" si="5"/>
        <v>436250.37299999985</v>
      </c>
      <c r="R12" s="43">
        <f t="shared" si="0"/>
        <v>2.1421666802936283E-3</v>
      </c>
      <c r="S12" s="40"/>
      <c r="T12" s="10">
        <v>555699.75299999991</v>
      </c>
      <c r="U12" s="10">
        <v>306521.49199999985</v>
      </c>
      <c r="V12" s="16">
        <f t="shared" si="1"/>
        <v>0.42322931470006042</v>
      </c>
      <c r="W12" s="17">
        <f t="shared" si="6"/>
        <v>0.42322931470006042</v>
      </c>
      <c r="X12" s="16">
        <f t="shared" si="2"/>
        <v>-0.21495309176428604</v>
      </c>
      <c r="Y12" s="17">
        <f t="shared" si="7"/>
        <v>-0.21495309176428604</v>
      </c>
      <c r="Z12" s="38"/>
      <c r="AA12" s="10">
        <v>555699.75299999991</v>
      </c>
      <c r="AB12" s="16">
        <f t="shared" si="3"/>
        <v>-0.21495309176428604</v>
      </c>
      <c r="AC12" s="17">
        <f t="shared" si="4"/>
        <v>-0.21495309176428604</v>
      </c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</row>
    <row r="13" spans="1:49" s="41" customFormat="1" x14ac:dyDescent="0.25">
      <c r="A13" s="6">
        <v>10</v>
      </c>
      <c r="B13" s="42">
        <v>4009310000</v>
      </c>
      <c r="C13" s="13" t="s">
        <v>2</v>
      </c>
      <c r="D13" s="38"/>
      <c r="E13" s="10">
        <v>1118851.044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>
        <f t="shared" si="5"/>
        <v>1118851.044</v>
      </c>
      <c r="R13" s="43">
        <f t="shared" si="0"/>
        <v>5.4940134725536185E-3</v>
      </c>
      <c r="S13" s="40"/>
      <c r="T13" s="10">
        <v>1027229.4200000004</v>
      </c>
      <c r="U13" s="10">
        <v>1075191.6990000005</v>
      </c>
      <c r="V13" s="16">
        <f t="shared" si="1"/>
        <v>4.0606103116872634E-2</v>
      </c>
      <c r="W13" s="17">
        <f t="shared" si="6"/>
        <v>4.0606103116872634E-2</v>
      </c>
      <c r="X13" s="16">
        <f t="shared" si="2"/>
        <v>8.9192951658257191E-2</v>
      </c>
      <c r="Y13" s="17">
        <f t="shared" si="7"/>
        <v>8.9192951658257191E-2</v>
      </c>
      <c r="Z13" s="38"/>
      <c r="AA13" s="10">
        <v>1027229.4200000004</v>
      </c>
      <c r="AB13" s="16">
        <f t="shared" si="3"/>
        <v>8.9192951658257191E-2</v>
      </c>
      <c r="AC13" s="17">
        <f t="shared" si="4"/>
        <v>8.9192951658257191E-2</v>
      </c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</row>
    <row r="14" spans="1:49" s="41" customFormat="1" x14ac:dyDescent="0.25">
      <c r="A14" s="6">
        <v>11</v>
      </c>
      <c r="B14" s="42">
        <v>4009410000</v>
      </c>
      <c r="C14" s="13" t="s">
        <v>2</v>
      </c>
      <c r="D14" s="38"/>
      <c r="E14" s="10">
        <v>693764.56099999999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>
        <f t="shared" si="5"/>
        <v>693764.56099999999</v>
      </c>
      <c r="R14" s="43">
        <f t="shared" si="0"/>
        <v>3.4066660306161776E-3</v>
      </c>
      <c r="S14" s="40"/>
      <c r="T14" s="10">
        <v>302420.59199999995</v>
      </c>
      <c r="U14" s="10">
        <v>604604.96400000004</v>
      </c>
      <c r="V14" s="16">
        <f t="shared" si="1"/>
        <v>0.14746752393518214</v>
      </c>
      <c r="W14" s="17">
        <f t="shared" si="6"/>
        <v>0.14746752393518214</v>
      </c>
      <c r="X14" s="16">
        <f t="shared" si="2"/>
        <v>1.294038763736036</v>
      </c>
      <c r="Y14" s="17">
        <f t="shared" si="7"/>
        <v>1.294038763736036</v>
      </c>
      <c r="Z14" s="38"/>
      <c r="AA14" s="10">
        <v>302420.59199999995</v>
      </c>
      <c r="AB14" s="16">
        <f t="shared" si="3"/>
        <v>1.294038763736036</v>
      </c>
      <c r="AC14" s="17">
        <f t="shared" si="4"/>
        <v>1.294038763736036</v>
      </c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</row>
    <row r="15" spans="1:49" s="41" customFormat="1" x14ac:dyDescent="0.25">
      <c r="A15" s="6">
        <v>12</v>
      </c>
      <c r="B15" s="42">
        <v>4009420000</v>
      </c>
      <c r="C15" s="13" t="s">
        <v>2</v>
      </c>
      <c r="D15" s="38"/>
      <c r="E15" s="10">
        <v>250631.44999999995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>
        <f t="shared" si="5"/>
        <v>250631.44999999995</v>
      </c>
      <c r="R15" s="43">
        <f t="shared" si="0"/>
        <v>1.2307023087030772E-3</v>
      </c>
      <c r="S15" s="40"/>
      <c r="T15" s="10">
        <v>315975.0529999999</v>
      </c>
      <c r="U15" s="10">
        <v>534410.57399999967</v>
      </c>
      <c r="V15" s="16">
        <f t="shared" si="1"/>
        <v>-0.53101330289171988</v>
      </c>
      <c r="W15" s="17">
        <f t="shared" si="6"/>
        <v>-0.53101330289171988</v>
      </c>
      <c r="X15" s="16">
        <f t="shared" si="2"/>
        <v>-0.2067998798626674</v>
      </c>
      <c r="Y15" s="17">
        <f t="shared" si="7"/>
        <v>-0.2067998798626674</v>
      </c>
      <c r="Z15" s="38"/>
      <c r="AA15" s="10">
        <v>315975.0529999999</v>
      </c>
      <c r="AB15" s="16">
        <f t="shared" si="3"/>
        <v>-0.2067998798626674</v>
      </c>
      <c r="AC15" s="17">
        <f t="shared" si="4"/>
        <v>-0.2067998798626674</v>
      </c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</row>
    <row r="16" spans="1:49" s="41" customFormat="1" x14ac:dyDescent="0.25">
      <c r="A16" s="6">
        <v>13</v>
      </c>
      <c r="B16" s="42">
        <v>4010310000</v>
      </c>
      <c r="C16" s="13" t="s">
        <v>2</v>
      </c>
      <c r="D16" s="38"/>
      <c r="E16" s="10">
        <v>435414.17100000021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>
        <f t="shared" si="5"/>
        <v>435414.17100000021</v>
      </c>
      <c r="R16" s="43">
        <f t="shared" si="0"/>
        <v>2.1380605885324322E-3</v>
      </c>
      <c r="S16" s="40"/>
      <c r="T16" s="10">
        <v>405228.04600000003</v>
      </c>
      <c r="U16" s="10">
        <v>356746.3400000002</v>
      </c>
      <c r="V16" s="16">
        <f t="shared" si="1"/>
        <v>0.22051475286333691</v>
      </c>
      <c r="W16" s="17">
        <f t="shared" si="6"/>
        <v>0.22051475286333691</v>
      </c>
      <c r="X16" s="16">
        <f t="shared" si="2"/>
        <v>7.4491697447812311E-2</v>
      </c>
      <c r="Y16" s="17">
        <f t="shared" si="7"/>
        <v>7.4491697447812311E-2</v>
      </c>
      <c r="Z16" s="38"/>
      <c r="AA16" s="10">
        <v>405228.04600000003</v>
      </c>
      <c r="AB16" s="16">
        <f t="shared" si="3"/>
        <v>7.4491697447812311E-2</v>
      </c>
      <c r="AC16" s="17">
        <f t="shared" si="4"/>
        <v>7.4491697447812311E-2</v>
      </c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</row>
    <row r="17" spans="1:49" s="41" customFormat="1" x14ac:dyDescent="0.25">
      <c r="A17" s="6">
        <v>14</v>
      </c>
      <c r="B17" s="42">
        <v>4010330000</v>
      </c>
      <c r="C17" s="13" t="s">
        <v>2</v>
      </c>
      <c r="D17" s="38"/>
      <c r="E17" s="10">
        <v>23780.39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>
        <f t="shared" si="5"/>
        <v>23780.39</v>
      </c>
      <c r="R17" s="43">
        <f t="shared" si="0"/>
        <v>1.1677138234191908E-4</v>
      </c>
      <c r="S17" s="40"/>
      <c r="T17" s="10">
        <v>24047.427000000003</v>
      </c>
      <c r="U17" s="10">
        <v>18593.483</v>
      </c>
      <c r="V17" s="16">
        <f t="shared" si="1"/>
        <v>0.27896371002678733</v>
      </c>
      <c r="W17" s="17">
        <f t="shared" si="6"/>
        <v>0.27896371002678733</v>
      </c>
      <c r="X17" s="16">
        <f t="shared" si="2"/>
        <v>-1.1104597593746884E-2</v>
      </c>
      <c r="Y17" s="17">
        <f t="shared" si="7"/>
        <v>-1.1104597593746884E-2</v>
      </c>
      <c r="Z17" s="38"/>
      <c r="AA17" s="10">
        <v>24047.427000000003</v>
      </c>
      <c r="AB17" s="16">
        <f t="shared" si="3"/>
        <v>-1.1104597593746884E-2</v>
      </c>
      <c r="AC17" s="17">
        <f t="shared" si="4"/>
        <v>-1.1104597593746884E-2</v>
      </c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</row>
    <row r="18" spans="1:49" s="41" customFormat="1" x14ac:dyDescent="0.25">
      <c r="A18" s="6">
        <v>15</v>
      </c>
      <c r="B18" s="42">
        <v>4011101000</v>
      </c>
      <c r="C18" s="13" t="s">
        <v>27</v>
      </c>
      <c r="D18" s="38"/>
      <c r="E18" s="10">
        <v>8439695.5209999997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>
        <f t="shared" si="5"/>
        <v>8439695.5209999997</v>
      </c>
      <c r="R18" s="43">
        <f t="shared" si="0"/>
        <v>4.1442335997520355E-2</v>
      </c>
      <c r="S18" s="40"/>
      <c r="T18" s="10">
        <v>5162868.4250000026</v>
      </c>
      <c r="U18" s="10">
        <v>6380722.6049999995</v>
      </c>
      <c r="V18" s="16">
        <f t="shared" si="1"/>
        <v>0.32268647980192211</v>
      </c>
      <c r="W18" s="17">
        <f t="shared" si="6"/>
        <v>0.32268647980192211</v>
      </c>
      <c r="X18" s="16">
        <f t="shared" si="2"/>
        <v>0.6346911883581452</v>
      </c>
      <c r="Y18" s="17">
        <f t="shared" si="7"/>
        <v>0.6346911883581452</v>
      </c>
      <c r="Z18" s="38"/>
      <c r="AA18" s="10">
        <v>5162868.4250000026</v>
      </c>
      <c r="AB18" s="16">
        <f t="shared" si="3"/>
        <v>0.6346911883581452</v>
      </c>
      <c r="AC18" s="17">
        <f t="shared" si="4"/>
        <v>0.6346911883581452</v>
      </c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</row>
    <row r="19" spans="1:49" s="41" customFormat="1" x14ac:dyDescent="0.25">
      <c r="A19" s="6">
        <v>16</v>
      </c>
      <c r="B19" s="42">
        <v>4011109000</v>
      </c>
      <c r="C19" s="13" t="s">
        <v>27</v>
      </c>
      <c r="D19" s="38"/>
      <c r="E19" s="10">
        <v>70001.990000000005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>
        <f t="shared" si="5"/>
        <v>70001.990000000005</v>
      </c>
      <c r="R19" s="43">
        <f t="shared" si="0"/>
        <v>3.4373822880891345E-4</v>
      </c>
      <c r="S19" s="40"/>
      <c r="T19" s="10">
        <v>138847.58100000001</v>
      </c>
      <c r="U19" s="10">
        <v>4016.0990000000002</v>
      </c>
      <c r="V19" s="16">
        <f t="shared" si="1"/>
        <v>16.430344720087827</v>
      </c>
      <c r="W19" s="17">
        <f t="shared" si="6"/>
        <v>16.430344720087827</v>
      </c>
      <c r="X19" s="16">
        <f t="shared" si="2"/>
        <v>-0.49583572507467738</v>
      </c>
      <c r="Y19" s="17">
        <f t="shared" si="7"/>
        <v>-0.49583572507467738</v>
      </c>
      <c r="Z19" s="38"/>
      <c r="AA19" s="10">
        <v>138847.58100000001</v>
      </c>
      <c r="AB19" s="16">
        <f t="shared" si="3"/>
        <v>-0.49583572507467738</v>
      </c>
      <c r="AC19" s="17">
        <f t="shared" si="4"/>
        <v>-0.49583572507467738</v>
      </c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</row>
    <row r="20" spans="1:49" s="41" customFormat="1" x14ac:dyDescent="0.25">
      <c r="A20" s="6">
        <v>17</v>
      </c>
      <c r="B20" s="42">
        <v>4011201000</v>
      </c>
      <c r="C20" s="13" t="s">
        <v>27</v>
      </c>
      <c r="D20" s="38"/>
      <c r="E20" s="10">
        <v>19735114.639000006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>
        <f t="shared" si="5"/>
        <v>19735114.639000006</v>
      </c>
      <c r="R20" s="43">
        <f t="shared" si="0"/>
        <v>9.6907435793621308E-2</v>
      </c>
      <c r="S20" s="40"/>
      <c r="T20" s="10">
        <v>12280862.041000003</v>
      </c>
      <c r="U20" s="10">
        <v>16373290.315000009</v>
      </c>
      <c r="V20" s="16">
        <f t="shared" si="1"/>
        <v>0.20532368627948533</v>
      </c>
      <c r="W20" s="17">
        <f t="shared" si="6"/>
        <v>0.20532368627948533</v>
      </c>
      <c r="X20" s="16">
        <f t="shared" si="2"/>
        <v>0.60698121785863002</v>
      </c>
      <c r="Y20" s="17">
        <f t="shared" si="7"/>
        <v>0.60698121785863002</v>
      </c>
      <c r="Z20" s="38"/>
      <c r="AA20" s="10">
        <v>12280862.041000003</v>
      </c>
      <c r="AB20" s="16">
        <f t="shared" si="3"/>
        <v>0.60698121785863002</v>
      </c>
      <c r="AC20" s="17">
        <f t="shared" si="4"/>
        <v>0.60698121785863002</v>
      </c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</row>
    <row r="21" spans="1:49" s="41" customFormat="1" x14ac:dyDescent="0.25">
      <c r="A21" s="6">
        <v>18</v>
      </c>
      <c r="B21" s="42">
        <v>4011209000</v>
      </c>
      <c r="C21" s="13" t="s">
        <v>27</v>
      </c>
      <c r="D21" s="38"/>
      <c r="E21" s="10">
        <v>655416.46499999997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>
        <f t="shared" si="5"/>
        <v>655416.46499999997</v>
      </c>
      <c r="R21" s="43">
        <f t="shared" si="0"/>
        <v>3.2183612896047554E-3</v>
      </c>
      <c r="S21" s="40"/>
      <c r="T21" s="10">
        <v>1047514.85</v>
      </c>
      <c r="U21" s="10">
        <v>398006.22600000002</v>
      </c>
      <c r="V21" s="16">
        <f t="shared" si="1"/>
        <v>0.64674927723366804</v>
      </c>
      <c r="W21" s="17">
        <f t="shared" si="6"/>
        <v>0.64674927723366804</v>
      </c>
      <c r="X21" s="16">
        <f t="shared" si="2"/>
        <v>-0.37431296081387294</v>
      </c>
      <c r="Y21" s="17">
        <f t="shared" si="7"/>
        <v>-0.37431296081387294</v>
      </c>
      <c r="Z21" s="38"/>
      <c r="AA21" s="10">
        <v>1047514.85</v>
      </c>
      <c r="AB21" s="16">
        <f t="shared" si="3"/>
        <v>-0.37431296081387294</v>
      </c>
      <c r="AC21" s="17">
        <f t="shared" si="4"/>
        <v>-0.37431296081387294</v>
      </c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</row>
    <row r="22" spans="1:49" s="41" customFormat="1" x14ac:dyDescent="0.25">
      <c r="A22" s="6">
        <v>19</v>
      </c>
      <c r="B22" s="42">
        <v>4011400000</v>
      </c>
      <c r="C22" s="13" t="s">
        <v>27</v>
      </c>
      <c r="D22" s="38"/>
      <c r="E22" s="10">
        <v>3104400.3950000005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>
        <f t="shared" si="5"/>
        <v>3104400.3950000005</v>
      </c>
      <c r="R22" s="43">
        <f t="shared" si="0"/>
        <v>1.5243867971338977E-2</v>
      </c>
      <c r="S22" s="40"/>
      <c r="T22" s="10">
        <v>3144980.8370000003</v>
      </c>
      <c r="U22" s="10">
        <v>4235997.8419999992</v>
      </c>
      <c r="V22" s="16">
        <f t="shared" si="1"/>
        <v>-0.2671383435988065</v>
      </c>
      <c r="W22" s="17">
        <f t="shared" si="6"/>
        <v>-0.2671383435988065</v>
      </c>
      <c r="X22" s="16">
        <f t="shared" si="2"/>
        <v>-1.2903239829820242E-2</v>
      </c>
      <c r="Y22" s="17">
        <f t="shared" si="7"/>
        <v>-1.2903239829820242E-2</v>
      </c>
      <c r="Z22" s="38"/>
      <c r="AA22" s="10">
        <v>3144980.8370000003</v>
      </c>
      <c r="AB22" s="16">
        <f t="shared" si="3"/>
        <v>-1.2903239829820242E-2</v>
      </c>
      <c r="AC22" s="17">
        <f t="shared" si="4"/>
        <v>-1.2903239829820242E-2</v>
      </c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</row>
    <row r="23" spans="1:49" s="41" customFormat="1" x14ac:dyDescent="0.25">
      <c r="A23" s="6">
        <v>20</v>
      </c>
      <c r="B23" s="42">
        <v>4011700000</v>
      </c>
      <c r="C23" s="13" t="s">
        <v>27</v>
      </c>
      <c r="D23" s="38"/>
      <c r="E23" s="10">
        <v>417513.84300000005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>
        <f t="shared" si="5"/>
        <v>417513.84300000005</v>
      </c>
      <c r="R23" s="43">
        <f t="shared" si="0"/>
        <v>2.0501627010321103E-3</v>
      </c>
      <c r="S23" s="40"/>
      <c r="T23" s="10">
        <v>418840.41999999993</v>
      </c>
      <c r="U23" s="10">
        <v>532993.18800000008</v>
      </c>
      <c r="V23" s="16">
        <f t="shared" si="1"/>
        <v>-0.21666195291036255</v>
      </c>
      <c r="W23" s="17">
        <f t="shared" si="6"/>
        <v>-0.21666195291036255</v>
      </c>
      <c r="X23" s="16">
        <f t="shared" si="2"/>
        <v>-3.1672611731214336E-3</v>
      </c>
      <c r="Y23" s="17">
        <f t="shared" si="7"/>
        <v>-3.1672611731214336E-3</v>
      </c>
      <c r="Z23" s="38"/>
      <c r="AA23" s="10">
        <v>418840.41999999993</v>
      </c>
      <c r="AB23" s="16">
        <f t="shared" si="3"/>
        <v>-3.1672611731214336E-3</v>
      </c>
      <c r="AC23" s="17">
        <f t="shared" si="4"/>
        <v>-3.1672611731214336E-3</v>
      </c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</row>
    <row r="24" spans="1:49" s="41" customFormat="1" x14ac:dyDescent="0.25">
      <c r="A24" s="6">
        <v>21</v>
      </c>
      <c r="B24" s="42">
        <v>4011800000</v>
      </c>
      <c r="C24" s="13" t="s">
        <v>27</v>
      </c>
      <c r="D24" s="38"/>
      <c r="E24" s="10">
        <v>18038925.892000001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>
        <f t="shared" si="5"/>
        <v>18038925.892000001</v>
      </c>
      <c r="R24" s="43">
        <f t="shared" si="0"/>
        <v>8.8578459494241937E-2</v>
      </c>
      <c r="S24" s="40"/>
      <c r="T24" s="10">
        <v>18516003.938999999</v>
      </c>
      <c r="U24" s="10">
        <v>32078039.819999959</v>
      </c>
      <c r="V24" s="16">
        <f t="shared" si="1"/>
        <v>-0.43765498162536964</v>
      </c>
      <c r="W24" s="17">
        <f t="shared" si="6"/>
        <v>-0.43765498162536964</v>
      </c>
      <c r="X24" s="16">
        <f t="shared" si="2"/>
        <v>-2.5765713194472573E-2</v>
      </c>
      <c r="Y24" s="17">
        <f t="shared" si="7"/>
        <v>-2.5765713194472573E-2</v>
      </c>
      <c r="Z24" s="38"/>
      <c r="AA24" s="10">
        <v>18516003.938999999</v>
      </c>
      <c r="AB24" s="16">
        <f t="shared" si="3"/>
        <v>-2.5765713194472573E-2</v>
      </c>
      <c r="AC24" s="17">
        <f t="shared" si="4"/>
        <v>-2.5765713194472573E-2</v>
      </c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</row>
    <row r="25" spans="1:49" s="41" customFormat="1" x14ac:dyDescent="0.25">
      <c r="A25" s="6">
        <v>22</v>
      </c>
      <c r="B25" s="42">
        <v>4011900000</v>
      </c>
      <c r="C25" s="13" t="s">
        <v>27</v>
      </c>
      <c r="D25" s="38"/>
      <c r="E25" s="10">
        <v>123312.864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>
        <f t="shared" si="5"/>
        <v>123312.864</v>
      </c>
      <c r="R25" s="43">
        <f t="shared" si="0"/>
        <v>6.0551629261845871E-4</v>
      </c>
      <c r="S25" s="40"/>
      <c r="T25" s="10">
        <v>68003.031999999992</v>
      </c>
      <c r="U25" s="10">
        <v>254959.95</v>
      </c>
      <c r="V25" s="16">
        <f t="shared" si="1"/>
        <v>-0.51634417876219385</v>
      </c>
      <c r="W25" s="17">
        <f t="shared" si="6"/>
        <v>-0.51634417876219385</v>
      </c>
      <c r="X25" s="16">
        <f t="shared" si="2"/>
        <v>0.81334361679638068</v>
      </c>
      <c r="Y25" s="17">
        <f t="shared" si="7"/>
        <v>0.81334361679638068</v>
      </c>
      <c r="Z25" s="38"/>
      <c r="AA25" s="10">
        <v>68003.031999999992</v>
      </c>
      <c r="AB25" s="16">
        <f t="shared" si="3"/>
        <v>0.81334361679638068</v>
      </c>
      <c r="AC25" s="17">
        <f t="shared" si="4"/>
        <v>0.81334361679638068</v>
      </c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</row>
    <row r="26" spans="1:49" s="41" customFormat="1" x14ac:dyDescent="0.25">
      <c r="A26" s="6">
        <v>23</v>
      </c>
      <c r="B26" s="42">
        <v>4012120000</v>
      </c>
      <c r="C26" s="13" t="s">
        <v>27</v>
      </c>
      <c r="D26" s="38"/>
      <c r="E26" s="10">
        <v>6600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>
        <f t="shared" si="5"/>
        <v>6600</v>
      </c>
      <c r="R26" s="43">
        <f t="shared" si="0"/>
        <v>3.2408683097992334E-5</v>
      </c>
      <c r="S26" s="40"/>
      <c r="T26" s="10">
        <v>0</v>
      </c>
      <c r="U26" s="10">
        <v>0</v>
      </c>
      <c r="V26" s="16">
        <f t="shared" si="1"/>
        <v>0</v>
      </c>
      <c r="W26" s="17">
        <f t="shared" si="6"/>
        <v>0</v>
      </c>
      <c r="X26" s="16">
        <f t="shared" si="2"/>
        <v>0</v>
      </c>
      <c r="Y26" s="17">
        <f t="shared" si="7"/>
        <v>0</v>
      </c>
      <c r="Z26" s="38"/>
      <c r="AA26" s="10">
        <v>0</v>
      </c>
      <c r="AB26" s="16">
        <f t="shared" si="3"/>
        <v>0</v>
      </c>
      <c r="AC26" s="17">
        <f t="shared" si="4"/>
        <v>0</v>
      </c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</row>
    <row r="27" spans="1:49" s="41" customFormat="1" x14ac:dyDescent="0.25">
      <c r="A27" s="6">
        <v>24</v>
      </c>
      <c r="B27" s="42">
        <v>4012190000</v>
      </c>
      <c r="C27" s="13" t="s">
        <v>27</v>
      </c>
      <c r="D27" s="38"/>
      <c r="E27" s="10">
        <v>687.404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>
        <f t="shared" si="5"/>
        <v>687.404</v>
      </c>
      <c r="R27" s="43">
        <f t="shared" si="0"/>
        <v>3.3754330903473219E-6</v>
      </c>
      <c r="S27" s="40"/>
      <c r="T27" s="10">
        <v>160</v>
      </c>
      <c r="U27" s="10">
        <v>13337.148999999999</v>
      </c>
      <c r="V27" s="16">
        <f t="shared" si="1"/>
        <v>-0.94845944961700579</v>
      </c>
      <c r="W27" s="17">
        <f t="shared" si="6"/>
        <v>-0.94845944961700579</v>
      </c>
      <c r="X27" s="16">
        <f t="shared" si="2"/>
        <v>3.2962750000000001</v>
      </c>
      <c r="Y27" s="17">
        <f t="shared" si="7"/>
        <v>3.2962750000000001</v>
      </c>
      <c r="Z27" s="38"/>
      <c r="AA27" s="10">
        <v>160</v>
      </c>
      <c r="AB27" s="16">
        <f t="shared" si="3"/>
        <v>3.2962750000000001</v>
      </c>
      <c r="AC27" s="17">
        <f t="shared" si="4"/>
        <v>3.2962750000000001</v>
      </c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</row>
    <row r="28" spans="1:49" s="41" customFormat="1" x14ac:dyDescent="0.25">
      <c r="A28" s="6">
        <v>25</v>
      </c>
      <c r="B28" s="42">
        <v>4012902000</v>
      </c>
      <c r="C28" s="13" t="s">
        <v>27</v>
      </c>
      <c r="D28" s="38"/>
      <c r="E28" s="10">
        <v>69682.436000000002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>
        <f t="shared" si="5"/>
        <v>69682.436000000002</v>
      </c>
      <c r="R28" s="43">
        <f t="shared" si="0"/>
        <v>3.4216908876062621E-4</v>
      </c>
      <c r="S28" s="40"/>
      <c r="T28" s="10">
        <v>59399.728999999999</v>
      </c>
      <c r="U28" s="10">
        <v>53922.745000000003</v>
      </c>
      <c r="V28" s="16">
        <f t="shared" si="1"/>
        <v>0.29226425694760155</v>
      </c>
      <c r="W28" s="17">
        <f t="shared" si="6"/>
        <v>0.29226425694760155</v>
      </c>
      <c r="X28" s="16">
        <f t="shared" si="2"/>
        <v>0.17311033523402106</v>
      </c>
      <c r="Y28" s="17">
        <f t="shared" si="7"/>
        <v>0.17311033523402106</v>
      </c>
      <c r="Z28" s="38"/>
      <c r="AA28" s="10">
        <v>59399.728999999999</v>
      </c>
      <c r="AB28" s="16">
        <f t="shared" si="3"/>
        <v>0.17311033523402106</v>
      </c>
      <c r="AC28" s="17">
        <f t="shared" si="4"/>
        <v>0.17311033523402106</v>
      </c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</row>
    <row r="29" spans="1:49" s="41" customFormat="1" x14ac:dyDescent="0.25">
      <c r="A29" s="6">
        <v>26</v>
      </c>
      <c r="B29" s="42">
        <v>4012903000</v>
      </c>
      <c r="C29" s="13" t="s">
        <v>27</v>
      </c>
      <c r="D29" s="38"/>
      <c r="E29" s="10">
        <v>45.994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>
        <f t="shared" si="5"/>
        <v>45.994</v>
      </c>
      <c r="R29" s="43">
        <f t="shared" si="0"/>
        <v>2.258492379407666E-7</v>
      </c>
      <c r="S29" s="40"/>
      <c r="T29" s="10">
        <v>9986.1840000000011</v>
      </c>
      <c r="U29" s="10">
        <v>0</v>
      </c>
      <c r="V29" s="16">
        <f t="shared" si="1"/>
        <v>0</v>
      </c>
      <c r="W29" s="17">
        <f t="shared" si="6"/>
        <v>0</v>
      </c>
      <c r="X29" s="16">
        <f t="shared" si="2"/>
        <v>-0.99539423667739346</v>
      </c>
      <c r="Y29" s="17">
        <f t="shared" si="7"/>
        <v>-0.99539423667739346</v>
      </c>
      <c r="Z29" s="38"/>
      <c r="AA29" s="10">
        <v>9986.1840000000011</v>
      </c>
      <c r="AB29" s="16">
        <f t="shared" si="3"/>
        <v>-0.99539423667739346</v>
      </c>
      <c r="AC29" s="17">
        <f t="shared" si="4"/>
        <v>-0.99539423667739346</v>
      </c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</row>
    <row r="30" spans="1:49" s="41" customFormat="1" x14ac:dyDescent="0.25">
      <c r="A30" s="6">
        <v>27</v>
      </c>
      <c r="B30" s="42">
        <v>4013100000</v>
      </c>
      <c r="C30" s="13" t="s">
        <v>27</v>
      </c>
      <c r="D30" s="38"/>
      <c r="E30" s="10">
        <v>48954.584999999999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>
        <f t="shared" si="5"/>
        <v>48954.584999999999</v>
      </c>
      <c r="R30" s="43">
        <f t="shared" si="0"/>
        <v>2.403869138573832E-4</v>
      </c>
      <c r="S30" s="40"/>
      <c r="T30" s="10">
        <v>140919.519</v>
      </c>
      <c r="U30" s="10">
        <v>8221.76</v>
      </c>
      <c r="V30" s="16">
        <f t="shared" si="1"/>
        <v>4.9542707400848478</v>
      </c>
      <c r="W30" s="17">
        <f t="shared" si="6"/>
        <v>4.9542707400848478</v>
      </c>
      <c r="X30" s="16">
        <f t="shared" si="2"/>
        <v>-0.65260607368380252</v>
      </c>
      <c r="Y30" s="17">
        <f t="shared" si="7"/>
        <v>-0.65260607368380252</v>
      </c>
      <c r="Z30" s="38"/>
      <c r="AA30" s="10">
        <v>140919.519</v>
      </c>
      <c r="AB30" s="16">
        <f t="shared" si="3"/>
        <v>-0.65260607368380252</v>
      </c>
      <c r="AC30" s="17">
        <f t="shared" si="4"/>
        <v>-0.65260607368380252</v>
      </c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</row>
    <row r="31" spans="1:49" s="41" customFormat="1" x14ac:dyDescent="0.25">
      <c r="A31" s="6">
        <v>28</v>
      </c>
      <c r="B31" s="42">
        <v>4013900000</v>
      </c>
      <c r="C31" s="13" t="s">
        <v>27</v>
      </c>
      <c r="D31" s="38"/>
      <c r="E31" s="10">
        <v>1155049.5329999996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>
        <f t="shared" si="5"/>
        <v>1155049.5329999996</v>
      </c>
      <c r="R31" s="43">
        <f t="shared" si="0"/>
        <v>5.6717627693153071E-3</v>
      </c>
      <c r="S31" s="40"/>
      <c r="T31" s="10">
        <v>469627.10699999996</v>
      </c>
      <c r="U31" s="10">
        <v>1293286.801</v>
      </c>
      <c r="V31" s="16">
        <f t="shared" si="1"/>
        <v>-0.10688833126040725</v>
      </c>
      <c r="W31" s="17">
        <f t="shared" si="6"/>
        <v>-0.10688833126040725</v>
      </c>
      <c r="X31" s="16">
        <f t="shared" si="2"/>
        <v>1.4595035418174864</v>
      </c>
      <c r="Y31" s="17">
        <f t="shared" si="7"/>
        <v>1.4595035418174864</v>
      </c>
      <c r="Z31" s="38"/>
      <c r="AA31" s="10">
        <v>469627.10699999996</v>
      </c>
      <c r="AB31" s="16">
        <f t="shared" si="3"/>
        <v>1.4595035418174864</v>
      </c>
      <c r="AC31" s="17">
        <f t="shared" si="4"/>
        <v>1.4595035418174864</v>
      </c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</row>
    <row r="32" spans="1:49" s="41" customFormat="1" x14ac:dyDescent="0.25">
      <c r="A32" s="6">
        <v>29</v>
      </c>
      <c r="B32" s="42">
        <v>4016930000</v>
      </c>
      <c r="C32" s="13" t="s">
        <v>4</v>
      </c>
      <c r="D32" s="38"/>
      <c r="E32" s="10">
        <v>3980865.8840000085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>
        <f t="shared" si="5"/>
        <v>3980865.8840000085</v>
      </c>
      <c r="R32" s="43">
        <f t="shared" si="0"/>
        <v>1.954766983184324E-2</v>
      </c>
      <c r="S32" s="40"/>
      <c r="T32" s="10">
        <v>3265427.0330000026</v>
      </c>
      <c r="U32" s="10">
        <v>3157418.1919999989</v>
      </c>
      <c r="V32" s="16">
        <f t="shared" si="1"/>
        <v>0.26079779171678691</v>
      </c>
      <c r="W32" s="17">
        <f t="shared" si="6"/>
        <v>0.26079779171678691</v>
      </c>
      <c r="X32" s="16">
        <f t="shared" si="2"/>
        <v>0.21909503528018515</v>
      </c>
      <c r="Y32" s="17">
        <f t="shared" si="7"/>
        <v>0.21909503528018515</v>
      </c>
      <c r="Z32" s="38"/>
      <c r="AA32" s="10">
        <v>3265427.0330000026</v>
      </c>
      <c r="AB32" s="16">
        <f t="shared" si="3"/>
        <v>0.21909503528018515</v>
      </c>
      <c r="AC32" s="17">
        <f t="shared" si="4"/>
        <v>0.21909503528018515</v>
      </c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</row>
    <row r="33" spans="1:49" s="41" customFormat="1" x14ac:dyDescent="0.25">
      <c r="A33" s="6">
        <v>30</v>
      </c>
      <c r="B33" s="42">
        <v>4016994000</v>
      </c>
      <c r="C33" s="13" t="s">
        <v>27</v>
      </c>
      <c r="D33" s="38"/>
      <c r="E33" s="10">
        <v>229263.41000000003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>
        <f t="shared" si="5"/>
        <v>229263.41000000003</v>
      </c>
      <c r="R33" s="43">
        <f t="shared" si="0"/>
        <v>1.1257765455538013E-3</v>
      </c>
      <c r="S33" s="40"/>
      <c r="T33" s="10">
        <v>377726.04800000001</v>
      </c>
      <c r="U33" s="10">
        <v>117335.927</v>
      </c>
      <c r="V33" s="16">
        <f t="shared" si="1"/>
        <v>0.95390632572408995</v>
      </c>
      <c r="W33" s="17">
        <f t="shared" si="6"/>
        <v>0.95390632572408995</v>
      </c>
      <c r="X33" s="16">
        <f t="shared" si="2"/>
        <v>-0.39304315597530615</v>
      </c>
      <c r="Y33" s="17">
        <f t="shared" si="7"/>
        <v>-0.39304315597530615</v>
      </c>
      <c r="Z33" s="38"/>
      <c r="AA33" s="10">
        <v>377726.04800000001</v>
      </c>
      <c r="AB33" s="16">
        <f t="shared" si="3"/>
        <v>-0.39304315597530615</v>
      </c>
      <c r="AC33" s="17">
        <f t="shared" si="4"/>
        <v>-0.39304315597530615</v>
      </c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4" spans="1:49" s="41" customFormat="1" x14ac:dyDescent="0.25">
      <c r="A34" s="6">
        <v>31</v>
      </c>
      <c r="B34" s="42">
        <v>6813810000</v>
      </c>
      <c r="C34" s="13" t="s">
        <v>14</v>
      </c>
      <c r="D34" s="38"/>
      <c r="E34" s="10">
        <v>387947.50199999998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>
        <f t="shared" si="5"/>
        <v>387947.50199999998</v>
      </c>
      <c r="R34" s="43">
        <f t="shared" si="0"/>
        <v>1.9049799471175376E-3</v>
      </c>
      <c r="S34" s="40"/>
      <c r="T34" s="10">
        <v>319461.64599999995</v>
      </c>
      <c r="U34" s="10">
        <v>517822.72699999984</v>
      </c>
      <c r="V34" s="16">
        <f t="shared" si="1"/>
        <v>-0.25081020632761819</v>
      </c>
      <c r="W34" s="17">
        <f t="shared" si="6"/>
        <v>-0.25081020632761819</v>
      </c>
      <c r="X34" s="16">
        <f t="shared" si="2"/>
        <v>0.2143789617862297</v>
      </c>
      <c r="Y34" s="17">
        <f t="shared" si="7"/>
        <v>0.2143789617862297</v>
      </c>
      <c r="Z34" s="38"/>
      <c r="AA34" s="10">
        <v>319461.64599999995</v>
      </c>
      <c r="AB34" s="16">
        <f t="shared" si="3"/>
        <v>0.2143789617862297</v>
      </c>
      <c r="AC34" s="17">
        <f t="shared" si="4"/>
        <v>0.2143789617862297</v>
      </c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</row>
    <row r="35" spans="1:49" s="41" customFormat="1" x14ac:dyDescent="0.25">
      <c r="A35" s="6">
        <v>32</v>
      </c>
      <c r="B35" s="42">
        <v>7007110000</v>
      </c>
      <c r="C35" s="13" t="s">
        <v>14</v>
      </c>
      <c r="D35" s="38"/>
      <c r="E35" s="10">
        <v>201131.761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>
        <f t="shared" si="5"/>
        <v>201131.761</v>
      </c>
      <c r="R35" s="43">
        <f t="shared" si="0"/>
        <v>9.8763871260456573E-4</v>
      </c>
      <c r="S35" s="40"/>
      <c r="T35" s="10">
        <v>194235.18099999995</v>
      </c>
      <c r="U35" s="10">
        <v>281908.02200000011</v>
      </c>
      <c r="V35" s="16">
        <f t="shared" si="1"/>
        <v>-0.28653409869975277</v>
      </c>
      <c r="W35" s="17">
        <f t="shared" si="6"/>
        <v>-0.28653409869975277</v>
      </c>
      <c r="X35" s="16">
        <f t="shared" si="2"/>
        <v>3.5506338061383674E-2</v>
      </c>
      <c r="Y35" s="17">
        <f t="shared" si="7"/>
        <v>3.5506338061383674E-2</v>
      </c>
      <c r="Z35" s="38"/>
      <c r="AA35" s="10">
        <v>194235.18099999995</v>
      </c>
      <c r="AB35" s="16">
        <f t="shared" si="3"/>
        <v>3.5506338061383674E-2</v>
      </c>
      <c r="AC35" s="17">
        <f t="shared" si="4"/>
        <v>3.5506338061383674E-2</v>
      </c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</row>
    <row r="36" spans="1:49" s="41" customFormat="1" x14ac:dyDescent="0.25">
      <c r="A36" s="6">
        <v>33</v>
      </c>
      <c r="B36" s="42">
        <v>7007210000</v>
      </c>
      <c r="C36" s="13" t="s">
        <v>14</v>
      </c>
      <c r="D36" s="38"/>
      <c r="E36" s="10">
        <v>519996.82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>
        <f t="shared" si="5"/>
        <v>519996.82</v>
      </c>
      <c r="R36" s="43">
        <f t="shared" ref="R36:R67" si="8">+Q36/$Q$151</f>
        <v>2.5533957805066311E-3</v>
      </c>
      <c r="S36" s="40"/>
      <c r="T36" s="10">
        <v>1283214.7649999999</v>
      </c>
      <c r="U36" s="10">
        <v>327649.33</v>
      </c>
      <c r="V36" s="16">
        <f t="shared" si="1"/>
        <v>0.58705290195465987</v>
      </c>
      <c r="W36" s="17">
        <f t="shared" si="6"/>
        <v>0.58705290195465987</v>
      </c>
      <c r="X36" s="16">
        <f t="shared" ref="X36:X67" si="9">+Y36</f>
        <v>-0.59477023318072553</v>
      </c>
      <c r="Y36" s="17">
        <f t="shared" si="7"/>
        <v>-0.59477023318072553</v>
      </c>
      <c r="Z36" s="38"/>
      <c r="AA36" s="10">
        <v>1283214.7649999999</v>
      </c>
      <c r="AB36" s="16">
        <f t="shared" ref="AB36:AB67" si="10">+AC36</f>
        <v>-0.59477023318072553</v>
      </c>
      <c r="AC36" s="17">
        <f t="shared" ref="AC36:AC67" si="11">IFERROR((Q36-AA36)/AA36,0)</f>
        <v>-0.59477023318072553</v>
      </c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</row>
    <row r="37" spans="1:49" s="41" customFormat="1" x14ac:dyDescent="0.25">
      <c r="A37" s="6">
        <v>34</v>
      </c>
      <c r="B37" s="42">
        <v>7009100000</v>
      </c>
      <c r="C37" s="13" t="s">
        <v>14</v>
      </c>
      <c r="D37" s="38"/>
      <c r="E37" s="10">
        <v>537298.78299999994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>
        <f t="shared" si="5"/>
        <v>537298.78299999994</v>
      </c>
      <c r="R37" s="43">
        <f t="shared" si="8"/>
        <v>2.6383554526036288E-3</v>
      </c>
      <c r="S37" s="40"/>
      <c r="T37" s="10">
        <v>436648.76000000007</v>
      </c>
      <c r="U37" s="10">
        <v>713034.89699999965</v>
      </c>
      <c r="V37" s="16">
        <f t="shared" si="1"/>
        <v>-0.24646215036513114</v>
      </c>
      <c r="W37" s="17">
        <f t="shared" si="6"/>
        <v>-0.24646215036513114</v>
      </c>
      <c r="X37" s="16">
        <f t="shared" si="9"/>
        <v>0.23050568837067087</v>
      </c>
      <c r="Y37" s="17">
        <f t="shared" si="7"/>
        <v>0.23050568837067087</v>
      </c>
      <c r="Z37" s="38"/>
      <c r="AA37" s="10">
        <v>436648.76000000007</v>
      </c>
      <c r="AB37" s="16">
        <f t="shared" si="10"/>
        <v>0.23050568837067087</v>
      </c>
      <c r="AC37" s="17">
        <f t="shared" si="11"/>
        <v>0.23050568837067087</v>
      </c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</row>
    <row r="38" spans="1:49" s="41" customFormat="1" x14ac:dyDescent="0.25">
      <c r="A38" s="6">
        <v>35</v>
      </c>
      <c r="B38" s="42">
        <v>7315120000</v>
      </c>
      <c r="C38" s="13" t="s">
        <v>4</v>
      </c>
      <c r="D38" s="38"/>
      <c r="E38" s="10">
        <v>2044647.9179999996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>
        <f t="shared" si="5"/>
        <v>2044647.9179999996</v>
      </c>
      <c r="R38" s="43">
        <f t="shared" si="8"/>
        <v>1.0040052488095728E-2</v>
      </c>
      <c r="S38" s="40"/>
      <c r="T38" s="10">
        <v>1631136.3059999987</v>
      </c>
      <c r="U38" s="10">
        <v>1851237.9530000002</v>
      </c>
      <c r="V38" s="16">
        <f t="shared" si="1"/>
        <v>0.10447601546120601</v>
      </c>
      <c r="W38" s="17">
        <f t="shared" si="6"/>
        <v>0.10447601546120601</v>
      </c>
      <c r="X38" s="16">
        <f t="shared" si="9"/>
        <v>0.25351137760770387</v>
      </c>
      <c r="Y38" s="17">
        <f t="shared" si="7"/>
        <v>0.25351137760770387</v>
      </c>
      <c r="Z38" s="38"/>
      <c r="AA38" s="10">
        <v>1631136.3059999987</v>
      </c>
      <c r="AB38" s="16">
        <f t="shared" si="10"/>
        <v>0.25351137760770387</v>
      </c>
      <c r="AC38" s="17">
        <f t="shared" si="11"/>
        <v>0.25351137760770387</v>
      </c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</row>
    <row r="39" spans="1:49" s="41" customFormat="1" x14ac:dyDescent="0.25">
      <c r="A39" s="6">
        <v>36</v>
      </c>
      <c r="B39" s="42">
        <v>7320100000</v>
      </c>
      <c r="C39" s="13" t="s">
        <v>3</v>
      </c>
      <c r="D39" s="38"/>
      <c r="E39" s="10">
        <v>588670.07799999998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>
        <f t="shared" si="5"/>
        <v>588670.07799999998</v>
      </c>
      <c r="R39" s="43">
        <f t="shared" si="8"/>
        <v>2.8906093950261257E-3</v>
      </c>
      <c r="S39" s="40"/>
      <c r="T39" s="10">
        <v>587523.86399999983</v>
      </c>
      <c r="U39" s="10">
        <v>513290.6759999998</v>
      </c>
      <c r="V39" s="16">
        <f t="shared" si="1"/>
        <v>0.14685519438502367</v>
      </c>
      <c r="W39" s="17">
        <f t="shared" si="6"/>
        <v>0.14685519438502367</v>
      </c>
      <c r="X39" s="16">
        <f t="shared" si="9"/>
        <v>1.9509233075171786E-3</v>
      </c>
      <c r="Y39" s="17">
        <f t="shared" si="7"/>
        <v>1.9509233075171786E-3</v>
      </c>
      <c r="Z39" s="38"/>
      <c r="AA39" s="10">
        <v>587523.86399999983</v>
      </c>
      <c r="AB39" s="16">
        <f t="shared" si="10"/>
        <v>1.9509233075171786E-3</v>
      </c>
      <c r="AC39" s="17">
        <f t="shared" si="11"/>
        <v>1.9509233075171786E-3</v>
      </c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</row>
    <row r="40" spans="1:49" s="41" customFormat="1" x14ac:dyDescent="0.25">
      <c r="A40" s="6">
        <v>37</v>
      </c>
      <c r="B40" s="42">
        <v>7320201000</v>
      </c>
      <c r="C40" s="13" t="s">
        <v>3</v>
      </c>
      <c r="D40" s="38"/>
      <c r="E40" s="10">
        <v>166274.09400000001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>
        <f t="shared" si="5"/>
        <v>166274.09400000001</v>
      </c>
      <c r="R40" s="43">
        <f t="shared" si="8"/>
        <v>8.1647339694724077E-4</v>
      </c>
      <c r="S40" s="40"/>
      <c r="T40" s="10">
        <v>402113.47499999998</v>
      </c>
      <c r="U40" s="10">
        <v>396611.05699999986</v>
      </c>
      <c r="V40" s="16">
        <f t="shared" si="1"/>
        <v>-0.58076283788527849</v>
      </c>
      <c r="W40" s="17">
        <f t="shared" si="6"/>
        <v>-0.58076283788527849</v>
      </c>
      <c r="X40" s="16">
        <f t="shared" si="9"/>
        <v>-0.58649957204244396</v>
      </c>
      <c r="Y40" s="17">
        <f t="shared" si="7"/>
        <v>-0.58649957204244396</v>
      </c>
      <c r="Z40" s="38"/>
      <c r="AA40" s="10">
        <v>402113.47499999998</v>
      </c>
      <c r="AB40" s="16">
        <f t="shared" si="10"/>
        <v>-0.58649957204244396</v>
      </c>
      <c r="AC40" s="17">
        <f t="shared" si="11"/>
        <v>-0.58649957204244396</v>
      </c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</row>
    <row r="41" spans="1:49" s="41" customFormat="1" x14ac:dyDescent="0.25">
      <c r="A41" s="6">
        <v>38</v>
      </c>
      <c r="B41" s="42">
        <v>7320209000</v>
      </c>
      <c r="C41" s="13" t="s">
        <v>3</v>
      </c>
      <c r="D41" s="38"/>
      <c r="E41" s="10">
        <v>601215.29399999953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>
        <f t="shared" si="5"/>
        <v>601215.29399999953</v>
      </c>
      <c r="R41" s="43">
        <f t="shared" si="8"/>
        <v>2.9522115055927696E-3</v>
      </c>
      <c r="S41" s="40"/>
      <c r="T41" s="10">
        <v>856456.28399999882</v>
      </c>
      <c r="U41" s="10">
        <v>641510.01899999985</v>
      </c>
      <c r="V41" s="16">
        <f t="shared" si="1"/>
        <v>-6.2812308158199368E-2</v>
      </c>
      <c r="W41" s="17">
        <f t="shared" si="6"/>
        <v>-6.2812308158199368E-2</v>
      </c>
      <c r="X41" s="16">
        <f t="shared" si="9"/>
        <v>-0.29801986951151804</v>
      </c>
      <c r="Y41" s="17">
        <f t="shared" si="7"/>
        <v>-0.29801986951151804</v>
      </c>
      <c r="Z41" s="38"/>
      <c r="AA41" s="10">
        <v>856456.28399999882</v>
      </c>
      <c r="AB41" s="16">
        <f t="shared" si="10"/>
        <v>-0.29801986951151804</v>
      </c>
      <c r="AC41" s="17">
        <f t="shared" si="11"/>
        <v>-0.29801986951151804</v>
      </c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</row>
    <row r="42" spans="1:49" s="41" customFormat="1" x14ac:dyDescent="0.25">
      <c r="A42" s="6">
        <v>39</v>
      </c>
      <c r="B42" s="42">
        <v>8409911000</v>
      </c>
      <c r="C42" s="13" t="s">
        <v>4</v>
      </c>
      <c r="D42" s="38"/>
      <c r="E42" s="10">
        <v>764840.049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>
        <f t="shared" si="5"/>
        <v>764840.049</v>
      </c>
      <c r="R42" s="43">
        <f t="shared" si="8"/>
        <v>3.755675571014232E-3</v>
      </c>
      <c r="S42" s="40"/>
      <c r="T42" s="10">
        <v>740834.46000000031</v>
      </c>
      <c r="U42" s="10">
        <v>573539.82200000016</v>
      </c>
      <c r="V42" s="16">
        <f t="shared" si="1"/>
        <v>0.33354305954364888</v>
      </c>
      <c r="W42" s="17">
        <f t="shared" si="6"/>
        <v>0.33354305954364888</v>
      </c>
      <c r="X42" s="16">
        <f t="shared" si="9"/>
        <v>3.2403445433679852E-2</v>
      </c>
      <c r="Y42" s="17">
        <f t="shared" si="7"/>
        <v>3.2403445433679852E-2</v>
      </c>
      <c r="Z42" s="38"/>
      <c r="AA42" s="10">
        <v>740834.46000000031</v>
      </c>
      <c r="AB42" s="16">
        <f t="shared" si="10"/>
        <v>3.2403445433679852E-2</v>
      </c>
      <c r="AC42" s="17">
        <f t="shared" si="11"/>
        <v>3.2403445433679852E-2</v>
      </c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</row>
    <row r="43" spans="1:49" s="41" customFormat="1" x14ac:dyDescent="0.25">
      <c r="A43" s="6">
        <v>40</v>
      </c>
      <c r="B43" s="42">
        <v>8409912000</v>
      </c>
      <c r="C43" s="13" t="s">
        <v>4</v>
      </c>
      <c r="D43" s="38"/>
      <c r="E43" s="10">
        <v>585000.25699999987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>
        <f t="shared" si="5"/>
        <v>585000.25699999987</v>
      </c>
      <c r="R43" s="43">
        <f t="shared" si="8"/>
        <v>2.8725890820237984E-3</v>
      </c>
      <c r="S43" s="40"/>
      <c r="T43" s="10">
        <v>467310.26600000018</v>
      </c>
      <c r="U43" s="10">
        <v>520577.32399999991</v>
      </c>
      <c r="V43" s="16">
        <f t="shared" si="1"/>
        <v>0.1237528605836853</v>
      </c>
      <c r="W43" s="17">
        <f t="shared" si="6"/>
        <v>0.1237528605836853</v>
      </c>
      <c r="X43" s="16">
        <f t="shared" si="9"/>
        <v>0.25184550728444655</v>
      </c>
      <c r="Y43" s="17">
        <f t="shared" si="7"/>
        <v>0.25184550728444655</v>
      </c>
      <c r="Z43" s="38"/>
      <c r="AA43" s="10">
        <v>467310.26600000018</v>
      </c>
      <c r="AB43" s="16">
        <f t="shared" si="10"/>
        <v>0.25184550728444655</v>
      </c>
      <c r="AC43" s="17">
        <f t="shared" si="11"/>
        <v>0.25184550728444655</v>
      </c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</row>
    <row r="44" spans="1:49" s="41" customFormat="1" x14ac:dyDescent="0.25">
      <c r="A44" s="6">
        <v>41</v>
      </c>
      <c r="B44" s="42">
        <v>8409913000</v>
      </c>
      <c r="C44" s="13" t="s">
        <v>4</v>
      </c>
      <c r="D44" s="38"/>
      <c r="E44" s="10">
        <v>62058.934000000023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>
        <f t="shared" si="5"/>
        <v>62058.934000000023</v>
      </c>
      <c r="R44" s="43">
        <f t="shared" si="8"/>
        <v>3.0473459475836709E-4</v>
      </c>
      <c r="S44" s="40"/>
      <c r="T44" s="10">
        <v>58915.891999999993</v>
      </c>
      <c r="U44" s="10">
        <v>45540.977999999996</v>
      </c>
      <c r="V44" s="16">
        <f t="shared" si="1"/>
        <v>0.36270534198892324</v>
      </c>
      <c r="W44" s="17">
        <f t="shared" si="6"/>
        <v>0.36270534198892324</v>
      </c>
      <c r="X44" s="16">
        <f t="shared" si="9"/>
        <v>5.3347948971052342E-2</v>
      </c>
      <c r="Y44" s="17">
        <f t="shared" si="7"/>
        <v>5.3347948971052342E-2</v>
      </c>
      <c r="Z44" s="38"/>
      <c r="AA44" s="10">
        <v>58915.891999999993</v>
      </c>
      <c r="AB44" s="16">
        <f t="shared" si="10"/>
        <v>5.3347948971052342E-2</v>
      </c>
      <c r="AC44" s="17">
        <f t="shared" si="11"/>
        <v>5.3347948971052342E-2</v>
      </c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</row>
    <row r="45" spans="1:49" s="41" customFormat="1" x14ac:dyDescent="0.25">
      <c r="A45" s="6">
        <v>42</v>
      </c>
      <c r="B45" s="42">
        <v>8409914000</v>
      </c>
      <c r="C45" s="13" t="s">
        <v>4</v>
      </c>
      <c r="D45" s="38"/>
      <c r="E45" s="10">
        <v>1227452.9409999996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>
        <f t="shared" si="5"/>
        <v>1227452.9409999996</v>
      </c>
      <c r="R45" s="43">
        <f t="shared" si="8"/>
        <v>6.0272929367526781E-3</v>
      </c>
      <c r="S45" s="40"/>
      <c r="T45" s="10">
        <v>845271.81499999983</v>
      </c>
      <c r="U45" s="10">
        <v>684212.8389999998</v>
      </c>
      <c r="V45" s="16">
        <f t="shared" si="1"/>
        <v>0.79396361926496972</v>
      </c>
      <c r="W45" s="17">
        <f t="shared" si="6"/>
        <v>0.79396361926496972</v>
      </c>
      <c r="X45" s="16">
        <f t="shared" si="9"/>
        <v>0.45213991430673683</v>
      </c>
      <c r="Y45" s="17">
        <f t="shared" si="7"/>
        <v>0.45213991430673683</v>
      </c>
      <c r="Z45" s="38"/>
      <c r="AA45" s="10">
        <v>845271.81499999983</v>
      </c>
      <c r="AB45" s="16">
        <f t="shared" si="10"/>
        <v>0.45213991430673683</v>
      </c>
      <c r="AC45" s="17">
        <f t="shared" si="11"/>
        <v>0.45213991430673683</v>
      </c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</row>
    <row r="46" spans="1:49" s="41" customFormat="1" x14ac:dyDescent="0.25">
      <c r="A46" s="6">
        <v>43</v>
      </c>
      <c r="B46" s="42">
        <v>8409915000</v>
      </c>
      <c r="C46" s="13" t="s">
        <v>4</v>
      </c>
      <c r="D46" s="38"/>
      <c r="E46" s="10">
        <v>447336.88500000018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>
        <f t="shared" si="5"/>
        <v>447336.88500000018</v>
      </c>
      <c r="R46" s="43">
        <f t="shared" si="8"/>
        <v>2.1966059612133406E-3</v>
      </c>
      <c r="S46" s="40"/>
      <c r="T46" s="10">
        <v>266183.12099999993</v>
      </c>
      <c r="U46" s="10">
        <v>324433.01900000003</v>
      </c>
      <c r="V46" s="16">
        <f t="shared" si="1"/>
        <v>0.37882662615176088</v>
      </c>
      <c r="W46" s="17">
        <f t="shared" si="6"/>
        <v>0.37882662615176088</v>
      </c>
      <c r="X46" s="16">
        <f t="shared" si="9"/>
        <v>0.68056067311646073</v>
      </c>
      <c r="Y46" s="17">
        <f t="shared" si="7"/>
        <v>0.68056067311646073</v>
      </c>
      <c r="Z46" s="38"/>
      <c r="AA46" s="10">
        <v>266183.12099999993</v>
      </c>
      <c r="AB46" s="16">
        <f t="shared" si="10"/>
        <v>0.68056067311646073</v>
      </c>
      <c r="AC46" s="17">
        <f t="shared" si="11"/>
        <v>0.68056067311646073</v>
      </c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</row>
    <row r="47" spans="1:49" s="41" customFormat="1" x14ac:dyDescent="0.25">
      <c r="A47" s="6">
        <v>44</v>
      </c>
      <c r="B47" s="42">
        <v>8409916000</v>
      </c>
      <c r="C47" s="13" t="s">
        <v>4</v>
      </c>
      <c r="D47" s="38"/>
      <c r="E47" s="10">
        <v>456765.71999999991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>
        <f t="shared" si="5"/>
        <v>456765.71999999991</v>
      </c>
      <c r="R47" s="43">
        <f t="shared" si="8"/>
        <v>2.2429053741676208E-3</v>
      </c>
      <c r="S47" s="40"/>
      <c r="T47" s="10">
        <v>480628.69899999985</v>
      </c>
      <c r="U47" s="10">
        <v>882250.00899999985</v>
      </c>
      <c r="V47" s="16">
        <f t="shared" si="1"/>
        <v>-0.48227178765605433</v>
      </c>
      <c r="W47" s="17">
        <f t="shared" si="6"/>
        <v>-0.48227178765605433</v>
      </c>
      <c r="X47" s="16">
        <f t="shared" si="9"/>
        <v>-4.9649509173400282E-2</v>
      </c>
      <c r="Y47" s="17">
        <f t="shared" si="7"/>
        <v>-4.9649509173400282E-2</v>
      </c>
      <c r="Z47" s="38"/>
      <c r="AA47" s="10">
        <v>480628.69899999985</v>
      </c>
      <c r="AB47" s="16">
        <f t="shared" si="10"/>
        <v>-4.9649509173400282E-2</v>
      </c>
      <c r="AC47" s="17">
        <f t="shared" si="11"/>
        <v>-4.9649509173400282E-2</v>
      </c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</row>
    <row r="48" spans="1:49" s="41" customFormat="1" x14ac:dyDescent="0.25">
      <c r="A48" s="6">
        <v>45</v>
      </c>
      <c r="B48" s="42">
        <v>8409917000</v>
      </c>
      <c r="C48" s="13" t="s">
        <v>4</v>
      </c>
      <c r="D48" s="38"/>
      <c r="E48" s="10">
        <v>643161.60300000024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>
        <f t="shared" si="5"/>
        <v>643161.60300000024</v>
      </c>
      <c r="R48" s="43">
        <f t="shared" si="8"/>
        <v>3.1581849352157218E-3</v>
      </c>
      <c r="S48" s="40"/>
      <c r="T48" s="10">
        <v>402330.00100000005</v>
      </c>
      <c r="U48" s="10">
        <v>290447.29900000029</v>
      </c>
      <c r="V48" s="16">
        <f t="shared" si="1"/>
        <v>1.2143831435664327</v>
      </c>
      <c r="W48" s="17">
        <f t="shared" si="6"/>
        <v>1.2143831435664327</v>
      </c>
      <c r="X48" s="16">
        <f t="shared" si="9"/>
        <v>0.59859220391571089</v>
      </c>
      <c r="Y48" s="17">
        <f t="shared" si="7"/>
        <v>0.59859220391571089</v>
      </c>
      <c r="Z48" s="38"/>
      <c r="AA48" s="10">
        <v>402330.00100000005</v>
      </c>
      <c r="AB48" s="16">
        <f t="shared" si="10"/>
        <v>0.59859220391571089</v>
      </c>
      <c r="AC48" s="17">
        <f t="shared" si="11"/>
        <v>0.59859220391571089</v>
      </c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</row>
    <row r="49" spans="1:49" s="41" customFormat="1" x14ac:dyDescent="0.25">
      <c r="A49" s="6">
        <v>46</v>
      </c>
      <c r="B49" s="42">
        <v>8409918000</v>
      </c>
      <c r="C49" s="13" t="s">
        <v>4</v>
      </c>
      <c r="D49" s="38"/>
      <c r="E49" s="10">
        <v>29244.629000000001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>
        <f t="shared" si="5"/>
        <v>29244.629000000001</v>
      </c>
      <c r="R49" s="43">
        <f t="shared" si="8"/>
        <v>1.4360301720899341E-4</v>
      </c>
      <c r="S49" s="40"/>
      <c r="T49" s="10">
        <v>17988.056000000004</v>
      </c>
      <c r="U49" s="10">
        <v>24105.776999999995</v>
      </c>
      <c r="V49" s="16">
        <f t="shared" si="1"/>
        <v>0.21317927233791334</v>
      </c>
      <c r="W49" s="17">
        <f t="shared" si="6"/>
        <v>0.21317927233791334</v>
      </c>
      <c r="X49" s="16">
        <f t="shared" si="9"/>
        <v>0.62578040673211122</v>
      </c>
      <c r="Y49" s="17">
        <f t="shared" si="7"/>
        <v>0.62578040673211122</v>
      </c>
      <c r="Z49" s="38"/>
      <c r="AA49" s="10">
        <v>17988.056000000004</v>
      </c>
      <c r="AB49" s="16">
        <f t="shared" si="10"/>
        <v>0.62578040673211122</v>
      </c>
      <c r="AC49" s="17">
        <f t="shared" si="11"/>
        <v>0.62578040673211122</v>
      </c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</row>
    <row r="50" spans="1:49" s="41" customFormat="1" x14ac:dyDescent="0.25">
      <c r="A50" s="6">
        <v>47</v>
      </c>
      <c r="B50" s="42">
        <v>8409919100</v>
      </c>
      <c r="C50" s="13" t="s">
        <v>4</v>
      </c>
      <c r="D50" s="38"/>
      <c r="E50" s="10">
        <v>839978.01899999997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>
        <f t="shared" si="5"/>
        <v>839978.01899999997</v>
      </c>
      <c r="R50" s="43">
        <f t="shared" si="8"/>
        <v>4.1246335495530887E-3</v>
      </c>
      <c r="S50" s="40"/>
      <c r="T50" s="10">
        <v>758779.30099999998</v>
      </c>
      <c r="U50" s="10">
        <v>836981.33200000005</v>
      </c>
      <c r="V50" s="16">
        <f t="shared" si="1"/>
        <v>3.5803510609241614E-3</v>
      </c>
      <c r="W50" s="17">
        <f t="shared" si="6"/>
        <v>3.5803510609241614E-3</v>
      </c>
      <c r="X50" s="16">
        <f t="shared" si="9"/>
        <v>0.1070122997464318</v>
      </c>
      <c r="Y50" s="17">
        <f t="shared" si="7"/>
        <v>0.1070122997464318</v>
      </c>
      <c r="Z50" s="38"/>
      <c r="AA50" s="10">
        <v>758779.30099999998</v>
      </c>
      <c r="AB50" s="16">
        <f t="shared" si="10"/>
        <v>0.1070122997464318</v>
      </c>
      <c r="AC50" s="17">
        <f t="shared" si="11"/>
        <v>0.1070122997464318</v>
      </c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</row>
    <row r="51" spans="1:49" s="41" customFormat="1" x14ac:dyDescent="0.25">
      <c r="A51" s="6">
        <v>48</v>
      </c>
      <c r="B51" s="42">
        <v>8409919900</v>
      </c>
      <c r="C51" s="13" t="s">
        <v>4</v>
      </c>
      <c r="D51" s="38"/>
      <c r="E51" s="10">
        <v>827720.61999999988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>
        <f t="shared" si="5"/>
        <v>827720.61999999988</v>
      </c>
      <c r="R51" s="43">
        <f t="shared" si="8"/>
        <v>4.0644447374626868E-3</v>
      </c>
      <c r="S51" s="40"/>
      <c r="T51" s="10">
        <v>698275.16900000011</v>
      </c>
      <c r="U51" s="10">
        <v>572305.23299999977</v>
      </c>
      <c r="V51" s="16">
        <f t="shared" si="1"/>
        <v>0.44629224454426786</v>
      </c>
      <c r="W51" s="17">
        <f t="shared" si="6"/>
        <v>0.44629224454426786</v>
      </c>
      <c r="X51" s="16">
        <f t="shared" si="9"/>
        <v>0.18537885456442424</v>
      </c>
      <c r="Y51" s="17">
        <f t="shared" si="7"/>
        <v>0.18537885456442424</v>
      </c>
      <c r="Z51" s="38"/>
      <c r="AA51" s="10">
        <v>698275.16900000011</v>
      </c>
      <c r="AB51" s="16">
        <f t="shared" si="10"/>
        <v>0.18537885456442424</v>
      </c>
      <c r="AC51" s="17">
        <f t="shared" si="11"/>
        <v>0.18537885456442424</v>
      </c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</row>
    <row r="52" spans="1:49" s="41" customFormat="1" x14ac:dyDescent="0.25">
      <c r="A52" s="6">
        <v>49</v>
      </c>
      <c r="B52" s="42">
        <v>8409991000</v>
      </c>
      <c r="C52" s="13" t="s">
        <v>4</v>
      </c>
      <c r="D52" s="38"/>
      <c r="E52" s="10">
        <v>1193911.5229999993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>
        <f t="shared" si="5"/>
        <v>1193911.5229999993</v>
      </c>
      <c r="R52" s="43">
        <f t="shared" si="8"/>
        <v>5.8625909387800554E-3</v>
      </c>
      <c r="S52" s="40"/>
      <c r="T52" s="10">
        <v>2155630.9470000011</v>
      </c>
      <c r="U52" s="10">
        <v>1382514.2329999998</v>
      </c>
      <c r="V52" s="16">
        <f t="shared" si="1"/>
        <v>-0.1364200855934338</v>
      </c>
      <c r="W52" s="17">
        <f t="shared" si="6"/>
        <v>-0.1364200855934338</v>
      </c>
      <c r="X52" s="16">
        <f t="shared" si="9"/>
        <v>-0.44614289163849219</v>
      </c>
      <c r="Y52" s="17">
        <f t="shared" si="7"/>
        <v>-0.44614289163849219</v>
      </c>
      <c r="Z52" s="38"/>
      <c r="AA52" s="10">
        <v>2155630.9470000011</v>
      </c>
      <c r="AB52" s="16">
        <f t="shared" si="10"/>
        <v>-0.44614289163849219</v>
      </c>
      <c r="AC52" s="17">
        <f t="shared" si="11"/>
        <v>-0.44614289163849219</v>
      </c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</row>
    <row r="53" spans="1:49" s="41" customFormat="1" x14ac:dyDescent="0.25">
      <c r="A53" s="6">
        <v>50</v>
      </c>
      <c r="B53" s="42">
        <v>8409992000</v>
      </c>
      <c r="C53" s="13" t="s">
        <v>4</v>
      </c>
      <c r="D53" s="38"/>
      <c r="E53" s="10">
        <v>520340.51399999991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>
        <f t="shared" si="5"/>
        <v>520340.51399999991</v>
      </c>
      <c r="R53" s="43">
        <f t="shared" si="8"/>
        <v>2.5550834577685519E-3</v>
      </c>
      <c r="S53" s="40"/>
      <c r="T53" s="10">
        <v>428436.31600000005</v>
      </c>
      <c r="U53" s="10">
        <v>498509.05199999991</v>
      </c>
      <c r="V53" s="16">
        <f t="shared" si="1"/>
        <v>4.3793511697356305E-2</v>
      </c>
      <c r="W53" s="17">
        <f t="shared" si="6"/>
        <v>4.3793511697356305E-2</v>
      </c>
      <c r="X53" s="16">
        <f t="shared" si="9"/>
        <v>0.21451075589959989</v>
      </c>
      <c r="Y53" s="17">
        <f t="shared" si="7"/>
        <v>0.21451075589959989</v>
      </c>
      <c r="Z53" s="38"/>
      <c r="AA53" s="10">
        <v>428436.31600000005</v>
      </c>
      <c r="AB53" s="16">
        <f t="shared" si="10"/>
        <v>0.21451075589959989</v>
      </c>
      <c r="AC53" s="17">
        <f t="shared" si="11"/>
        <v>0.21451075589959989</v>
      </c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</row>
    <row r="54" spans="1:49" s="41" customFormat="1" x14ac:dyDescent="0.25">
      <c r="A54" s="6">
        <v>51</v>
      </c>
      <c r="B54" s="42">
        <v>8409993000</v>
      </c>
      <c r="C54" s="13" t="s">
        <v>4</v>
      </c>
      <c r="D54" s="38"/>
      <c r="E54" s="10">
        <v>3295530.4299999992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>
        <f t="shared" si="5"/>
        <v>3295530.4299999992</v>
      </c>
      <c r="R54" s="43">
        <f t="shared" si="8"/>
        <v>1.6182394143281879E-2</v>
      </c>
      <c r="S54" s="40"/>
      <c r="T54" s="10">
        <v>3092809.0930000013</v>
      </c>
      <c r="U54" s="10">
        <v>2322919.6440000017</v>
      </c>
      <c r="V54" s="16">
        <f t="shared" si="1"/>
        <v>0.41870186448860081</v>
      </c>
      <c r="W54" s="17">
        <f t="shared" si="6"/>
        <v>0.41870186448860081</v>
      </c>
      <c r="X54" s="16">
        <f t="shared" si="9"/>
        <v>6.5546023341311321E-2</v>
      </c>
      <c r="Y54" s="17">
        <f t="shared" si="7"/>
        <v>6.5546023341311321E-2</v>
      </c>
      <c r="Z54" s="38"/>
      <c r="AA54" s="10">
        <v>3092809.0930000013</v>
      </c>
      <c r="AB54" s="16">
        <f t="shared" si="10"/>
        <v>6.5546023341311321E-2</v>
      </c>
      <c r="AC54" s="17">
        <f t="shared" si="11"/>
        <v>6.5546023341311321E-2</v>
      </c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</row>
    <row r="55" spans="1:49" s="41" customFormat="1" x14ac:dyDescent="0.25">
      <c r="A55" s="6">
        <v>52</v>
      </c>
      <c r="B55" s="42">
        <v>8409994000</v>
      </c>
      <c r="C55" s="13" t="s">
        <v>4</v>
      </c>
      <c r="D55" s="38"/>
      <c r="E55" s="10">
        <v>1794676.1629999999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>
        <f t="shared" si="5"/>
        <v>1794676.1629999999</v>
      </c>
      <c r="R55" s="43">
        <f t="shared" si="8"/>
        <v>8.8125895500284612E-3</v>
      </c>
      <c r="S55" s="40"/>
      <c r="T55" s="10">
        <v>2087804.5870000008</v>
      </c>
      <c r="U55" s="10">
        <v>1364013.0350000001</v>
      </c>
      <c r="V55" s="16">
        <f t="shared" si="1"/>
        <v>0.31573241380350864</v>
      </c>
      <c r="W55" s="17">
        <f t="shared" si="6"/>
        <v>0.31573241380350864</v>
      </c>
      <c r="X55" s="16">
        <f t="shared" si="9"/>
        <v>-0.14040031611445095</v>
      </c>
      <c r="Y55" s="17">
        <f t="shared" si="7"/>
        <v>-0.14040031611445095</v>
      </c>
      <c r="Z55" s="38"/>
      <c r="AA55" s="10">
        <v>2087804.5870000008</v>
      </c>
      <c r="AB55" s="16">
        <f t="shared" si="10"/>
        <v>-0.14040031611445095</v>
      </c>
      <c r="AC55" s="17">
        <f t="shared" si="11"/>
        <v>-0.14040031611445095</v>
      </c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</row>
    <row r="56" spans="1:49" s="41" customFormat="1" x14ac:dyDescent="0.25">
      <c r="A56" s="6">
        <v>53</v>
      </c>
      <c r="B56" s="42">
        <v>8409999100</v>
      </c>
      <c r="C56" s="13" t="s">
        <v>4</v>
      </c>
      <c r="D56" s="38"/>
      <c r="E56" s="10">
        <v>162951.60699999996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>
        <f t="shared" si="5"/>
        <v>162951.60699999996</v>
      </c>
      <c r="R56" s="43">
        <f t="shared" si="8"/>
        <v>8.0015863508660432E-4</v>
      </c>
      <c r="S56" s="40"/>
      <c r="T56" s="10">
        <v>188242.43300000002</v>
      </c>
      <c r="U56" s="10">
        <v>85732.422999999966</v>
      </c>
      <c r="V56" s="16">
        <f t="shared" si="1"/>
        <v>0.90069989040202469</v>
      </c>
      <c r="W56" s="17">
        <f t="shared" si="6"/>
        <v>0.90069989040202469</v>
      </c>
      <c r="X56" s="16">
        <f t="shared" si="9"/>
        <v>-0.13435241776757134</v>
      </c>
      <c r="Y56" s="17">
        <f t="shared" si="7"/>
        <v>-0.13435241776757134</v>
      </c>
      <c r="Z56" s="38"/>
      <c r="AA56" s="10">
        <v>188242.43300000002</v>
      </c>
      <c r="AB56" s="16">
        <f t="shared" si="10"/>
        <v>-0.13435241776757134</v>
      </c>
      <c r="AC56" s="17">
        <f t="shared" si="11"/>
        <v>-0.13435241776757134</v>
      </c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</row>
    <row r="57" spans="1:49" s="41" customFormat="1" x14ac:dyDescent="0.25">
      <c r="A57" s="6">
        <v>54</v>
      </c>
      <c r="B57" s="42">
        <v>8409999200</v>
      </c>
      <c r="C57" s="13" t="s">
        <v>4</v>
      </c>
      <c r="D57" s="38"/>
      <c r="E57" s="10">
        <v>27156.945000000007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>
        <f t="shared" si="5"/>
        <v>27156.945000000007</v>
      </c>
      <c r="R57" s="43">
        <f t="shared" si="8"/>
        <v>1.3335164006281935E-4</v>
      </c>
      <c r="S57" s="40"/>
      <c r="T57" s="10">
        <v>20617.755000000001</v>
      </c>
      <c r="U57" s="10">
        <v>16092.942999999996</v>
      </c>
      <c r="V57" s="16">
        <f t="shared" si="1"/>
        <v>0.68750644304152542</v>
      </c>
      <c r="W57" s="17">
        <f t="shared" si="6"/>
        <v>0.68750644304152542</v>
      </c>
      <c r="X57" s="16">
        <f t="shared" si="9"/>
        <v>0.31716304709217885</v>
      </c>
      <c r="Y57" s="17">
        <f t="shared" si="7"/>
        <v>0.31716304709217885</v>
      </c>
      <c r="Z57" s="38"/>
      <c r="AA57" s="10">
        <v>20617.755000000001</v>
      </c>
      <c r="AB57" s="16">
        <f t="shared" si="10"/>
        <v>0.31716304709217885</v>
      </c>
      <c r="AC57" s="17">
        <f t="shared" si="11"/>
        <v>0.31716304709217885</v>
      </c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</row>
    <row r="58" spans="1:49" s="41" customFormat="1" x14ac:dyDescent="0.25">
      <c r="A58" s="6">
        <v>55</v>
      </c>
      <c r="B58" s="42">
        <v>8409999900</v>
      </c>
      <c r="C58" s="13" t="s">
        <v>4</v>
      </c>
      <c r="D58" s="38"/>
      <c r="E58" s="10">
        <v>2688409.0009999974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>
        <f t="shared" si="5"/>
        <v>2688409.0009999974</v>
      </c>
      <c r="R58" s="43">
        <f t="shared" si="8"/>
        <v>1.3201181113818043E-2</v>
      </c>
      <c r="S58" s="40"/>
      <c r="T58" s="10">
        <v>2287429.8180000009</v>
      </c>
      <c r="U58" s="10">
        <v>2859695.9569999967</v>
      </c>
      <c r="V58" s="16">
        <f t="shared" si="1"/>
        <v>-5.9896911621223618E-2</v>
      </c>
      <c r="W58" s="17">
        <f t="shared" si="6"/>
        <v>-5.9896911621223618E-2</v>
      </c>
      <c r="X58" s="16">
        <f t="shared" si="9"/>
        <v>0.17529682434173652</v>
      </c>
      <c r="Y58" s="17">
        <f t="shared" si="7"/>
        <v>0.17529682434173652</v>
      </c>
      <c r="Z58" s="38"/>
      <c r="AA58" s="10">
        <v>2287429.8180000009</v>
      </c>
      <c r="AB58" s="16">
        <f t="shared" si="10"/>
        <v>0.17529682434173652</v>
      </c>
      <c r="AC58" s="17">
        <f t="shared" si="11"/>
        <v>0.17529682434173652</v>
      </c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</row>
    <row r="59" spans="1:49" s="41" customFormat="1" x14ac:dyDescent="0.25">
      <c r="A59" s="6">
        <v>56</v>
      </c>
      <c r="B59" s="42">
        <v>8413302000</v>
      </c>
      <c r="C59" s="13" t="s">
        <v>4</v>
      </c>
      <c r="D59" s="38"/>
      <c r="E59" s="10">
        <v>464531.82000000007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>
        <f t="shared" si="5"/>
        <v>464531.82000000007</v>
      </c>
      <c r="R59" s="43">
        <f t="shared" si="8"/>
        <v>2.2810400823202455E-3</v>
      </c>
      <c r="S59" s="40"/>
      <c r="T59" s="10">
        <v>468445.755</v>
      </c>
      <c r="U59" s="10">
        <v>528743.96399999992</v>
      </c>
      <c r="V59" s="16">
        <f t="shared" si="1"/>
        <v>-0.12144279343489559</v>
      </c>
      <c r="W59" s="17">
        <f t="shared" si="6"/>
        <v>-0.12144279343489559</v>
      </c>
      <c r="X59" s="16">
        <f t="shared" si="9"/>
        <v>-8.3551509608619234E-3</v>
      </c>
      <c r="Y59" s="17">
        <f t="shared" si="7"/>
        <v>-8.3551509608619234E-3</v>
      </c>
      <c r="Z59" s="38"/>
      <c r="AA59" s="10">
        <v>468445.755</v>
      </c>
      <c r="AB59" s="16">
        <f t="shared" si="10"/>
        <v>-8.3551509608619234E-3</v>
      </c>
      <c r="AC59" s="17">
        <f t="shared" si="11"/>
        <v>-8.3551509608619234E-3</v>
      </c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</row>
    <row r="60" spans="1:49" s="41" customFormat="1" x14ac:dyDescent="0.25">
      <c r="A60" s="6">
        <v>57</v>
      </c>
      <c r="B60" s="42">
        <v>8413309100</v>
      </c>
      <c r="C60" s="13" t="s">
        <v>4</v>
      </c>
      <c r="D60" s="38"/>
      <c r="E60" s="10">
        <v>542161.08100000001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>
        <f t="shared" si="5"/>
        <v>542161.08100000001</v>
      </c>
      <c r="R60" s="43">
        <f t="shared" si="8"/>
        <v>2.6622313124536295E-3</v>
      </c>
      <c r="S60" s="40"/>
      <c r="T60" s="10">
        <v>573669.96100000001</v>
      </c>
      <c r="U60" s="10">
        <v>431384.00100000005</v>
      </c>
      <c r="V60" s="16">
        <f t="shared" si="1"/>
        <v>0.25679459540271626</v>
      </c>
      <c r="W60" s="17">
        <f t="shared" si="6"/>
        <v>0.25679459540271626</v>
      </c>
      <c r="X60" s="16">
        <f t="shared" si="9"/>
        <v>-5.4925100043716604E-2</v>
      </c>
      <c r="Y60" s="17">
        <f t="shared" si="7"/>
        <v>-5.4925100043716604E-2</v>
      </c>
      <c r="Z60" s="38"/>
      <c r="AA60" s="10">
        <v>573669.96100000001</v>
      </c>
      <c r="AB60" s="16">
        <f t="shared" si="10"/>
        <v>-5.4925100043716604E-2</v>
      </c>
      <c r="AC60" s="17">
        <f t="shared" si="11"/>
        <v>-5.4925100043716604E-2</v>
      </c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</row>
    <row r="61" spans="1:49" s="41" customFormat="1" x14ac:dyDescent="0.25">
      <c r="A61" s="6">
        <v>58</v>
      </c>
      <c r="B61" s="42">
        <v>8413309200</v>
      </c>
      <c r="C61" s="13" t="s">
        <v>4</v>
      </c>
      <c r="D61" s="38"/>
      <c r="E61" s="10">
        <v>717168.13400000019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>
        <f t="shared" si="5"/>
        <v>717168.13400000019</v>
      </c>
      <c r="R61" s="43">
        <f t="shared" si="8"/>
        <v>3.5215870883006832E-3</v>
      </c>
      <c r="S61" s="40"/>
      <c r="T61" s="10">
        <v>921087.01699999999</v>
      </c>
      <c r="U61" s="10">
        <v>939141.76999999979</v>
      </c>
      <c r="V61" s="16">
        <f t="shared" si="1"/>
        <v>-0.23635796329237879</v>
      </c>
      <c r="W61" s="17">
        <f t="shared" si="6"/>
        <v>-0.23635796329237879</v>
      </c>
      <c r="X61" s="16">
        <f t="shared" si="9"/>
        <v>-0.22138937932723005</v>
      </c>
      <c r="Y61" s="17">
        <f t="shared" si="7"/>
        <v>-0.22138937932723005</v>
      </c>
      <c r="Z61" s="38"/>
      <c r="AA61" s="10">
        <v>921087.01699999999</v>
      </c>
      <c r="AB61" s="16">
        <f t="shared" si="10"/>
        <v>-0.22138937932723005</v>
      </c>
      <c r="AC61" s="17">
        <f t="shared" si="11"/>
        <v>-0.22138937932723005</v>
      </c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</row>
    <row r="62" spans="1:49" s="41" customFormat="1" x14ac:dyDescent="0.25">
      <c r="A62" s="6">
        <v>59</v>
      </c>
      <c r="B62" s="42">
        <v>8413309900</v>
      </c>
      <c r="C62" s="13" t="s">
        <v>4</v>
      </c>
      <c r="D62" s="38"/>
      <c r="E62" s="10">
        <v>1151066.7939999998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>
        <f t="shared" si="5"/>
        <v>1151066.7939999998</v>
      </c>
      <c r="R62" s="43">
        <f t="shared" si="8"/>
        <v>5.6522059017224272E-3</v>
      </c>
      <c r="S62" s="40"/>
      <c r="T62" s="10">
        <v>739792.76000000036</v>
      </c>
      <c r="U62" s="10">
        <v>1022361.0209999996</v>
      </c>
      <c r="V62" s="16">
        <f t="shared" si="1"/>
        <v>0.125890727792135</v>
      </c>
      <c r="W62" s="17">
        <f t="shared" si="6"/>
        <v>0.125890727792135</v>
      </c>
      <c r="X62" s="16">
        <f t="shared" si="9"/>
        <v>0.55593141246745803</v>
      </c>
      <c r="Y62" s="17">
        <f t="shared" si="7"/>
        <v>0.55593141246745803</v>
      </c>
      <c r="Z62" s="38"/>
      <c r="AA62" s="10">
        <v>739792.76000000036</v>
      </c>
      <c r="AB62" s="16">
        <f t="shared" si="10"/>
        <v>0.55593141246745803</v>
      </c>
      <c r="AC62" s="17">
        <f t="shared" si="11"/>
        <v>0.55593141246745803</v>
      </c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</row>
    <row r="63" spans="1:49" s="41" customFormat="1" x14ac:dyDescent="0.25">
      <c r="A63" s="6">
        <v>60</v>
      </c>
      <c r="B63" s="42">
        <v>8414304000</v>
      </c>
      <c r="C63" s="13" t="s">
        <v>4</v>
      </c>
      <c r="D63" s="38"/>
      <c r="E63" s="10">
        <v>50185.557000000001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>
        <f t="shared" si="5"/>
        <v>50185.557000000001</v>
      </c>
      <c r="R63" s="43">
        <f t="shared" si="8"/>
        <v>2.4643148680442893E-4</v>
      </c>
      <c r="S63" s="40"/>
      <c r="T63" s="10">
        <v>81998.653999999995</v>
      </c>
      <c r="U63" s="10">
        <v>44652.763999999996</v>
      </c>
      <c r="V63" s="16">
        <f t="shared" si="1"/>
        <v>0.1239070665367995</v>
      </c>
      <c r="W63" s="17">
        <f t="shared" si="6"/>
        <v>0.1239070665367995</v>
      </c>
      <c r="X63" s="16">
        <f t="shared" si="9"/>
        <v>-0.38797096596244124</v>
      </c>
      <c r="Y63" s="17">
        <f t="shared" si="7"/>
        <v>-0.38797096596244124</v>
      </c>
      <c r="Z63" s="38"/>
      <c r="AA63" s="10">
        <v>81998.653999999995</v>
      </c>
      <c r="AB63" s="16">
        <f t="shared" si="10"/>
        <v>-0.38797096596244124</v>
      </c>
      <c r="AC63" s="17">
        <f t="shared" si="11"/>
        <v>-0.38797096596244124</v>
      </c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</row>
    <row r="64" spans="1:49" s="41" customFormat="1" x14ac:dyDescent="0.25">
      <c r="A64" s="6">
        <v>61</v>
      </c>
      <c r="B64" s="42">
        <v>8414801000</v>
      </c>
      <c r="C64" s="13" t="s">
        <v>4</v>
      </c>
      <c r="D64" s="38"/>
      <c r="E64" s="10">
        <v>1682647.3470000005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>
        <f t="shared" si="5"/>
        <v>1682647.3470000005</v>
      </c>
      <c r="R64" s="43">
        <f t="shared" si="8"/>
        <v>8.2624825203940246E-3</v>
      </c>
      <c r="S64" s="40"/>
      <c r="T64" s="10">
        <v>1993825.4869999997</v>
      </c>
      <c r="U64" s="10">
        <v>1615462.7459999996</v>
      </c>
      <c r="V64" s="16">
        <f t="shared" si="1"/>
        <v>4.1588455794697089E-2</v>
      </c>
      <c r="W64" s="17">
        <f t="shared" si="6"/>
        <v>4.1588455794697089E-2</v>
      </c>
      <c r="X64" s="16">
        <f t="shared" si="9"/>
        <v>-0.15607090090327411</v>
      </c>
      <c r="Y64" s="17">
        <f t="shared" si="7"/>
        <v>-0.15607090090327411</v>
      </c>
      <c r="Z64" s="38"/>
      <c r="AA64" s="10">
        <v>1993825.4869999997</v>
      </c>
      <c r="AB64" s="16">
        <f t="shared" si="10"/>
        <v>-0.15607090090327411</v>
      </c>
      <c r="AC64" s="17">
        <f t="shared" si="11"/>
        <v>-0.15607090090327411</v>
      </c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</row>
    <row r="65" spans="1:49" s="41" customFormat="1" x14ac:dyDescent="0.25">
      <c r="A65" s="6">
        <v>62</v>
      </c>
      <c r="B65" s="42">
        <v>8415200000</v>
      </c>
      <c r="C65" s="13" t="s">
        <v>4</v>
      </c>
      <c r="D65" s="38"/>
      <c r="E65" s="10">
        <v>543999.9580000001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>
        <f t="shared" si="5"/>
        <v>543999.9580000001</v>
      </c>
      <c r="R65" s="43">
        <f t="shared" si="8"/>
        <v>2.6712609460822945E-3</v>
      </c>
      <c r="S65" s="40"/>
      <c r="T65" s="10">
        <v>111950.79700000001</v>
      </c>
      <c r="U65" s="10">
        <v>114515.482</v>
      </c>
      <c r="V65" s="16">
        <f t="shared" si="1"/>
        <v>3.750449009156684</v>
      </c>
      <c r="W65" s="17">
        <f t="shared" si="6"/>
        <v>3.750449009156684</v>
      </c>
      <c r="X65" s="16">
        <f t="shared" si="9"/>
        <v>3.8592772233680486</v>
      </c>
      <c r="Y65" s="17">
        <f t="shared" si="7"/>
        <v>3.8592772233680486</v>
      </c>
      <c r="Z65" s="38"/>
      <c r="AA65" s="10">
        <v>111950.79700000001</v>
      </c>
      <c r="AB65" s="16">
        <f t="shared" si="10"/>
        <v>3.8592772233680486</v>
      </c>
      <c r="AC65" s="17">
        <f t="shared" si="11"/>
        <v>3.8592772233680486</v>
      </c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</row>
    <row r="66" spans="1:49" s="41" customFormat="1" x14ac:dyDescent="0.25">
      <c r="A66" s="6">
        <v>63</v>
      </c>
      <c r="B66" s="42">
        <v>8415900000</v>
      </c>
      <c r="C66" s="13" t="s">
        <v>4</v>
      </c>
      <c r="D66" s="38"/>
      <c r="E66" s="10">
        <v>1918544.7660000001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>
        <f t="shared" si="5"/>
        <v>1918544.7660000001</v>
      </c>
      <c r="R66" s="43">
        <f t="shared" si="8"/>
        <v>9.4208347470614955E-3</v>
      </c>
      <c r="S66" s="40"/>
      <c r="T66" s="10">
        <v>2396083.8300000005</v>
      </c>
      <c r="U66" s="10">
        <v>1945088.6250000007</v>
      </c>
      <c r="V66" s="16">
        <f t="shared" si="1"/>
        <v>-1.3646606462469353E-2</v>
      </c>
      <c r="W66" s="17">
        <f t="shared" si="6"/>
        <v>-1.3646606462469353E-2</v>
      </c>
      <c r="X66" s="16">
        <f t="shared" si="9"/>
        <v>-0.19929981498184909</v>
      </c>
      <c r="Y66" s="17">
        <f t="shared" si="7"/>
        <v>-0.19929981498184909</v>
      </c>
      <c r="Z66" s="38"/>
      <c r="AA66" s="10">
        <v>2396083.8300000005</v>
      </c>
      <c r="AB66" s="16">
        <f t="shared" si="10"/>
        <v>-0.19929981498184909</v>
      </c>
      <c r="AC66" s="17">
        <f t="shared" si="11"/>
        <v>-0.19929981498184909</v>
      </c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</row>
    <row r="67" spans="1:49" s="41" customFormat="1" x14ac:dyDescent="0.25">
      <c r="A67" s="6">
        <v>64</v>
      </c>
      <c r="B67" s="42">
        <v>8421230000</v>
      </c>
      <c r="C67" s="13" t="s">
        <v>17</v>
      </c>
      <c r="D67" s="38"/>
      <c r="E67" s="10">
        <v>6936813.3170000007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>
        <f t="shared" si="5"/>
        <v>6936813.3170000007</v>
      </c>
      <c r="R67" s="43">
        <f t="shared" si="8"/>
        <v>3.406257340917971E-2</v>
      </c>
      <c r="S67" s="40"/>
      <c r="T67" s="10">
        <v>6541877.5140000023</v>
      </c>
      <c r="U67" s="10">
        <v>6300946.8970000027</v>
      </c>
      <c r="V67" s="16">
        <f t="shared" si="1"/>
        <v>0.10091600998934713</v>
      </c>
      <c r="W67" s="17">
        <f t="shared" si="6"/>
        <v>0.10091600998934713</v>
      </c>
      <c r="X67" s="16">
        <f t="shared" si="9"/>
        <v>6.0370406225859874E-2</v>
      </c>
      <c r="Y67" s="17">
        <f t="shared" si="7"/>
        <v>6.0370406225859874E-2</v>
      </c>
      <c r="Z67" s="38"/>
      <c r="AA67" s="10">
        <v>6541877.5140000023</v>
      </c>
      <c r="AB67" s="16">
        <f t="shared" si="10"/>
        <v>6.0370406225859874E-2</v>
      </c>
      <c r="AC67" s="17">
        <f t="shared" si="11"/>
        <v>6.0370406225859874E-2</v>
      </c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</row>
    <row r="68" spans="1:49" s="41" customFormat="1" x14ac:dyDescent="0.25">
      <c r="A68" s="6">
        <v>65</v>
      </c>
      <c r="B68" s="42">
        <v>8421299000</v>
      </c>
      <c r="C68" s="13" t="s">
        <v>17</v>
      </c>
      <c r="D68" s="38"/>
      <c r="E68" s="10">
        <v>1874613.6880000003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>
        <f t="shared" si="5"/>
        <v>1874613.6880000003</v>
      </c>
      <c r="R68" s="43">
        <f t="shared" ref="R68:R99" si="12">+Q68/$Q$151</f>
        <v>9.2051152947804082E-3</v>
      </c>
      <c r="S68" s="40"/>
      <c r="T68" s="10">
        <v>1365814.5709999984</v>
      </c>
      <c r="U68" s="10">
        <v>2089578.2180000001</v>
      </c>
      <c r="V68" s="16">
        <f t="shared" ref="V68:V131" si="13">+W68</f>
        <v>-0.10287460318463168</v>
      </c>
      <c r="W68" s="17">
        <f t="shared" si="6"/>
        <v>-0.10287460318463168</v>
      </c>
      <c r="X68" s="16">
        <f t="shared" ref="X68:X99" si="14">+Y68</f>
        <v>0.37252430000617015</v>
      </c>
      <c r="Y68" s="17">
        <f t="shared" si="7"/>
        <v>0.37252430000617015</v>
      </c>
      <c r="Z68" s="38"/>
      <c r="AA68" s="10">
        <v>1365814.5709999984</v>
      </c>
      <c r="AB68" s="16">
        <f t="shared" ref="AB68:AB99" si="15">+AC68</f>
        <v>0.37252430000617015</v>
      </c>
      <c r="AC68" s="17">
        <f t="shared" ref="AC68:AC99" si="16">IFERROR((Q68-AA68)/AA68,0)</f>
        <v>0.37252430000617015</v>
      </c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</row>
    <row r="69" spans="1:49" s="41" customFormat="1" x14ac:dyDescent="0.25">
      <c r="A69" s="6">
        <v>66</v>
      </c>
      <c r="B69" s="42">
        <v>8421310000</v>
      </c>
      <c r="C69" s="13" t="s">
        <v>17</v>
      </c>
      <c r="D69" s="38"/>
      <c r="E69" s="10">
        <v>3558028.8950000023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>
        <f t="shared" ref="Q69:Q132" si="17">SUM(E69:P69)</f>
        <v>3558028.8950000023</v>
      </c>
      <c r="R69" s="43">
        <f t="shared" si="12"/>
        <v>1.7471368319932564E-2</v>
      </c>
      <c r="S69" s="40"/>
      <c r="T69" s="10">
        <v>2777807.6460000006</v>
      </c>
      <c r="U69" s="10">
        <v>3059103.4910000004</v>
      </c>
      <c r="V69" s="16">
        <f t="shared" si="13"/>
        <v>0.16309530078595236</v>
      </c>
      <c r="W69" s="17">
        <f t="shared" ref="W69:W132" si="18">IFERROR((E69-U69)/U69,0)</f>
        <v>0.16309530078595236</v>
      </c>
      <c r="X69" s="16">
        <f t="shared" si="14"/>
        <v>0.28087662949718928</v>
      </c>
      <c r="Y69" s="17">
        <f t="shared" ref="Y69:Y132" si="19">IFERROR((E69-T69)/T69,0)</f>
        <v>0.28087662949718928</v>
      </c>
      <c r="Z69" s="38"/>
      <c r="AA69" s="10">
        <v>2777807.6460000006</v>
      </c>
      <c r="AB69" s="16">
        <f t="shared" si="15"/>
        <v>0.28087662949718928</v>
      </c>
      <c r="AC69" s="17">
        <f t="shared" si="16"/>
        <v>0.28087662949718928</v>
      </c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</row>
    <row r="70" spans="1:49" s="41" customFormat="1" x14ac:dyDescent="0.25">
      <c r="A70" s="6">
        <v>67</v>
      </c>
      <c r="B70" s="42">
        <v>8421399000</v>
      </c>
      <c r="C70" s="13" t="s">
        <v>17</v>
      </c>
      <c r="D70" s="38"/>
      <c r="E70" s="10">
        <v>3694960.9809999997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>
        <f t="shared" si="17"/>
        <v>3694960.9809999997</v>
      </c>
      <c r="R70" s="43">
        <f t="shared" si="12"/>
        <v>1.8143760529193313E-2</v>
      </c>
      <c r="S70" s="40"/>
      <c r="T70" s="10">
        <v>2729650.9480000003</v>
      </c>
      <c r="U70" s="10">
        <v>2923696.2650000001</v>
      </c>
      <c r="V70" s="16">
        <f t="shared" si="13"/>
        <v>0.26379782511368344</v>
      </c>
      <c r="W70" s="17">
        <f t="shared" si="18"/>
        <v>0.26379782511368344</v>
      </c>
      <c r="X70" s="16">
        <f t="shared" si="14"/>
        <v>0.35363863416576269</v>
      </c>
      <c r="Y70" s="17">
        <f t="shared" si="19"/>
        <v>0.35363863416576269</v>
      </c>
      <c r="Z70" s="38"/>
      <c r="AA70" s="10">
        <v>2729650.9480000003</v>
      </c>
      <c r="AB70" s="16">
        <f t="shared" si="15"/>
        <v>0.35363863416576269</v>
      </c>
      <c r="AC70" s="17">
        <f t="shared" si="16"/>
        <v>0.35363863416576269</v>
      </c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</row>
    <row r="71" spans="1:49" s="41" customFormat="1" x14ac:dyDescent="0.25">
      <c r="A71" s="6">
        <v>68</v>
      </c>
      <c r="B71" s="42">
        <v>8421991000</v>
      </c>
      <c r="C71" s="13" t="s">
        <v>17</v>
      </c>
      <c r="D71" s="38"/>
      <c r="E71" s="10">
        <v>3412795.2729999991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>
        <f t="shared" si="17"/>
        <v>3412795.2729999991</v>
      </c>
      <c r="R71" s="43">
        <f t="shared" si="12"/>
        <v>1.6758212194088365E-2</v>
      </c>
      <c r="S71" s="40"/>
      <c r="T71" s="10">
        <v>2677235.6710000006</v>
      </c>
      <c r="U71" s="10">
        <v>2581379.7600000002</v>
      </c>
      <c r="V71" s="16">
        <f t="shared" si="13"/>
        <v>0.32208182844046118</v>
      </c>
      <c r="W71" s="17">
        <f t="shared" si="18"/>
        <v>0.32208182844046118</v>
      </c>
      <c r="X71" s="16">
        <f t="shared" si="14"/>
        <v>0.27474592915656637</v>
      </c>
      <c r="Y71" s="17">
        <f t="shared" si="19"/>
        <v>0.27474592915656637</v>
      </c>
      <c r="Z71" s="38"/>
      <c r="AA71" s="10">
        <v>2677235.6710000006</v>
      </c>
      <c r="AB71" s="16">
        <f t="shared" si="15"/>
        <v>0.27474592915656637</v>
      </c>
      <c r="AC71" s="17">
        <f t="shared" si="16"/>
        <v>0.27474592915656637</v>
      </c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</row>
    <row r="72" spans="1:49" s="41" customFormat="1" x14ac:dyDescent="0.25">
      <c r="A72" s="6">
        <v>69</v>
      </c>
      <c r="B72" s="42">
        <v>8482100000</v>
      </c>
      <c r="C72" s="13" t="s">
        <v>26</v>
      </c>
      <c r="D72" s="38"/>
      <c r="E72" s="10">
        <v>3252359.0860000006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>
        <f t="shared" si="17"/>
        <v>3252359.0860000006</v>
      </c>
      <c r="R72" s="43">
        <f t="shared" si="12"/>
        <v>1.5970405293795457E-2</v>
      </c>
      <c r="S72" s="40"/>
      <c r="T72" s="10">
        <v>2541355.6950000022</v>
      </c>
      <c r="U72" s="10">
        <v>3069317.3090000013</v>
      </c>
      <c r="V72" s="16">
        <f t="shared" si="13"/>
        <v>5.963599021296212E-2</v>
      </c>
      <c r="W72" s="17">
        <f t="shared" si="18"/>
        <v>5.963599021296212E-2</v>
      </c>
      <c r="X72" s="16">
        <f t="shared" si="14"/>
        <v>0.27977326920386003</v>
      </c>
      <c r="Y72" s="17">
        <f t="shared" si="19"/>
        <v>0.27977326920386003</v>
      </c>
      <c r="Z72" s="38"/>
      <c r="AA72" s="10">
        <v>2541355.6950000022</v>
      </c>
      <c r="AB72" s="16">
        <f t="shared" si="15"/>
        <v>0.27977326920386003</v>
      </c>
      <c r="AC72" s="17">
        <f t="shared" si="16"/>
        <v>0.27977326920386003</v>
      </c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</row>
    <row r="73" spans="1:49" s="41" customFormat="1" x14ac:dyDescent="0.25">
      <c r="A73" s="6">
        <v>70</v>
      </c>
      <c r="B73" s="42">
        <v>8482200000</v>
      </c>
      <c r="C73" s="13" t="s">
        <v>26</v>
      </c>
      <c r="D73" s="38"/>
      <c r="E73" s="10">
        <v>2262707.700000002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>
        <f t="shared" si="17"/>
        <v>2262707.700000002</v>
      </c>
      <c r="R73" s="43">
        <f t="shared" si="12"/>
        <v>1.1110814665558664E-2</v>
      </c>
      <c r="S73" s="40"/>
      <c r="T73" s="10">
        <v>1894489.737</v>
      </c>
      <c r="U73" s="10">
        <v>2107763.8709999993</v>
      </c>
      <c r="V73" s="16">
        <f t="shared" si="13"/>
        <v>7.3510999563006912E-2</v>
      </c>
      <c r="W73" s="17">
        <f t="shared" si="18"/>
        <v>7.3510999563006912E-2</v>
      </c>
      <c r="X73" s="16">
        <f t="shared" si="14"/>
        <v>0.19436260635704994</v>
      </c>
      <c r="Y73" s="17">
        <f t="shared" si="19"/>
        <v>0.19436260635704994</v>
      </c>
      <c r="Z73" s="38"/>
      <c r="AA73" s="10">
        <v>1894489.737</v>
      </c>
      <c r="AB73" s="16">
        <f t="shared" si="15"/>
        <v>0.19436260635704994</v>
      </c>
      <c r="AC73" s="17">
        <f t="shared" si="16"/>
        <v>0.19436260635704994</v>
      </c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</row>
    <row r="74" spans="1:49" s="41" customFormat="1" x14ac:dyDescent="0.25">
      <c r="A74" s="6">
        <v>71</v>
      </c>
      <c r="B74" s="42">
        <v>8482300000</v>
      </c>
      <c r="C74" s="13" t="s">
        <v>26</v>
      </c>
      <c r="D74" s="38"/>
      <c r="E74" s="10">
        <v>1319863.3500000006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>
        <f t="shared" si="17"/>
        <v>1319863.3500000006</v>
      </c>
      <c r="R74" s="43">
        <f t="shared" si="12"/>
        <v>6.481065612546146E-3</v>
      </c>
      <c r="S74" s="40"/>
      <c r="T74" s="10">
        <v>933931.12699999998</v>
      </c>
      <c r="U74" s="10">
        <v>1116254.8120000002</v>
      </c>
      <c r="V74" s="16">
        <f t="shared" si="13"/>
        <v>0.18240327908212448</v>
      </c>
      <c r="W74" s="17">
        <f t="shared" si="18"/>
        <v>0.18240327908212448</v>
      </c>
      <c r="X74" s="16">
        <f t="shared" si="14"/>
        <v>0.41323413669667808</v>
      </c>
      <c r="Y74" s="17">
        <f t="shared" si="19"/>
        <v>0.41323413669667808</v>
      </c>
      <c r="Z74" s="38"/>
      <c r="AA74" s="10">
        <v>933931.12699999998</v>
      </c>
      <c r="AB74" s="16">
        <f t="shared" si="15"/>
        <v>0.41323413669667808</v>
      </c>
      <c r="AC74" s="17">
        <f t="shared" si="16"/>
        <v>0.41323413669667808</v>
      </c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</row>
    <row r="75" spans="1:49" s="41" customFormat="1" x14ac:dyDescent="0.25">
      <c r="A75" s="6">
        <v>72</v>
      </c>
      <c r="B75" s="42">
        <v>8482400000</v>
      </c>
      <c r="C75" s="13" t="s">
        <v>26</v>
      </c>
      <c r="D75" s="38"/>
      <c r="E75" s="10">
        <v>119872.69900000004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>
        <f t="shared" si="17"/>
        <v>119872.69900000004</v>
      </c>
      <c r="R75" s="43">
        <f t="shared" si="12"/>
        <v>5.8862368393818542E-4</v>
      </c>
      <c r="S75" s="40"/>
      <c r="T75" s="10">
        <v>123004.186</v>
      </c>
      <c r="U75" s="10">
        <v>225365.94199999998</v>
      </c>
      <c r="V75" s="16">
        <f t="shared" si="13"/>
        <v>-0.46809753977821528</v>
      </c>
      <c r="W75" s="17">
        <f t="shared" si="18"/>
        <v>-0.46809753977821528</v>
      </c>
      <c r="X75" s="16">
        <f t="shared" si="14"/>
        <v>-2.5458377489689373E-2</v>
      </c>
      <c r="Y75" s="17">
        <f t="shared" si="19"/>
        <v>-2.5458377489689373E-2</v>
      </c>
      <c r="Z75" s="38"/>
      <c r="AA75" s="10">
        <v>123004.186</v>
      </c>
      <c r="AB75" s="16">
        <f t="shared" si="15"/>
        <v>-2.5458377489689373E-2</v>
      </c>
      <c r="AC75" s="17">
        <f t="shared" si="16"/>
        <v>-2.5458377489689373E-2</v>
      </c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</row>
    <row r="76" spans="1:49" s="41" customFormat="1" x14ac:dyDescent="0.25">
      <c r="A76" s="6">
        <v>73</v>
      </c>
      <c r="B76" s="42">
        <v>8482500000</v>
      </c>
      <c r="C76" s="13" t="s">
        <v>26</v>
      </c>
      <c r="D76" s="38"/>
      <c r="E76" s="10">
        <v>1578503.0479999988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>
        <f t="shared" si="17"/>
        <v>1578503.0479999988</v>
      </c>
      <c r="R76" s="43">
        <f t="shared" si="12"/>
        <v>7.7510916745222643E-3</v>
      </c>
      <c r="S76" s="40"/>
      <c r="T76" s="10">
        <v>653903.5330000004</v>
      </c>
      <c r="U76" s="10">
        <v>888783.7379999999</v>
      </c>
      <c r="V76" s="16">
        <f t="shared" si="13"/>
        <v>0.77602602355444872</v>
      </c>
      <c r="W76" s="17">
        <f t="shared" si="18"/>
        <v>0.77602602355444872</v>
      </c>
      <c r="X76" s="16">
        <f t="shared" si="14"/>
        <v>1.4139692910941923</v>
      </c>
      <c r="Y76" s="17">
        <f t="shared" si="19"/>
        <v>1.4139692910941923</v>
      </c>
      <c r="Z76" s="38"/>
      <c r="AA76" s="10">
        <v>653903.5330000004</v>
      </c>
      <c r="AB76" s="16">
        <f t="shared" si="15"/>
        <v>1.4139692910941923</v>
      </c>
      <c r="AC76" s="17">
        <f t="shared" si="16"/>
        <v>1.4139692910941923</v>
      </c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</row>
    <row r="77" spans="1:49" s="41" customFormat="1" x14ac:dyDescent="0.25">
      <c r="A77" s="6">
        <v>74</v>
      </c>
      <c r="B77" s="42">
        <v>8482800000</v>
      </c>
      <c r="C77" s="13" t="s">
        <v>26</v>
      </c>
      <c r="D77" s="38"/>
      <c r="E77" s="10">
        <v>743556.43900000025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>
        <f t="shared" si="17"/>
        <v>743556.43900000025</v>
      </c>
      <c r="R77" s="43">
        <f t="shared" si="12"/>
        <v>3.6511643934882846E-3</v>
      </c>
      <c r="S77" s="40"/>
      <c r="T77" s="10">
        <v>542789.86800000002</v>
      </c>
      <c r="U77" s="10">
        <v>596509.20500000019</v>
      </c>
      <c r="V77" s="16">
        <f t="shared" si="13"/>
        <v>0.24651293352631501</v>
      </c>
      <c r="W77" s="17">
        <f t="shared" si="18"/>
        <v>0.24651293352631501</v>
      </c>
      <c r="X77" s="16">
        <f t="shared" si="14"/>
        <v>0.36987899523577739</v>
      </c>
      <c r="Y77" s="17">
        <f t="shared" si="19"/>
        <v>0.36987899523577739</v>
      </c>
      <c r="Z77" s="38"/>
      <c r="AA77" s="10">
        <v>542789.86800000002</v>
      </c>
      <c r="AB77" s="16">
        <f t="shared" si="15"/>
        <v>0.36987899523577739</v>
      </c>
      <c r="AC77" s="17">
        <f t="shared" si="16"/>
        <v>0.36987899523577739</v>
      </c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</row>
    <row r="78" spans="1:49" s="41" customFormat="1" x14ac:dyDescent="0.25">
      <c r="A78" s="6">
        <v>75</v>
      </c>
      <c r="B78" s="42">
        <v>8482910000</v>
      </c>
      <c r="C78" s="13" t="s">
        <v>26</v>
      </c>
      <c r="D78" s="38"/>
      <c r="E78" s="10">
        <v>65824.038000000015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>
        <f t="shared" si="17"/>
        <v>65824.038000000015</v>
      </c>
      <c r="R78" s="43">
        <f t="shared" si="12"/>
        <v>3.2322278602609178E-4</v>
      </c>
      <c r="S78" s="40"/>
      <c r="T78" s="10">
        <v>25746.038999999993</v>
      </c>
      <c r="U78" s="10">
        <v>91289.031000000017</v>
      </c>
      <c r="V78" s="16">
        <f t="shared" si="13"/>
        <v>-0.27894909959116554</v>
      </c>
      <c r="W78" s="17">
        <f t="shared" si="18"/>
        <v>-0.27894909959116554</v>
      </c>
      <c r="X78" s="16">
        <f t="shared" si="14"/>
        <v>1.5566666002486842</v>
      </c>
      <c r="Y78" s="17">
        <f t="shared" si="19"/>
        <v>1.5566666002486842</v>
      </c>
      <c r="Z78" s="38"/>
      <c r="AA78" s="10">
        <v>25746.038999999993</v>
      </c>
      <c r="AB78" s="16">
        <f t="shared" si="15"/>
        <v>1.5566666002486842</v>
      </c>
      <c r="AC78" s="17">
        <f t="shared" si="16"/>
        <v>1.5566666002486842</v>
      </c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</row>
    <row r="79" spans="1:49" s="41" customFormat="1" x14ac:dyDescent="0.25">
      <c r="A79" s="6">
        <v>76</v>
      </c>
      <c r="B79" s="42">
        <v>8482990000</v>
      </c>
      <c r="C79" s="13" t="s">
        <v>26</v>
      </c>
      <c r="D79" s="38"/>
      <c r="E79" s="10">
        <v>955877.68100000033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>
        <f t="shared" si="17"/>
        <v>955877.68100000033</v>
      </c>
      <c r="R79" s="43">
        <f t="shared" si="12"/>
        <v>4.6937480066625483E-3</v>
      </c>
      <c r="S79" s="40"/>
      <c r="T79" s="10">
        <v>659689.80200000014</v>
      </c>
      <c r="U79" s="10">
        <v>747175.25400000007</v>
      </c>
      <c r="V79" s="16">
        <f t="shared" si="13"/>
        <v>0.27932192063737732</v>
      </c>
      <c r="W79" s="17">
        <f t="shared" si="18"/>
        <v>0.27932192063737732</v>
      </c>
      <c r="X79" s="16">
        <f t="shared" si="14"/>
        <v>0.44898053312638614</v>
      </c>
      <c r="Y79" s="17">
        <f t="shared" si="19"/>
        <v>0.44898053312638614</v>
      </c>
      <c r="Z79" s="38"/>
      <c r="AA79" s="10">
        <v>659689.80200000014</v>
      </c>
      <c r="AB79" s="16">
        <f t="shared" si="15"/>
        <v>0.44898053312638614</v>
      </c>
      <c r="AC79" s="17">
        <f t="shared" si="16"/>
        <v>0.44898053312638614</v>
      </c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</row>
    <row r="80" spans="1:49" s="41" customFormat="1" x14ac:dyDescent="0.25">
      <c r="A80" s="6">
        <v>77</v>
      </c>
      <c r="B80" s="42">
        <v>8483109100</v>
      </c>
      <c r="C80" s="13" t="s">
        <v>4</v>
      </c>
      <c r="D80" s="38"/>
      <c r="E80" s="10">
        <v>1207263.6069999996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>
        <f t="shared" si="17"/>
        <v>1207263.6069999996</v>
      </c>
      <c r="R80" s="43">
        <f t="shared" si="12"/>
        <v>5.9281550992427504E-3</v>
      </c>
      <c r="S80" s="40"/>
      <c r="T80" s="10">
        <v>1159499.4279999996</v>
      </c>
      <c r="U80" s="10">
        <v>1095137.8760000009</v>
      </c>
      <c r="V80" s="16">
        <f t="shared" si="13"/>
        <v>0.10238503612854558</v>
      </c>
      <c r="W80" s="17">
        <f t="shared" si="18"/>
        <v>0.10238503612854558</v>
      </c>
      <c r="X80" s="16">
        <f t="shared" si="14"/>
        <v>4.1193792637213809E-2</v>
      </c>
      <c r="Y80" s="17">
        <f t="shared" si="19"/>
        <v>4.1193792637213809E-2</v>
      </c>
      <c r="Z80" s="38"/>
      <c r="AA80" s="10">
        <v>1159499.4279999996</v>
      </c>
      <c r="AB80" s="16">
        <f t="shared" si="15"/>
        <v>4.1193792637213809E-2</v>
      </c>
      <c r="AC80" s="17">
        <f t="shared" si="16"/>
        <v>4.1193792637213809E-2</v>
      </c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</row>
    <row r="81" spans="1:49" s="41" customFormat="1" x14ac:dyDescent="0.25">
      <c r="A81" s="6">
        <v>78</v>
      </c>
      <c r="B81" s="42">
        <v>8483109200</v>
      </c>
      <c r="C81" s="13" t="s">
        <v>4</v>
      </c>
      <c r="D81" s="38"/>
      <c r="E81" s="10">
        <v>398619.9739999997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>
        <f>SUM(E81:P81)</f>
        <v>398619.9739999997</v>
      </c>
      <c r="R81" s="43">
        <f t="shared" si="12"/>
        <v>1.957386123317566E-3</v>
      </c>
      <c r="S81" s="40"/>
      <c r="T81" s="10">
        <v>414787.93900000001</v>
      </c>
      <c r="U81" s="10">
        <v>459330.31400000001</v>
      </c>
      <c r="V81" s="16">
        <f t="shared" si="13"/>
        <v>-0.13217142032563589</v>
      </c>
      <c r="W81" s="17">
        <f t="shared" si="18"/>
        <v>-0.13217142032563589</v>
      </c>
      <c r="X81" s="16">
        <f t="shared" si="14"/>
        <v>-3.8978869633912658E-2</v>
      </c>
      <c r="Y81" s="17">
        <f t="shared" si="19"/>
        <v>-3.8978869633912658E-2</v>
      </c>
      <c r="Z81" s="38"/>
      <c r="AA81" s="10">
        <v>414787.93900000001</v>
      </c>
      <c r="AB81" s="16">
        <f t="shared" si="15"/>
        <v>-3.8978869633912658E-2</v>
      </c>
      <c r="AC81" s="17">
        <f t="shared" si="16"/>
        <v>-3.8978869633912658E-2</v>
      </c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</row>
    <row r="82" spans="1:49" s="41" customFormat="1" x14ac:dyDescent="0.25">
      <c r="A82" s="6">
        <v>79</v>
      </c>
      <c r="B82" s="42">
        <v>8483109300</v>
      </c>
      <c r="C82" s="13" t="s">
        <v>4</v>
      </c>
      <c r="D82" s="38"/>
      <c r="E82" s="10">
        <v>9785.6460000000006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>
        <f t="shared" si="17"/>
        <v>9785.6460000000006</v>
      </c>
      <c r="R82" s="43">
        <f t="shared" si="12"/>
        <v>4.8051500018657024E-5</v>
      </c>
      <c r="S82" s="40"/>
      <c r="T82" s="10">
        <v>8314.0549999999985</v>
      </c>
      <c r="U82" s="10">
        <v>15403.438</v>
      </c>
      <c r="V82" s="16">
        <f t="shared" si="13"/>
        <v>-0.36471026792849748</v>
      </c>
      <c r="W82" s="17">
        <f t="shared" si="18"/>
        <v>-0.36471026792849748</v>
      </c>
      <c r="X82" s="16">
        <f t="shared" si="14"/>
        <v>0.1770003927084921</v>
      </c>
      <c r="Y82" s="17">
        <f t="shared" si="19"/>
        <v>0.1770003927084921</v>
      </c>
      <c r="Z82" s="38"/>
      <c r="AA82" s="10">
        <v>8314.0549999999985</v>
      </c>
      <c r="AB82" s="16">
        <f t="shared" si="15"/>
        <v>0.1770003927084921</v>
      </c>
      <c r="AC82" s="17">
        <f t="shared" si="16"/>
        <v>0.1770003927084921</v>
      </c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</row>
    <row r="83" spans="1:49" s="41" customFormat="1" x14ac:dyDescent="0.25">
      <c r="A83" s="6">
        <v>80</v>
      </c>
      <c r="B83" s="42">
        <v>8483200000</v>
      </c>
      <c r="C83" s="13" t="s">
        <v>9</v>
      </c>
      <c r="D83" s="38"/>
      <c r="E83" s="10">
        <v>543001.88100000005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>
        <f t="shared" si="17"/>
        <v>543001.88100000005</v>
      </c>
      <c r="R83" s="43">
        <f t="shared" si="12"/>
        <v>2.6663599822640527E-3</v>
      </c>
      <c r="S83" s="40"/>
      <c r="T83" s="10">
        <v>638682.4670000003</v>
      </c>
      <c r="U83" s="10">
        <v>636673.08999999985</v>
      </c>
      <c r="V83" s="16">
        <f t="shared" si="13"/>
        <v>-0.14712606904746017</v>
      </c>
      <c r="W83" s="17">
        <f t="shared" si="18"/>
        <v>-0.14712606904746017</v>
      </c>
      <c r="X83" s="16">
        <f t="shared" si="14"/>
        <v>-0.14980931987913831</v>
      </c>
      <c r="Y83" s="17">
        <f t="shared" si="19"/>
        <v>-0.14980931987913831</v>
      </c>
      <c r="Z83" s="38"/>
      <c r="AA83" s="10">
        <v>638682.4670000003</v>
      </c>
      <c r="AB83" s="16">
        <f t="shared" si="15"/>
        <v>-0.14980931987913831</v>
      </c>
      <c r="AC83" s="17">
        <f t="shared" si="16"/>
        <v>-0.14980931987913831</v>
      </c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</row>
    <row r="84" spans="1:49" s="41" customFormat="1" x14ac:dyDescent="0.25">
      <c r="A84" s="6">
        <v>81</v>
      </c>
      <c r="B84" s="42">
        <v>8483500000</v>
      </c>
      <c r="C84" s="13" t="s">
        <v>9</v>
      </c>
      <c r="D84" s="38"/>
      <c r="E84" s="10">
        <v>2413218.7180000017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>
        <f t="shared" si="17"/>
        <v>2413218.7180000017</v>
      </c>
      <c r="R84" s="43">
        <f t="shared" si="12"/>
        <v>1.1849884951182636E-2</v>
      </c>
      <c r="S84" s="40"/>
      <c r="T84" s="10">
        <v>2237359.490999999</v>
      </c>
      <c r="U84" s="10">
        <v>1492574.2359999993</v>
      </c>
      <c r="V84" s="16">
        <f t="shared" si="13"/>
        <v>0.61681654405831698</v>
      </c>
      <c r="W84" s="17">
        <f t="shared" si="18"/>
        <v>0.61681654405831698</v>
      </c>
      <c r="X84" s="16">
        <f t="shared" si="14"/>
        <v>7.8601238516838257E-2</v>
      </c>
      <c r="Y84" s="17">
        <f t="shared" si="19"/>
        <v>7.8601238516838257E-2</v>
      </c>
      <c r="Z84" s="38"/>
      <c r="AA84" s="10">
        <v>2237359.490999999</v>
      </c>
      <c r="AB84" s="16">
        <f t="shared" si="15"/>
        <v>7.8601238516838257E-2</v>
      </c>
      <c r="AC84" s="17">
        <f t="shared" si="16"/>
        <v>7.8601238516838257E-2</v>
      </c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</row>
    <row r="85" spans="1:49" s="41" customFormat="1" x14ac:dyDescent="0.25">
      <c r="A85" s="6">
        <v>82</v>
      </c>
      <c r="B85" s="42">
        <v>8484100000</v>
      </c>
      <c r="C85" s="13" t="s">
        <v>4</v>
      </c>
      <c r="D85" s="38"/>
      <c r="E85" s="10">
        <v>841293.91899999965</v>
      </c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>
        <f t="shared" si="17"/>
        <v>841293.91899999965</v>
      </c>
      <c r="R85" s="43">
        <f t="shared" si="12"/>
        <v>4.1310951535059124E-3</v>
      </c>
      <c r="S85" s="40"/>
      <c r="T85" s="10">
        <v>780155.076</v>
      </c>
      <c r="U85" s="10">
        <v>738649.00999999989</v>
      </c>
      <c r="V85" s="16">
        <f t="shared" si="13"/>
        <v>0.13896303604332966</v>
      </c>
      <c r="W85" s="17">
        <f t="shared" si="18"/>
        <v>0.13896303604332966</v>
      </c>
      <c r="X85" s="16">
        <f t="shared" si="14"/>
        <v>7.8367551376413325E-2</v>
      </c>
      <c r="Y85" s="17">
        <f t="shared" si="19"/>
        <v>7.8367551376413325E-2</v>
      </c>
      <c r="Z85" s="38"/>
      <c r="AA85" s="10">
        <v>780155.076</v>
      </c>
      <c r="AB85" s="16">
        <f t="shared" si="15"/>
        <v>7.8367551376413325E-2</v>
      </c>
      <c r="AC85" s="17">
        <f t="shared" si="16"/>
        <v>7.8367551376413325E-2</v>
      </c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</row>
    <row r="86" spans="1:49" s="41" customFormat="1" x14ac:dyDescent="0.25">
      <c r="A86" s="6">
        <v>83</v>
      </c>
      <c r="B86" s="42">
        <v>8484900000</v>
      </c>
      <c r="C86" s="13" t="s">
        <v>4</v>
      </c>
      <c r="D86" s="38"/>
      <c r="E86" s="10">
        <v>1508439.2249999992</v>
      </c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>
        <f t="shared" si="17"/>
        <v>1508439.2249999992</v>
      </c>
      <c r="R86" s="43">
        <f t="shared" si="12"/>
        <v>7.4070498205463841E-3</v>
      </c>
      <c r="S86" s="40"/>
      <c r="T86" s="10">
        <v>1517368.9139999994</v>
      </c>
      <c r="U86" s="10">
        <v>2025365.6639999966</v>
      </c>
      <c r="V86" s="16">
        <f t="shared" si="13"/>
        <v>-0.25522622812667489</v>
      </c>
      <c r="W86" s="17">
        <f t="shared" si="18"/>
        <v>-0.25522622812667489</v>
      </c>
      <c r="X86" s="16">
        <f t="shared" si="14"/>
        <v>-5.8849821672307236E-3</v>
      </c>
      <c r="Y86" s="17">
        <f t="shared" si="19"/>
        <v>-5.8849821672307236E-3</v>
      </c>
      <c r="Z86" s="38"/>
      <c r="AA86" s="10">
        <v>1517368.9139999994</v>
      </c>
      <c r="AB86" s="16">
        <f t="shared" si="15"/>
        <v>-5.8849821672307236E-3</v>
      </c>
      <c r="AC86" s="17">
        <f t="shared" si="16"/>
        <v>-5.8849821672307236E-3</v>
      </c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</row>
    <row r="87" spans="1:49" s="41" customFormat="1" x14ac:dyDescent="0.25">
      <c r="A87" s="6">
        <v>84</v>
      </c>
      <c r="B87" s="42">
        <v>8487902000</v>
      </c>
      <c r="C87" s="13" t="s">
        <v>4</v>
      </c>
      <c r="D87" s="38"/>
      <c r="E87" s="10">
        <v>1827096.7470000011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>
        <f t="shared" si="17"/>
        <v>1827096.7470000011</v>
      </c>
      <c r="R87" s="43">
        <f t="shared" si="12"/>
        <v>8.9717877974084415E-3</v>
      </c>
      <c r="S87" s="40"/>
      <c r="T87" s="10">
        <v>1900353.7960000024</v>
      </c>
      <c r="U87" s="10">
        <v>1705809.5740000014</v>
      </c>
      <c r="V87" s="16">
        <f t="shared" si="13"/>
        <v>7.1102410754788986E-2</v>
      </c>
      <c r="W87" s="17">
        <f t="shared" si="18"/>
        <v>7.1102410754788986E-2</v>
      </c>
      <c r="X87" s="16">
        <f t="shared" si="14"/>
        <v>-3.8549163400098362E-2</v>
      </c>
      <c r="Y87" s="17">
        <f t="shared" si="19"/>
        <v>-3.8549163400098362E-2</v>
      </c>
      <c r="Z87" s="38"/>
      <c r="AA87" s="10">
        <v>1900353.7960000024</v>
      </c>
      <c r="AB87" s="16">
        <f t="shared" si="15"/>
        <v>-3.8549163400098362E-2</v>
      </c>
      <c r="AC87" s="17">
        <f t="shared" si="16"/>
        <v>-3.8549163400098362E-2</v>
      </c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</row>
    <row r="88" spans="1:49" s="41" customFormat="1" x14ac:dyDescent="0.25">
      <c r="A88" s="6">
        <v>85</v>
      </c>
      <c r="B88" s="42">
        <v>8507100000</v>
      </c>
      <c r="C88" s="13" t="s">
        <v>7</v>
      </c>
      <c r="D88" s="38"/>
      <c r="E88" s="10">
        <v>4564700.9070000015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>
        <f t="shared" si="17"/>
        <v>4564700.9070000015</v>
      </c>
      <c r="R88" s="43">
        <f t="shared" si="12"/>
        <v>2.241453714122443E-2</v>
      </c>
      <c r="S88" s="40"/>
      <c r="T88" s="10">
        <v>4925436.5639999984</v>
      </c>
      <c r="U88" s="10">
        <v>6145938.2230000012</v>
      </c>
      <c r="V88" s="16">
        <f t="shared" si="13"/>
        <v>-0.25728168078268682</v>
      </c>
      <c r="W88" s="17">
        <f t="shared" si="18"/>
        <v>-0.25728168078268682</v>
      </c>
      <c r="X88" s="16">
        <f t="shared" si="14"/>
        <v>-7.3239326567844307E-2</v>
      </c>
      <c r="Y88" s="17">
        <f t="shared" si="19"/>
        <v>-7.3239326567844307E-2</v>
      </c>
      <c r="Z88" s="38"/>
      <c r="AA88" s="10">
        <v>4925436.5639999984</v>
      </c>
      <c r="AB88" s="16">
        <f t="shared" si="15"/>
        <v>-7.3239326567844307E-2</v>
      </c>
      <c r="AC88" s="17">
        <f t="shared" si="16"/>
        <v>-7.3239326567844307E-2</v>
      </c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</row>
    <row r="89" spans="1:49" s="41" customFormat="1" x14ac:dyDescent="0.25">
      <c r="A89" s="6">
        <v>86</v>
      </c>
      <c r="B89" s="42">
        <v>8511109000</v>
      </c>
      <c r="C89" s="13" t="s">
        <v>26</v>
      </c>
      <c r="D89" s="38"/>
      <c r="E89" s="10">
        <v>1693524.443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>
        <f t="shared" si="17"/>
        <v>1693524.443</v>
      </c>
      <c r="R89" s="43">
        <f t="shared" si="12"/>
        <v>8.3158934836198468E-3</v>
      </c>
      <c r="S89" s="40"/>
      <c r="T89" s="10">
        <v>824443.38899999985</v>
      </c>
      <c r="U89" s="10">
        <v>776320.53099999973</v>
      </c>
      <c r="V89" s="16">
        <f t="shared" si="13"/>
        <v>1.1814757891544163</v>
      </c>
      <c r="W89" s="17">
        <f t="shared" si="18"/>
        <v>1.1814757891544163</v>
      </c>
      <c r="X89" s="16">
        <f t="shared" si="14"/>
        <v>1.054142789663391</v>
      </c>
      <c r="Y89" s="17">
        <f t="shared" si="19"/>
        <v>1.054142789663391</v>
      </c>
      <c r="Z89" s="38"/>
      <c r="AA89" s="10">
        <v>824443.38899999985</v>
      </c>
      <c r="AB89" s="16">
        <f t="shared" si="15"/>
        <v>1.054142789663391</v>
      </c>
      <c r="AC89" s="17">
        <f t="shared" si="16"/>
        <v>1.054142789663391</v>
      </c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</row>
    <row r="90" spans="1:49" s="41" customFormat="1" x14ac:dyDescent="0.25">
      <c r="A90" s="6">
        <v>87</v>
      </c>
      <c r="B90" s="42">
        <v>8511309200</v>
      </c>
      <c r="C90" s="13" t="s">
        <v>5</v>
      </c>
      <c r="D90" s="38"/>
      <c r="E90" s="10">
        <v>712327.40799999994</v>
      </c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>
        <f t="shared" si="17"/>
        <v>712327.40799999994</v>
      </c>
      <c r="R90" s="43">
        <f t="shared" si="12"/>
        <v>3.4978171557403467E-3</v>
      </c>
      <c r="S90" s="40"/>
      <c r="T90" s="10">
        <v>787517.71600000013</v>
      </c>
      <c r="U90" s="10">
        <v>652693.57700000005</v>
      </c>
      <c r="V90" s="16">
        <f t="shared" si="13"/>
        <v>9.1365738995160789E-2</v>
      </c>
      <c r="W90" s="17">
        <f t="shared" si="18"/>
        <v>9.1365738995160789E-2</v>
      </c>
      <c r="X90" s="16">
        <f t="shared" si="14"/>
        <v>-9.5477608277704046E-2</v>
      </c>
      <c r="Y90" s="17">
        <f t="shared" si="19"/>
        <v>-9.5477608277704046E-2</v>
      </c>
      <c r="Z90" s="38"/>
      <c r="AA90" s="10">
        <v>787517.71600000013</v>
      </c>
      <c r="AB90" s="16">
        <f t="shared" si="15"/>
        <v>-9.5477608277704046E-2</v>
      </c>
      <c r="AC90" s="17">
        <f t="shared" si="16"/>
        <v>-9.5477608277704046E-2</v>
      </c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</row>
    <row r="91" spans="1:49" s="41" customFormat="1" x14ac:dyDescent="0.25">
      <c r="A91" s="6">
        <v>88</v>
      </c>
      <c r="B91" s="42">
        <v>8511409000</v>
      </c>
      <c r="C91" s="13" t="s">
        <v>5</v>
      </c>
      <c r="D91" s="38"/>
      <c r="E91" s="10">
        <v>861690.96099999989</v>
      </c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>
        <f t="shared" si="17"/>
        <v>861690.96099999989</v>
      </c>
      <c r="R91" s="43">
        <f t="shared" si="12"/>
        <v>4.2312529217353742E-3</v>
      </c>
      <c r="S91" s="40"/>
      <c r="T91" s="10">
        <v>697891.29600000009</v>
      </c>
      <c r="U91" s="10">
        <v>1083492.6179999996</v>
      </c>
      <c r="V91" s="16">
        <f t="shared" si="13"/>
        <v>-0.20470989217205701</v>
      </c>
      <c r="W91" s="17">
        <f t="shared" si="18"/>
        <v>-0.20470989217205701</v>
      </c>
      <c r="X91" s="16">
        <f t="shared" si="14"/>
        <v>0.23470655951553776</v>
      </c>
      <c r="Y91" s="17">
        <f t="shared" si="19"/>
        <v>0.23470655951553776</v>
      </c>
      <c r="Z91" s="38"/>
      <c r="AA91" s="10">
        <v>697891.29600000009</v>
      </c>
      <c r="AB91" s="16">
        <f t="shared" si="15"/>
        <v>0.23470655951553776</v>
      </c>
      <c r="AC91" s="17">
        <f t="shared" si="16"/>
        <v>0.23470655951553776</v>
      </c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</row>
    <row r="92" spans="1:49" s="41" customFormat="1" x14ac:dyDescent="0.25">
      <c r="A92" s="6">
        <v>89</v>
      </c>
      <c r="B92" s="42">
        <v>8511509000</v>
      </c>
      <c r="C92" s="13" t="s">
        <v>5</v>
      </c>
      <c r="D92" s="38"/>
      <c r="E92" s="10">
        <v>556000.86499999999</v>
      </c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>
        <f t="shared" si="17"/>
        <v>556000.86499999999</v>
      </c>
      <c r="R92" s="43">
        <f t="shared" si="12"/>
        <v>2.7301902781810029E-3</v>
      </c>
      <c r="S92" s="40"/>
      <c r="T92" s="10">
        <v>733384.24000000011</v>
      </c>
      <c r="U92" s="10">
        <v>895264.41700000002</v>
      </c>
      <c r="V92" s="16">
        <f t="shared" si="13"/>
        <v>-0.37895346397979318</v>
      </c>
      <c r="W92" s="17">
        <f t="shared" si="18"/>
        <v>-0.37895346397979318</v>
      </c>
      <c r="X92" s="16">
        <f t="shared" si="14"/>
        <v>-0.24186963030457279</v>
      </c>
      <c r="Y92" s="17">
        <f t="shared" si="19"/>
        <v>-0.24186963030457279</v>
      </c>
      <c r="Z92" s="38"/>
      <c r="AA92" s="10">
        <v>733384.24000000011</v>
      </c>
      <c r="AB92" s="16">
        <f t="shared" si="15"/>
        <v>-0.24186963030457279</v>
      </c>
      <c r="AC92" s="17">
        <f t="shared" si="16"/>
        <v>-0.24186963030457279</v>
      </c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</row>
    <row r="93" spans="1:49" s="41" customFormat="1" x14ac:dyDescent="0.25">
      <c r="A93" s="6">
        <v>90</v>
      </c>
      <c r="B93" s="42">
        <v>8511809000</v>
      </c>
      <c r="C93" s="13" t="s">
        <v>5</v>
      </c>
      <c r="D93" s="38"/>
      <c r="E93" s="10">
        <v>317577.61199999996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>
        <f t="shared" si="17"/>
        <v>317577.61199999996</v>
      </c>
      <c r="R93" s="43">
        <f t="shared" si="12"/>
        <v>1.5594351797462375E-3</v>
      </c>
      <c r="S93" s="40"/>
      <c r="T93" s="10">
        <v>242035.18599999996</v>
      </c>
      <c r="U93" s="10">
        <v>206656.91299999997</v>
      </c>
      <c r="V93" s="16">
        <f t="shared" si="13"/>
        <v>0.53673839113235955</v>
      </c>
      <c r="W93" s="17">
        <f t="shared" si="18"/>
        <v>0.53673839113235955</v>
      </c>
      <c r="X93" s="16">
        <f t="shared" si="14"/>
        <v>0.31211340486667927</v>
      </c>
      <c r="Y93" s="17">
        <f t="shared" si="19"/>
        <v>0.31211340486667927</v>
      </c>
      <c r="Z93" s="38"/>
      <c r="AA93" s="10">
        <v>242035.18599999996</v>
      </c>
      <c r="AB93" s="16">
        <f t="shared" si="15"/>
        <v>0.31211340486667927</v>
      </c>
      <c r="AC93" s="17">
        <f t="shared" si="16"/>
        <v>0.31211340486667927</v>
      </c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</row>
    <row r="94" spans="1:49" s="41" customFormat="1" x14ac:dyDescent="0.25">
      <c r="A94" s="6">
        <v>91</v>
      </c>
      <c r="B94" s="42">
        <v>8511902100</v>
      </c>
      <c r="C94" s="13" t="s">
        <v>5</v>
      </c>
      <c r="D94" s="38"/>
      <c r="E94" s="10">
        <v>4623.1459999999997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>
        <f t="shared" si="17"/>
        <v>4623.1459999999997</v>
      </c>
      <c r="R94" s="43">
        <f t="shared" si="12"/>
        <v>2.2701526307538009E-5</v>
      </c>
      <c r="S94" s="40"/>
      <c r="T94" s="10">
        <v>4956.5060000000003</v>
      </c>
      <c r="U94" s="10">
        <v>1533.0450000000001</v>
      </c>
      <c r="V94" s="16">
        <f t="shared" si="13"/>
        <v>2.0156622930181434</v>
      </c>
      <c r="W94" s="17">
        <f t="shared" si="18"/>
        <v>2.0156622930181434</v>
      </c>
      <c r="X94" s="16">
        <f t="shared" si="14"/>
        <v>-6.7257055675913752E-2</v>
      </c>
      <c r="Y94" s="17">
        <f t="shared" si="19"/>
        <v>-6.7257055675913752E-2</v>
      </c>
      <c r="Z94" s="38"/>
      <c r="AA94" s="10">
        <v>4956.5060000000003</v>
      </c>
      <c r="AB94" s="16">
        <f t="shared" si="15"/>
        <v>-6.7257055675913752E-2</v>
      </c>
      <c r="AC94" s="17">
        <f t="shared" si="16"/>
        <v>-6.7257055675913752E-2</v>
      </c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</row>
    <row r="95" spans="1:49" s="41" customFormat="1" x14ac:dyDescent="0.25">
      <c r="A95" s="6">
        <v>92</v>
      </c>
      <c r="B95" s="42">
        <v>8511903000</v>
      </c>
      <c r="C95" s="13" t="s">
        <v>5</v>
      </c>
      <c r="D95" s="38"/>
      <c r="E95" s="10">
        <v>14659.365999999998</v>
      </c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>
        <f t="shared" si="17"/>
        <v>14659.365999999998</v>
      </c>
      <c r="R95" s="43">
        <f t="shared" si="12"/>
        <v>7.1983446532042955E-5</v>
      </c>
      <c r="S95" s="40"/>
      <c r="T95" s="10">
        <v>6118.6370000000006</v>
      </c>
      <c r="U95" s="10">
        <v>942.54700000000003</v>
      </c>
      <c r="V95" s="16">
        <f t="shared" si="13"/>
        <v>14.552928395082683</v>
      </c>
      <c r="W95" s="17">
        <f t="shared" si="18"/>
        <v>14.552928395082683</v>
      </c>
      <c r="X95" s="16">
        <f t="shared" si="14"/>
        <v>1.3958548284528067</v>
      </c>
      <c r="Y95" s="17">
        <f t="shared" si="19"/>
        <v>1.3958548284528067</v>
      </c>
      <c r="Z95" s="38"/>
      <c r="AA95" s="10">
        <v>6118.6370000000006</v>
      </c>
      <c r="AB95" s="16">
        <f t="shared" si="15"/>
        <v>1.3958548284528067</v>
      </c>
      <c r="AC95" s="17">
        <f t="shared" si="16"/>
        <v>1.3958548284528067</v>
      </c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</row>
    <row r="96" spans="1:49" s="41" customFormat="1" x14ac:dyDescent="0.25">
      <c r="A96" s="6">
        <v>93</v>
      </c>
      <c r="B96" s="42">
        <v>8511909000</v>
      </c>
      <c r="C96" s="13" t="s">
        <v>5</v>
      </c>
      <c r="D96" s="38"/>
      <c r="E96" s="10">
        <v>341064.17499999999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>
        <f t="shared" si="17"/>
        <v>341064.17499999999</v>
      </c>
      <c r="R96" s="43">
        <f t="shared" si="12"/>
        <v>1.6747637520686666E-3</v>
      </c>
      <c r="S96" s="40"/>
      <c r="T96" s="10">
        <v>377957.33200000005</v>
      </c>
      <c r="U96" s="10">
        <v>757972.69700000016</v>
      </c>
      <c r="V96" s="16">
        <f t="shared" si="13"/>
        <v>-0.55003105474655389</v>
      </c>
      <c r="W96" s="17">
        <f t="shared" si="18"/>
        <v>-0.55003105474655389</v>
      </c>
      <c r="X96" s="16">
        <f t="shared" si="14"/>
        <v>-9.7611962717527229E-2</v>
      </c>
      <c r="Y96" s="17">
        <f t="shared" si="19"/>
        <v>-9.7611962717527229E-2</v>
      </c>
      <c r="Z96" s="38"/>
      <c r="AA96" s="10">
        <v>377957.33200000005</v>
      </c>
      <c r="AB96" s="16">
        <f t="shared" si="15"/>
        <v>-9.7611962717527229E-2</v>
      </c>
      <c r="AC96" s="17">
        <f t="shared" si="16"/>
        <v>-9.7611962717527229E-2</v>
      </c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</row>
    <row r="97" spans="1:49" s="41" customFormat="1" x14ac:dyDescent="0.25">
      <c r="A97" s="6">
        <v>94</v>
      </c>
      <c r="B97" s="42">
        <v>8512201000</v>
      </c>
      <c r="C97" s="13" t="s">
        <v>5</v>
      </c>
      <c r="D97" s="38"/>
      <c r="E97" s="10">
        <v>1962845.0399999996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>
        <f t="shared" si="17"/>
        <v>1962845.0399999996</v>
      </c>
      <c r="R97" s="43">
        <f t="shared" si="12"/>
        <v>9.6383671017918303E-3</v>
      </c>
      <c r="S97" s="40"/>
      <c r="T97" s="10">
        <v>1509218.0610000002</v>
      </c>
      <c r="U97" s="10">
        <v>2032255.5140000002</v>
      </c>
      <c r="V97" s="16">
        <f t="shared" si="13"/>
        <v>-3.4154403086540532E-2</v>
      </c>
      <c r="W97" s="17">
        <f t="shared" si="18"/>
        <v>-3.4154403086540532E-2</v>
      </c>
      <c r="X97" s="16">
        <f t="shared" si="14"/>
        <v>0.30057086561727764</v>
      </c>
      <c r="Y97" s="17">
        <f t="shared" si="19"/>
        <v>0.30057086561727764</v>
      </c>
      <c r="Z97" s="38"/>
      <c r="AA97" s="10">
        <v>1509218.0610000002</v>
      </c>
      <c r="AB97" s="16">
        <f t="shared" si="15"/>
        <v>0.30057086561727764</v>
      </c>
      <c r="AC97" s="17">
        <f t="shared" si="16"/>
        <v>0.30057086561727764</v>
      </c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</row>
    <row r="98" spans="1:49" s="41" customFormat="1" x14ac:dyDescent="0.25">
      <c r="A98" s="6">
        <v>95</v>
      </c>
      <c r="B98" s="42">
        <v>8512209000</v>
      </c>
      <c r="C98" s="13" t="s">
        <v>5</v>
      </c>
      <c r="D98" s="38"/>
      <c r="E98" s="10">
        <v>2076272.9819999989</v>
      </c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>
        <f t="shared" si="17"/>
        <v>2076272.9819999989</v>
      </c>
      <c r="R98" s="43">
        <f t="shared" si="12"/>
        <v>1.0195344408872957E-2</v>
      </c>
      <c r="S98" s="40"/>
      <c r="T98" s="10">
        <v>1297761.9880000013</v>
      </c>
      <c r="U98" s="10">
        <v>1910119.4209999999</v>
      </c>
      <c r="V98" s="16">
        <f t="shared" si="13"/>
        <v>8.6985954476612309E-2</v>
      </c>
      <c r="W98" s="17">
        <f t="shared" si="18"/>
        <v>8.6985954476612309E-2</v>
      </c>
      <c r="X98" s="16">
        <f t="shared" si="14"/>
        <v>0.59988734544442279</v>
      </c>
      <c r="Y98" s="17">
        <f t="shared" si="19"/>
        <v>0.59988734544442279</v>
      </c>
      <c r="Z98" s="38"/>
      <c r="AA98" s="10">
        <v>1297761.9880000013</v>
      </c>
      <c r="AB98" s="16">
        <f t="shared" si="15"/>
        <v>0.59988734544442279</v>
      </c>
      <c r="AC98" s="17">
        <f t="shared" si="16"/>
        <v>0.59988734544442279</v>
      </c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</row>
    <row r="99" spans="1:49" s="41" customFormat="1" x14ac:dyDescent="0.25">
      <c r="A99" s="6">
        <v>96</v>
      </c>
      <c r="B99" s="42">
        <v>8512301000</v>
      </c>
      <c r="C99" s="13" t="s">
        <v>5</v>
      </c>
      <c r="D99" s="38"/>
      <c r="E99" s="10">
        <v>228834.53</v>
      </c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>
        <f t="shared" si="17"/>
        <v>228834.53</v>
      </c>
      <c r="R99" s="43">
        <f t="shared" si="12"/>
        <v>1.1236705704012152E-3</v>
      </c>
      <c r="S99" s="40"/>
      <c r="T99" s="10">
        <v>236876.35499999995</v>
      </c>
      <c r="U99" s="10">
        <v>268080.799</v>
      </c>
      <c r="V99" s="16">
        <f t="shared" si="13"/>
        <v>-0.14639716513229281</v>
      </c>
      <c r="W99" s="17">
        <f t="shared" si="18"/>
        <v>-0.14639716513229281</v>
      </c>
      <c r="X99" s="16">
        <f t="shared" si="14"/>
        <v>-3.3949462790407912E-2</v>
      </c>
      <c r="Y99" s="17">
        <f t="shared" si="19"/>
        <v>-3.3949462790407912E-2</v>
      </c>
      <c r="Z99" s="38"/>
      <c r="AA99" s="10">
        <v>236876.35499999995</v>
      </c>
      <c r="AB99" s="16">
        <f t="shared" si="15"/>
        <v>-3.3949462790407912E-2</v>
      </c>
      <c r="AC99" s="17">
        <f t="shared" si="16"/>
        <v>-3.3949462790407912E-2</v>
      </c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</row>
    <row r="100" spans="1:49" s="41" customFormat="1" x14ac:dyDescent="0.25">
      <c r="A100" s="6">
        <v>97</v>
      </c>
      <c r="B100" s="42">
        <v>8512309000</v>
      </c>
      <c r="C100" s="13" t="s">
        <v>5</v>
      </c>
      <c r="D100" s="38"/>
      <c r="E100" s="10">
        <v>146586.255</v>
      </c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>
        <f t="shared" si="17"/>
        <v>146586.255</v>
      </c>
      <c r="R100" s="43">
        <f t="shared" ref="R100:R131" si="20">+Q100/$Q$151</f>
        <v>7.1979810376007498E-4</v>
      </c>
      <c r="S100" s="40"/>
      <c r="T100" s="10">
        <v>236832.70200000002</v>
      </c>
      <c r="U100" s="10">
        <v>118394.68299999998</v>
      </c>
      <c r="V100" s="16">
        <f t="shared" si="13"/>
        <v>0.23811518630443931</v>
      </c>
      <c r="W100" s="17">
        <f t="shared" si="18"/>
        <v>0.23811518630443931</v>
      </c>
      <c r="X100" s="16">
        <f t="shared" ref="X100:X131" si="21">+Y100</f>
        <v>-0.38105568292676073</v>
      </c>
      <c r="Y100" s="17">
        <f t="shared" si="19"/>
        <v>-0.38105568292676073</v>
      </c>
      <c r="Z100" s="38"/>
      <c r="AA100" s="10">
        <v>236832.70200000002</v>
      </c>
      <c r="AB100" s="16">
        <f t="shared" ref="AB100:AB131" si="22">+AC100</f>
        <v>-0.38105568292676073</v>
      </c>
      <c r="AC100" s="17">
        <f t="shared" ref="AC100:AC131" si="23">IFERROR((Q100-AA100)/AA100,0)</f>
        <v>-0.38105568292676073</v>
      </c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</row>
    <row r="101" spans="1:49" s="41" customFormat="1" x14ac:dyDescent="0.25">
      <c r="A101" s="6">
        <v>98</v>
      </c>
      <c r="B101" s="42">
        <v>8512400000</v>
      </c>
      <c r="C101" s="13" t="s">
        <v>14</v>
      </c>
      <c r="D101" s="38"/>
      <c r="E101" s="10">
        <v>116976.76700000002</v>
      </c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>
        <f t="shared" si="17"/>
        <v>116976.76700000002</v>
      </c>
      <c r="R101" s="43">
        <f t="shared" si="20"/>
        <v>5.7440348053495278E-4</v>
      </c>
      <c r="S101" s="40"/>
      <c r="T101" s="10">
        <v>75707.731</v>
      </c>
      <c r="U101" s="10">
        <v>93725.040000000023</v>
      </c>
      <c r="V101" s="16">
        <f t="shared" si="13"/>
        <v>0.24808447134298361</v>
      </c>
      <c r="W101" s="17">
        <f t="shared" si="18"/>
        <v>0.24808447134298361</v>
      </c>
      <c r="X101" s="16">
        <f t="shared" si="21"/>
        <v>0.54510993071500213</v>
      </c>
      <c r="Y101" s="17">
        <f t="shared" si="19"/>
        <v>0.54510993071500213</v>
      </c>
      <c r="Z101" s="38"/>
      <c r="AA101" s="10">
        <v>75707.731</v>
      </c>
      <c r="AB101" s="16">
        <f t="shared" si="22"/>
        <v>0.54510993071500213</v>
      </c>
      <c r="AC101" s="17">
        <f t="shared" si="23"/>
        <v>0.54510993071500213</v>
      </c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</row>
    <row r="102" spans="1:49" s="41" customFormat="1" x14ac:dyDescent="0.25">
      <c r="A102" s="6">
        <v>99</v>
      </c>
      <c r="B102" s="42">
        <v>8512901000</v>
      </c>
      <c r="C102" s="13" t="s">
        <v>14</v>
      </c>
      <c r="D102" s="38"/>
      <c r="E102" s="10">
        <v>179119.18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>
        <f t="shared" si="17"/>
        <v>179119.18</v>
      </c>
      <c r="R102" s="43">
        <f t="shared" si="20"/>
        <v>8.7954799112003744E-4</v>
      </c>
      <c r="S102" s="40"/>
      <c r="T102" s="10">
        <v>135968.91700000004</v>
      </c>
      <c r="U102" s="10">
        <v>295149.76399999997</v>
      </c>
      <c r="V102" s="16">
        <f t="shared" si="13"/>
        <v>-0.39312443427872767</v>
      </c>
      <c r="W102" s="17">
        <f t="shared" si="18"/>
        <v>-0.39312443427872767</v>
      </c>
      <c r="X102" s="16">
        <f t="shared" si="21"/>
        <v>0.31735387728358483</v>
      </c>
      <c r="Y102" s="17">
        <f t="shared" si="19"/>
        <v>0.31735387728358483</v>
      </c>
      <c r="Z102" s="38"/>
      <c r="AA102" s="10">
        <v>135968.91700000004</v>
      </c>
      <c r="AB102" s="16">
        <f t="shared" si="22"/>
        <v>0.31735387728358483</v>
      </c>
      <c r="AC102" s="17">
        <f t="shared" si="23"/>
        <v>0.31735387728358483</v>
      </c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</row>
    <row r="103" spans="1:49" s="41" customFormat="1" x14ac:dyDescent="0.25">
      <c r="A103" s="6">
        <v>100</v>
      </c>
      <c r="B103" s="42">
        <v>8512909000</v>
      </c>
      <c r="C103" s="13" t="s">
        <v>14</v>
      </c>
      <c r="D103" s="38"/>
      <c r="E103" s="10">
        <v>206475.18400000001</v>
      </c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>
        <f t="shared" si="17"/>
        <v>206475.18400000001</v>
      </c>
      <c r="R103" s="43">
        <f t="shared" si="20"/>
        <v>1.0138770917963119E-3</v>
      </c>
      <c r="S103" s="40"/>
      <c r="T103" s="10">
        <v>215646.69799999995</v>
      </c>
      <c r="U103" s="10">
        <v>211408.46099999992</v>
      </c>
      <c r="V103" s="16">
        <f t="shared" si="13"/>
        <v>-2.3335286471812103E-2</v>
      </c>
      <c r="W103" s="17">
        <f t="shared" si="18"/>
        <v>-2.3335286471812103E-2</v>
      </c>
      <c r="X103" s="16">
        <f t="shared" si="21"/>
        <v>-4.2530277927093227E-2</v>
      </c>
      <c r="Y103" s="17">
        <f t="shared" si="19"/>
        <v>-4.2530277927093227E-2</v>
      </c>
      <c r="Z103" s="38"/>
      <c r="AA103" s="10">
        <v>215646.69799999995</v>
      </c>
      <c r="AB103" s="16">
        <f t="shared" si="22"/>
        <v>-4.2530277927093227E-2</v>
      </c>
      <c r="AC103" s="17">
        <f t="shared" si="23"/>
        <v>-4.2530277927093227E-2</v>
      </c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</row>
    <row r="104" spans="1:49" s="41" customFormat="1" x14ac:dyDescent="0.25">
      <c r="A104" s="6">
        <v>101</v>
      </c>
      <c r="B104" s="42">
        <v>8518290000</v>
      </c>
      <c r="C104" s="13" t="s">
        <v>6</v>
      </c>
      <c r="D104" s="38"/>
      <c r="E104" s="10">
        <v>1131841.8090000001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>
        <f t="shared" si="17"/>
        <v>1131841.8090000001</v>
      </c>
      <c r="R104" s="43">
        <f t="shared" si="20"/>
        <v>5.5578034098392988E-3</v>
      </c>
      <c r="S104" s="40"/>
      <c r="T104" s="10">
        <v>618733.25399999996</v>
      </c>
      <c r="U104" s="10">
        <v>496657.94199999998</v>
      </c>
      <c r="V104" s="16">
        <f t="shared" si="13"/>
        <v>1.2789161579540393</v>
      </c>
      <c r="W104" s="17">
        <f t="shared" si="18"/>
        <v>1.2789161579540393</v>
      </c>
      <c r="X104" s="16">
        <f t="shared" si="21"/>
        <v>0.82928879558815538</v>
      </c>
      <c r="Y104" s="17">
        <f t="shared" si="19"/>
        <v>0.82928879558815538</v>
      </c>
      <c r="Z104" s="38"/>
      <c r="AA104" s="10">
        <v>618733.25399999996</v>
      </c>
      <c r="AB104" s="16">
        <f t="shared" si="22"/>
        <v>0.82928879558815538</v>
      </c>
      <c r="AC104" s="17">
        <f t="shared" si="23"/>
        <v>0.82928879558815538</v>
      </c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</row>
    <row r="105" spans="1:49" s="41" customFormat="1" x14ac:dyDescent="0.25">
      <c r="A105" s="6">
        <v>102</v>
      </c>
      <c r="B105" s="42">
        <v>8531100000</v>
      </c>
      <c r="C105" s="13" t="s">
        <v>6</v>
      </c>
      <c r="D105" s="38"/>
      <c r="E105" s="10">
        <v>1878694.3980000003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>
        <f t="shared" si="17"/>
        <v>1878694.3980000003</v>
      </c>
      <c r="R105" s="43">
        <f t="shared" si="20"/>
        <v>9.2251532398114396E-3</v>
      </c>
      <c r="S105" s="40"/>
      <c r="T105" s="10">
        <v>443750.51499999984</v>
      </c>
      <c r="U105" s="10">
        <v>855605.85199999984</v>
      </c>
      <c r="V105" s="16">
        <f t="shared" si="13"/>
        <v>1.1957474853736749</v>
      </c>
      <c r="W105" s="17">
        <f t="shared" si="18"/>
        <v>1.1957474853736749</v>
      </c>
      <c r="X105" s="16">
        <f t="shared" si="21"/>
        <v>3.233672603174333</v>
      </c>
      <c r="Y105" s="17">
        <f t="shared" si="19"/>
        <v>3.233672603174333</v>
      </c>
      <c r="Z105" s="38"/>
      <c r="AA105" s="10">
        <v>443750.51499999984</v>
      </c>
      <c r="AB105" s="16">
        <f t="shared" si="22"/>
        <v>3.233672603174333</v>
      </c>
      <c r="AC105" s="17">
        <f t="shared" si="23"/>
        <v>3.233672603174333</v>
      </c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</row>
    <row r="106" spans="1:49" s="41" customFormat="1" x14ac:dyDescent="0.25">
      <c r="A106" s="6">
        <v>103</v>
      </c>
      <c r="B106" s="42">
        <v>8536101000</v>
      </c>
      <c r="C106" s="13" t="s">
        <v>5</v>
      </c>
      <c r="D106" s="38"/>
      <c r="E106" s="10">
        <v>53396.927999999978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>
        <f t="shared" si="17"/>
        <v>53396.927999999978</v>
      </c>
      <c r="R106" s="43">
        <f t="shared" si="20"/>
        <v>2.6220062393307776E-4</v>
      </c>
      <c r="S106" s="40"/>
      <c r="T106" s="10">
        <v>27058.434000000001</v>
      </c>
      <c r="U106" s="10">
        <v>38604.150000000009</v>
      </c>
      <c r="V106" s="16">
        <f t="shared" si="13"/>
        <v>0.38319139263524687</v>
      </c>
      <c r="W106" s="17">
        <f t="shared" si="18"/>
        <v>0.38319139263524687</v>
      </c>
      <c r="X106" s="16">
        <f t="shared" si="21"/>
        <v>0.97339313871600908</v>
      </c>
      <c r="Y106" s="17">
        <f t="shared" si="19"/>
        <v>0.97339313871600908</v>
      </c>
      <c r="Z106" s="38"/>
      <c r="AA106" s="10">
        <v>27058.434000000001</v>
      </c>
      <c r="AB106" s="16">
        <f t="shared" si="22"/>
        <v>0.97339313871600908</v>
      </c>
      <c r="AC106" s="17">
        <f t="shared" si="23"/>
        <v>0.97339313871600908</v>
      </c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</row>
    <row r="107" spans="1:49" s="41" customFormat="1" x14ac:dyDescent="0.25">
      <c r="A107" s="6">
        <v>104</v>
      </c>
      <c r="B107" s="42">
        <v>8536501100</v>
      </c>
      <c r="C107" s="13" t="s">
        <v>5</v>
      </c>
      <c r="D107" s="38"/>
      <c r="E107" s="10">
        <v>511950.22500000015</v>
      </c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>
        <f t="shared" si="17"/>
        <v>511950.22500000015</v>
      </c>
      <c r="R107" s="43">
        <f t="shared" si="20"/>
        <v>2.5138837278743755E-3</v>
      </c>
      <c r="S107" s="40"/>
      <c r="T107" s="10">
        <v>524241.14700000029</v>
      </c>
      <c r="U107" s="10">
        <v>707755.05199999979</v>
      </c>
      <c r="V107" s="16">
        <f t="shared" si="13"/>
        <v>-0.27665620534489621</v>
      </c>
      <c r="W107" s="17">
        <f t="shared" si="18"/>
        <v>-0.27665620534489621</v>
      </c>
      <c r="X107" s="16">
        <f t="shared" si="21"/>
        <v>-2.3445168450312678E-2</v>
      </c>
      <c r="Y107" s="17">
        <f t="shared" si="19"/>
        <v>-2.3445168450312678E-2</v>
      </c>
      <c r="Z107" s="38"/>
      <c r="AA107" s="10">
        <v>524241.14700000029</v>
      </c>
      <c r="AB107" s="16">
        <f t="shared" si="22"/>
        <v>-2.3445168450312678E-2</v>
      </c>
      <c r="AC107" s="17">
        <f t="shared" si="23"/>
        <v>-2.3445168450312678E-2</v>
      </c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</row>
    <row r="108" spans="1:49" s="41" customFormat="1" x14ac:dyDescent="0.25">
      <c r="A108" s="6">
        <v>105</v>
      </c>
      <c r="B108" s="42">
        <v>8539291000</v>
      </c>
      <c r="C108" s="13" t="s">
        <v>5</v>
      </c>
      <c r="D108" s="38"/>
      <c r="E108" s="10">
        <v>83087.528999999995</v>
      </c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>
        <f t="shared" si="17"/>
        <v>83087.528999999995</v>
      </c>
      <c r="R108" s="43">
        <f t="shared" si="20"/>
        <v>4.0799354496306789E-4</v>
      </c>
      <c r="S108" s="40"/>
      <c r="T108" s="10">
        <v>215839.71299999996</v>
      </c>
      <c r="U108" s="10">
        <v>139796.65500000003</v>
      </c>
      <c r="V108" s="16">
        <f t="shared" si="13"/>
        <v>-0.4056543842197084</v>
      </c>
      <c r="W108" s="17">
        <f t="shared" si="18"/>
        <v>-0.4056543842197084</v>
      </c>
      <c r="X108" s="16">
        <f t="shared" si="21"/>
        <v>-0.61504985414801761</v>
      </c>
      <c r="Y108" s="17">
        <f t="shared" si="19"/>
        <v>-0.61504985414801761</v>
      </c>
      <c r="Z108" s="38"/>
      <c r="AA108" s="10">
        <v>215839.71299999996</v>
      </c>
      <c r="AB108" s="16">
        <f t="shared" si="22"/>
        <v>-0.61504985414801761</v>
      </c>
      <c r="AC108" s="17">
        <f t="shared" si="23"/>
        <v>-0.61504985414801761</v>
      </c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</row>
    <row r="109" spans="1:49" s="41" customFormat="1" x14ac:dyDescent="0.25">
      <c r="A109" s="6">
        <v>106</v>
      </c>
      <c r="B109" s="42">
        <v>8544300000</v>
      </c>
      <c r="C109" s="13" t="s">
        <v>5</v>
      </c>
      <c r="D109" s="38"/>
      <c r="E109" s="10">
        <v>670499.06300000055</v>
      </c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>
        <f t="shared" si="17"/>
        <v>670499.06300000055</v>
      </c>
      <c r="R109" s="43">
        <f t="shared" si="20"/>
        <v>3.2924229773133055E-3</v>
      </c>
      <c r="S109" s="40"/>
      <c r="T109" s="10">
        <v>764276.52600000065</v>
      </c>
      <c r="U109" s="10">
        <v>878430.40999999968</v>
      </c>
      <c r="V109" s="16">
        <f t="shared" si="13"/>
        <v>-0.23670781957559872</v>
      </c>
      <c r="W109" s="17">
        <f t="shared" si="18"/>
        <v>-0.23670781957559872</v>
      </c>
      <c r="X109" s="16">
        <f t="shared" si="21"/>
        <v>-0.12270095941687999</v>
      </c>
      <c r="Y109" s="17">
        <f t="shared" si="19"/>
        <v>-0.12270095941687999</v>
      </c>
      <c r="Z109" s="38"/>
      <c r="AA109" s="10">
        <v>764276.52600000065</v>
      </c>
      <c r="AB109" s="16">
        <f t="shared" si="22"/>
        <v>-0.12270095941687999</v>
      </c>
      <c r="AC109" s="17">
        <f t="shared" si="23"/>
        <v>-0.12270095941687999</v>
      </c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</row>
    <row r="110" spans="1:49" s="41" customFormat="1" x14ac:dyDescent="0.25">
      <c r="A110" s="6">
        <v>107</v>
      </c>
      <c r="B110" s="42">
        <v>8708100000</v>
      </c>
      <c r="C110" s="13" t="s">
        <v>14</v>
      </c>
      <c r="D110" s="38"/>
      <c r="E110" s="10">
        <v>926593.34500000032</v>
      </c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>
        <f t="shared" si="17"/>
        <v>926593.34500000032</v>
      </c>
      <c r="R110" s="43">
        <f t="shared" si="20"/>
        <v>4.5499500119414683E-3</v>
      </c>
      <c r="S110" s="40"/>
      <c r="T110" s="10">
        <v>782255.92699999956</v>
      </c>
      <c r="U110" s="10">
        <v>1236138.1599999999</v>
      </c>
      <c r="V110" s="16">
        <f t="shared" si="13"/>
        <v>-0.25041279770863123</v>
      </c>
      <c r="W110" s="17">
        <f t="shared" si="18"/>
        <v>-0.25041279770863123</v>
      </c>
      <c r="X110" s="16">
        <f t="shared" si="21"/>
        <v>0.18451431688545178</v>
      </c>
      <c r="Y110" s="17">
        <f t="shared" si="19"/>
        <v>0.18451431688545178</v>
      </c>
      <c r="Z110" s="38"/>
      <c r="AA110" s="10">
        <v>782255.92699999956</v>
      </c>
      <c r="AB110" s="16">
        <f t="shared" si="22"/>
        <v>0.18451431688545178</v>
      </c>
      <c r="AC110" s="17">
        <f t="shared" si="23"/>
        <v>0.18451431688545178</v>
      </c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</row>
    <row r="111" spans="1:49" s="41" customFormat="1" x14ac:dyDescent="0.25">
      <c r="A111" s="6">
        <v>108</v>
      </c>
      <c r="B111" s="42">
        <v>8708210000</v>
      </c>
      <c r="C111" s="13" t="s">
        <v>14</v>
      </c>
      <c r="D111" s="38"/>
      <c r="E111" s="10">
        <v>140082.11699999997</v>
      </c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>
        <f t="shared" si="17"/>
        <v>140082.11699999997</v>
      </c>
      <c r="R111" s="43">
        <f t="shared" si="20"/>
        <v>6.8786014205286122E-4</v>
      </c>
      <c r="S111" s="40"/>
      <c r="T111" s="10">
        <v>85648.128999999986</v>
      </c>
      <c r="U111" s="10">
        <v>102613.90799999997</v>
      </c>
      <c r="V111" s="16">
        <f t="shared" si="13"/>
        <v>0.36513772577495063</v>
      </c>
      <c r="W111" s="17">
        <f t="shared" si="18"/>
        <v>0.36513772577495063</v>
      </c>
      <c r="X111" s="16">
        <f t="shared" si="21"/>
        <v>0.63555373171082341</v>
      </c>
      <c r="Y111" s="17">
        <f t="shared" si="19"/>
        <v>0.63555373171082341</v>
      </c>
      <c r="Z111" s="38"/>
      <c r="AA111" s="10">
        <v>85648.128999999986</v>
      </c>
      <c r="AB111" s="16">
        <f t="shared" si="22"/>
        <v>0.63555373171082341</v>
      </c>
      <c r="AC111" s="17">
        <f t="shared" si="23"/>
        <v>0.63555373171082341</v>
      </c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</row>
    <row r="112" spans="1:49" s="41" customFormat="1" x14ac:dyDescent="0.25">
      <c r="A112" s="6">
        <v>109</v>
      </c>
      <c r="B112" s="42">
        <v>8708291000</v>
      </c>
      <c r="C112" s="13" t="s">
        <v>14</v>
      </c>
      <c r="D112" s="38"/>
      <c r="E112" s="10">
        <v>179420.75899999999</v>
      </c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>
        <f t="shared" si="17"/>
        <v>179420.75899999999</v>
      </c>
      <c r="R112" s="43">
        <f t="shared" si="20"/>
        <v>8.8102886661094789E-4</v>
      </c>
      <c r="S112" s="40"/>
      <c r="T112" s="10">
        <v>211949.82599999994</v>
      </c>
      <c r="U112" s="10">
        <v>305805.58599999995</v>
      </c>
      <c r="V112" s="16">
        <f t="shared" si="13"/>
        <v>-0.41328488682348652</v>
      </c>
      <c r="W112" s="17">
        <f t="shared" si="18"/>
        <v>-0.41328488682348652</v>
      </c>
      <c r="X112" s="16">
        <f t="shared" si="21"/>
        <v>-0.15347531825763311</v>
      </c>
      <c r="Y112" s="17">
        <f t="shared" si="19"/>
        <v>-0.15347531825763311</v>
      </c>
      <c r="Z112" s="38"/>
      <c r="AA112" s="10">
        <v>211949.82599999994</v>
      </c>
      <c r="AB112" s="16">
        <f t="shared" si="22"/>
        <v>-0.15347531825763311</v>
      </c>
      <c r="AC112" s="17">
        <f t="shared" si="23"/>
        <v>-0.15347531825763311</v>
      </c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</row>
    <row r="113" spans="1:49" s="41" customFormat="1" x14ac:dyDescent="0.25">
      <c r="A113" s="6">
        <v>110</v>
      </c>
      <c r="B113" s="42">
        <v>8708292000</v>
      </c>
      <c r="C113" s="13" t="s">
        <v>14</v>
      </c>
      <c r="D113" s="38"/>
      <c r="E113" s="10">
        <v>896978.49800000014</v>
      </c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>
        <f t="shared" si="17"/>
        <v>896978.49800000014</v>
      </c>
      <c r="R113" s="43">
        <f t="shared" si="20"/>
        <v>4.4045290738477507E-3</v>
      </c>
      <c r="S113" s="40"/>
      <c r="T113" s="10">
        <v>946243.28600000008</v>
      </c>
      <c r="U113" s="10">
        <v>1051226.1050000002</v>
      </c>
      <c r="V113" s="16">
        <f t="shared" si="13"/>
        <v>-0.14673114210762492</v>
      </c>
      <c r="W113" s="17">
        <f t="shared" si="18"/>
        <v>-0.14673114210762492</v>
      </c>
      <c r="X113" s="16">
        <f t="shared" si="21"/>
        <v>-5.2063553558466084E-2</v>
      </c>
      <c r="Y113" s="17">
        <f t="shared" si="19"/>
        <v>-5.2063553558466084E-2</v>
      </c>
      <c r="Z113" s="38"/>
      <c r="AA113" s="10">
        <v>946243.28600000008</v>
      </c>
      <c r="AB113" s="16">
        <f t="shared" si="22"/>
        <v>-5.2063553558466084E-2</v>
      </c>
      <c r="AC113" s="17">
        <f t="shared" si="23"/>
        <v>-5.2063553558466084E-2</v>
      </c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</row>
    <row r="114" spans="1:49" s="41" customFormat="1" x14ac:dyDescent="0.25">
      <c r="A114" s="6">
        <v>111</v>
      </c>
      <c r="B114" s="42">
        <v>8708293000</v>
      </c>
      <c r="C114" s="13" t="s">
        <v>14</v>
      </c>
      <c r="D114" s="38"/>
      <c r="E114" s="10">
        <v>174607.27900000001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>
        <f t="shared" si="17"/>
        <v>174607.27900000001</v>
      </c>
      <c r="R114" s="43">
        <f t="shared" si="20"/>
        <v>8.5739272298692923E-4</v>
      </c>
      <c r="S114" s="40"/>
      <c r="T114" s="10">
        <v>180133.87099999998</v>
      </c>
      <c r="U114" s="10">
        <v>213326.86800000002</v>
      </c>
      <c r="V114" s="16">
        <f t="shared" si="13"/>
        <v>-0.1815035741301935</v>
      </c>
      <c r="W114" s="17">
        <f t="shared" si="18"/>
        <v>-0.1815035741301935</v>
      </c>
      <c r="X114" s="16">
        <f t="shared" si="21"/>
        <v>-3.0680470970392767E-2</v>
      </c>
      <c r="Y114" s="17">
        <f t="shared" si="19"/>
        <v>-3.0680470970392767E-2</v>
      </c>
      <c r="Z114" s="38"/>
      <c r="AA114" s="10">
        <v>180133.87099999998</v>
      </c>
      <c r="AB114" s="16">
        <f t="shared" si="22"/>
        <v>-3.0680470970392767E-2</v>
      </c>
      <c r="AC114" s="17">
        <f t="shared" si="23"/>
        <v>-3.0680470970392767E-2</v>
      </c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</row>
    <row r="115" spans="1:49" s="41" customFormat="1" x14ac:dyDescent="0.25">
      <c r="A115" s="6">
        <v>112</v>
      </c>
      <c r="B115" s="42">
        <v>8708294000</v>
      </c>
      <c r="C115" s="13" t="s">
        <v>14</v>
      </c>
      <c r="D115" s="38"/>
      <c r="E115" s="10">
        <v>72075.960999999996</v>
      </c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>
        <f t="shared" si="17"/>
        <v>72075.960999999996</v>
      </c>
      <c r="R115" s="43">
        <f t="shared" si="20"/>
        <v>3.5392226955034163E-4</v>
      </c>
      <c r="S115" s="40"/>
      <c r="T115" s="10">
        <v>73337.226999999984</v>
      </c>
      <c r="U115" s="10">
        <v>60830.564000000013</v>
      </c>
      <c r="V115" s="16">
        <f t="shared" si="13"/>
        <v>0.18486425672462908</v>
      </c>
      <c r="W115" s="17">
        <f t="shared" si="18"/>
        <v>0.18486425672462908</v>
      </c>
      <c r="X115" s="16">
        <f t="shared" si="21"/>
        <v>-1.7198168673598593E-2</v>
      </c>
      <c r="Y115" s="17">
        <f t="shared" si="19"/>
        <v>-1.7198168673598593E-2</v>
      </c>
      <c r="Z115" s="38"/>
      <c r="AA115" s="10">
        <v>73337.226999999984</v>
      </c>
      <c r="AB115" s="16">
        <f t="shared" si="22"/>
        <v>-1.7198168673598593E-2</v>
      </c>
      <c r="AC115" s="17">
        <f t="shared" si="23"/>
        <v>-1.7198168673598593E-2</v>
      </c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</row>
    <row r="116" spans="1:49" s="41" customFormat="1" x14ac:dyDescent="0.25">
      <c r="A116" s="6">
        <v>113</v>
      </c>
      <c r="B116" s="42">
        <v>8708299000</v>
      </c>
      <c r="C116" s="13" t="s">
        <v>14</v>
      </c>
      <c r="D116" s="38"/>
      <c r="E116" s="10">
        <v>1556919.9399999997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>
        <f t="shared" si="17"/>
        <v>1556919.9399999997</v>
      </c>
      <c r="R116" s="43">
        <f t="shared" si="20"/>
        <v>7.6451098400613987E-3</v>
      </c>
      <c r="S116" s="40"/>
      <c r="T116" s="10">
        <v>1328410.1370000001</v>
      </c>
      <c r="U116" s="10">
        <v>2167103.1340000019</v>
      </c>
      <c r="V116" s="16">
        <f t="shared" si="13"/>
        <v>-0.28156629208215694</v>
      </c>
      <c r="W116" s="17">
        <f t="shared" si="18"/>
        <v>-0.28156629208215694</v>
      </c>
      <c r="X116" s="16">
        <f t="shared" si="21"/>
        <v>0.17201750922802511</v>
      </c>
      <c r="Y116" s="17">
        <f t="shared" si="19"/>
        <v>0.17201750922802511</v>
      </c>
      <c r="Z116" s="38"/>
      <c r="AA116" s="10">
        <v>1328410.1370000001</v>
      </c>
      <c r="AB116" s="16">
        <f t="shared" si="22"/>
        <v>0.17201750922802511</v>
      </c>
      <c r="AC116" s="17">
        <f t="shared" si="23"/>
        <v>0.17201750922802511</v>
      </c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</row>
    <row r="117" spans="1:49" s="41" customFormat="1" x14ac:dyDescent="0.25">
      <c r="A117" s="6">
        <v>114</v>
      </c>
      <c r="B117" s="42">
        <v>8708301000</v>
      </c>
      <c r="C117" s="13" t="s">
        <v>8</v>
      </c>
      <c r="D117" s="38"/>
      <c r="E117" s="10">
        <v>2411201.7100000014</v>
      </c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>
        <f t="shared" si="17"/>
        <v>2411201.7100000014</v>
      </c>
      <c r="R117" s="43">
        <f t="shared" si="20"/>
        <v>1.1839980621928373E-2</v>
      </c>
      <c r="S117" s="40"/>
      <c r="T117" s="10">
        <v>940946.77200000023</v>
      </c>
      <c r="U117" s="10">
        <v>2205464.7639999995</v>
      </c>
      <c r="V117" s="16">
        <f t="shared" si="13"/>
        <v>9.3285075036456985E-2</v>
      </c>
      <c r="W117" s="17">
        <f t="shared" si="18"/>
        <v>9.3285075036456985E-2</v>
      </c>
      <c r="X117" s="16">
        <f t="shared" si="21"/>
        <v>1.5625272138135362</v>
      </c>
      <c r="Y117" s="17">
        <f t="shared" si="19"/>
        <v>1.5625272138135362</v>
      </c>
      <c r="Z117" s="38"/>
      <c r="AA117" s="10">
        <v>940946.77200000023</v>
      </c>
      <c r="AB117" s="16">
        <f t="shared" si="22"/>
        <v>1.5625272138135362</v>
      </c>
      <c r="AC117" s="17">
        <f t="shared" si="23"/>
        <v>1.5625272138135362</v>
      </c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</row>
    <row r="118" spans="1:49" s="41" customFormat="1" x14ac:dyDescent="0.25">
      <c r="A118" s="6">
        <v>115</v>
      </c>
      <c r="B118" s="42">
        <v>8708302500</v>
      </c>
      <c r="C118" s="13" t="s">
        <v>8</v>
      </c>
      <c r="D118" s="38"/>
      <c r="E118" s="10">
        <v>942905.63599999936</v>
      </c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>
        <f t="shared" si="17"/>
        <v>942905.63599999936</v>
      </c>
      <c r="R118" s="43">
        <f t="shared" si="20"/>
        <v>4.6300499921871048E-3</v>
      </c>
      <c r="S118" s="40"/>
      <c r="T118" s="10">
        <v>716026.80299999996</v>
      </c>
      <c r="U118" s="10">
        <v>824561.24100000004</v>
      </c>
      <c r="V118" s="16">
        <f t="shared" si="13"/>
        <v>0.14352408179709639</v>
      </c>
      <c r="W118" s="17">
        <f t="shared" si="18"/>
        <v>0.14352408179709639</v>
      </c>
      <c r="X118" s="16">
        <f t="shared" si="21"/>
        <v>0.31685801711531658</v>
      </c>
      <c r="Y118" s="17">
        <f t="shared" si="19"/>
        <v>0.31685801711531658</v>
      </c>
      <c r="Z118" s="38"/>
      <c r="AA118" s="10">
        <v>716026.80299999996</v>
      </c>
      <c r="AB118" s="16">
        <f t="shared" si="22"/>
        <v>0.31685801711531658</v>
      </c>
      <c r="AC118" s="17">
        <f t="shared" si="23"/>
        <v>0.31685801711531658</v>
      </c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</row>
    <row r="119" spans="1:49" s="41" customFormat="1" x14ac:dyDescent="0.25">
      <c r="A119" s="6">
        <v>116</v>
      </c>
      <c r="B119" s="42">
        <v>8708302900</v>
      </c>
      <c r="C119" s="13" t="s">
        <v>8</v>
      </c>
      <c r="D119" s="38"/>
      <c r="E119" s="10">
        <v>2564108.1539999987</v>
      </c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>
        <f t="shared" si="17"/>
        <v>2564108.1539999987</v>
      </c>
      <c r="R119" s="43">
        <f t="shared" si="20"/>
        <v>1.2590813423024863E-2</v>
      </c>
      <c r="S119" s="40"/>
      <c r="T119" s="10">
        <v>2077455.0369999995</v>
      </c>
      <c r="U119" s="10">
        <v>2620168.654000001</v>
      </c>
      <c r="V119" s="16">
        <f t="shared" si="13"/>
        <v>-2.1395760121936908E-2</v>
      </c>
      <c r="W119" s="17">
        <f t="shared" si="18"/>
        <v>-2.1395760121936908E-2</v>
      </c>
      <c r="X119" s="16">
        <f t="shared" si="21"/>
        <v>0.23425446439638117</v>
      </c>
      <c r="Y119" s="17">
        <f t="shared" si="19"/>
        <v>0.23425446439638117</v>
      </c>
      <c r="Z119" s="38"/>
      <c r="AA119" s="10">
        <v>2077455.0369999995</v>
      </c>
      <c r="AB119" s="16">
        <f t="shared" si="22"/>
        <v>0.23425446439638117</v>
      </c>
      <c r="AC119" s="17">
        <f t="shared" si="23"/>
        <v>0.23425446439638117</v>
      </c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</row>
    <row r="120" spans="1:49" s="41" customFormat="1" x14ac:dyDescent="0.25">
      <c r="A120" s="6">
        <v>117</v>
      </c>
      <c r="B120" s="42">
        <v>8708401000</v>
      </c>
      <c r="C120" s="13" t="s">
        <v>9</v>
      </c>
      <c r="D120" s="38"/>
      <c r="E120" s="10">
        <v>622901.75899999973</v>
      </c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>
        <f t="shared" si="17"/>
        <v>622901.75899999973</v>
      </c>
      <c r="R120" s="43">
        <f t="shared" si="20"/>
        <v>3.0587008649413617E-3</v>
      </c>
      <c r="S120" s="40"/>
      <c r="T120" s="10">
        <v>332279.59000000008</v>
      </c>
      <c r="U120" s="10">
        <v>399226.06699999998</v>
      </c>
      <c r="V120" s="16">
        <f t="shared" si="13"/>
        <v>0.56027326492185126</v>
      </c>
      <c r="W120" s="17">
        <f t="shared" si="18"/>
        <v>0.56027326492185126</v>
      </c>
      <c r="X120" s="16">
        <f t="shared" si="21"/>
        <v>0.87463141807776867</v>
      </c>
      <c r="Y120" s="17">
        <f t="shared" si="19"/>
        <v>0.87463141807776867</v>
      </c>
      <c r="Z120" s="38"/>
      <c r="AA120" s="10">
        <v>332279.59000000008</v>
      </c>
      <c r="AB120" s="16">
        <f t="shared" si="22"/>
        <v>0.87463141807776867</v>
      </c>
      <c r="AC120" s="17">
        <f t="shared" si="23"/>
        <v>0.87463141807776867</v>
      </c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</row>
    <row r="121" spans="1:49" s="41" customFormat="1" x14ac:dyDescent="0.25">
      <c r="A121" s="6">
        <v>118</v>
      </c>
      <c r="B121" s="42">
        <v>8708409000</v>
      </c>
      <c r="C121" s="13" t="s">
        <v>9</v>
      </c>
      <c r="D121" s="38"/>
      <c r="E121" s="10">
        <v>1327388.4060000011</v>
      </c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>
        <f t="shared" si="17"/>
        <v>1327388.4060000011</v>
      </c>
      <c r="R121" s="43">
        <f t="shared" si="20"/>
        <v>6.5180166966671551E-3</v>
      </c>
      <c r="S121" s="40"/>
      <c r="T121" s="10">
        <v>1105412.2720000006</v>
      </c>
      <c r="U121" s="10">
        <v>1564351.9610000013</v>
      </c>
      <c r="V121" s="16">
        <f t="shared" si="13"/>
        <v>-0.15147713616092048</v>
      </c>
      <c r="W121" s="17">
        <f t="shared" si="18"/>
        <v>-0.15147713616092048</v>
      </c>
      <c r="X121" s="16">
        <f t="shared" si="21"/>
        <v>0.20080845818581652</v>
      </c>
      <c r="Y121" s="17">
        <f t="shared" si="19"/>
        <v>0.20080845818581652</v>
      </c>
      <c r="Z121" s="38"/>
      <c r="AA121" s="10">
        <v>1105412.2720000006</v>
      </c>
      <c r="AB121" s="16">
        <f t="shared" si="22"/>
        <v>0.20080845818581652</v>
      </c>
      <c r="AC121" s="17">
        <f t="shared" si="23"/>
        <v>0.20080845818581652</v>
      </c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s="41" customFormat="1" x14ac:dyDescent="0.25">
      <c r="A122" s="6">
        <v>119</v>
      </c>
      <c r="B122" s="42">
        <v>8708701000</v>
      </c>
      <c r="C122" s="13" t="s">
        <v>0</v>
      </c>
      <c r="D122" s="38"/>
      <c r="E122" s="10">
        <v>2940098.9809999987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>
        <f t="shared" si="17"/>
        <v>2940098.9809999987</v>
      </c>
      <c r="R122" s="43">
        <f t="shared" si="20"/>
        <v>1.4437081235145326E-2</v>
      </c>
      <c r="S122" s="40"/>
      <c r="T122" s="10">
        <v>2028451.9419999998</v>
      </c>
      <c r="U122" s="10">
        <v>3069447.6999999983</v>
      </c>
      <c r="V122" s="16">
        <f t="shared" si="13"/>
        <v>-4.2140714435368827E-2</v>
      </c>
      <c r="W122" s="17">
        <f t="shared" si="18"/>
        <v>-4.2140714435368827E-2</v>
      </c>
      <c r="X122" s="16">
        <f t="shared" si="21"/>
        <v>0.44942994217607107</v>
      </c>
      <c r="Y122" s="17">
        <f t="shared" si="19"/>
        <v>0.44942994217607107</v>
      </c>
      <c r="Z122" s="38"/>
      <c r="AA122" s="10">
        <v>2028451.9419999998</v>
      </c>
      <c r="AB122" s="16">
        <f t="shared" si="22"/>
        <v>0.44942994217607107</v>
      </c>
      <c r="AC122" s="17">
        <f t="shared" si="23"/>
        <v>0.44942994217607107</v>
      </c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s="41" customFormat="1" x14ac:dyDescent="0.25">
      <c r="A123" s="6">
        <v>120</v>
      </c>
      <c r="B123" s="42">
        <v>8708702000</v>
      </c>
      <c r="C123" s="13" t="s">
        <v>6</v>
      </c>
      <c r="D123" s="38"/>
      <c r="E123" s="10">
        <v>113601.27</v>
      </c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>
        <f t="shared" si="17"/>
        <v>113601.27</v>
      </c>
      <c r="R123" s="43">
        <f t="shared" si="20"/>
        <v>5.578284180241612E-4</v>
      </c>
      <c r="S123" s="40"/>
      <c r="T123" s="10">
        <v>59510.017000000007</v>
      </c>
      <c r="U123" s="10">
        <v>224675.82900000006</v>
      </c>
      <c r="V123" s="16">
        <f t="shared" si="13"/>
        <v>-0.49437698525193835</v>
      </c>
      <c r="W123" s="17">
        <f t="shared" si="18"/>
        <v>-0.49437698525193835</v>
      </c>
      <c r="X123" s="16">
        <f t="shared" si="21"/>
        <v>0.90894366573613972</v>
      </c>
      <c r="Y123" s="17">
        <f t="shared" si="19"/>
        <v>0.90894366573613972</v>
      </c>
      <c r="Z123" s="38"/>
      <c r="AA123" s="10">
        <v>59510.017000000007</v>
      </c>
      <c r="AB123" s="16">
        <f t="shared" si="22"/>
        <v>0.90894366573613972</v>
      </c>
      <c r="AC123" s="17">
        <f t="shared" si="23"/>
        <v>0.90894366573613972</v>
      </c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s="41" customFormat="1" x14ac:dyDescent="0.25">
      <c r="A124" s="6">
        <v>121</v>
      </c>
      <c r="B124" s="42">
        <v>8708802000</v>
      </c>
      <c r="C124" s="13" t="s">
        <v>3</v>
      </c>
      <c r="D124" s="38"/>
      <c r="E124" s="10">
        <v>3040741.9120000019</v>
      </c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>
        <f t="shared" si="17"/>
        <v>3040741.9120000019</v>
      </c>
      <c r="R124" s="43">
        <f t="shared" si="20"/>
        <v>1.4931278940725963E-2</v>
      </c>
      <c r="S124" s="40"/>
      <c r="T124" s="10">
        <v>2463134.475000001</v>
      </c>
      <c r="U124" s="10">
        <v>2779522.7479999997</v>
      </c>
      <c r="V124" s="16">
        <f t="shared" si="13"/>
        <v>9.3979861898220454E-2</v>
      </c>
      <c r="W124" s="17">
        <f t="shared" si="18"/>
        <v>9.3979861898220454E-2</v>
      </c>
      <c r="X124" s="16">
        <f t="shared" si="21"/>
        <v>0.23450097542887935</v>
      </c>
      <c r="Y124" s="17">
        <f t="shared" si="19"/>
        <v>0.23450097542887935</v>
      </c>
      <c r="Z124" s="38"/>
      <c r="AA124" s="10">
        <v>2463134.475000001</v>
      </c>
      <c r="AB124" s="16">
        <f t="shared" si="22"/>
        <v>0.23450097542887935</v>
      </c>
      <c r="AC124" s="17">
        <f t="shared" si="23"/>
        <v>0.23450097542887935</v>
      </c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s="41" customFormat="1" x14ac:dyDescent="0.25">
      <c r="A125" s="6">
        <v>122</v>
      </c>
      <c r="B125" s="42">
        <v>8708910000</v>
      </c>
      <c r="C125" s="13" t="s">
        <v>11</v>
      </c>
      <c r="D125" s="38"/>
      <c r="E125" s="10">
        <v>1602007.0160000001</v>
      </c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>
        <f t="shared" si="17"/>
        <v>1602007.0160000001</v>
      </c>
      <c r="R125" s="43">
        <f t="shared" si="20"/>
        <v>7.8665057124703546E-3</v>
      </c>
      <c r="S125" s="40"/>
      <c r="T125" s="10">
        <v>1392775.5240000004</v>
      </c>
      <c r="U125" s="10">
        <v>1942101.7750000006</v>
      </c>
      <c r="V125" s="16">
        <f t="shared" si="13"/>
        <v>-0.17511685709674019</v>
      </c>
      <c r="W125" s="17">
        <f t="shared" si="18"/>
        <v>-0.17511685709674019</v>
      </c>
      <c r="X125" s="16">
        <f t="shared" si="21"/>
        <v>0.15022628441882321</v>
      </c>
      <c r="Y125" s="17">
        <f t="shared" si="19"/>
        <v>0.15022628441882321</v>
      </c>
      <c r="Z125" s="38"/>
      <c r="AA125" s="10">
        <v>1392775.5240000004</v>
      </c>
      <c r="AB125" s="16">
        <f t="shared" si="22"/>
        <v>0.15022628441882321</v>
      </c>
      <c r="AC125" s="17">
        <f t="shared" si="23"/>
        <v>0.15022628441882321</v>
      </c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s="41" customFormat="1" x14ac:dyDescent="0.25">
      <c r="A126" s="6">
        <v>123</v>
      </c>
      <c r="B126" s="42">
        <v>8708920000</v>
      </c>
      <c r="C126" s="13" t="s">
        <v>12</v>
      </c>
      <c r="D126" s="38"/>
      <c r="E126" s="10">
        <v>1003205.9310000002</v>
      </c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>
        <f t="shared" si="17"/>
        <v>1003205.9310000002</v>
      </c>
      <c r="R126" s="43">
        <f t="shared" si="20"/>
        <v>4.9261489545159654E-3</v>
      </c>
      <c r="S126" s="40"/>
      <c r="T126" s="10">
        <v>825729.77300000004</v>
      </c>
      <c r="U126" s="10">
        <v>536458.99199999997</v>
      </c>
      <c r="V126" s="16">
        <f t="shared" si="13"/>
        <v>0.87005147823116413</v>
      </c>
      <c r="W126" s="17">
        <f t="shared" si="18"/>
        <v>0.87005147823116413</v>
      </c>
      <c r="X126" s="16">
        <f t="shared" si="21"/>
        <v>0.21493249220650321</v>
      </c>
      <c r="Y126" s="17">
        <f t="shared" si="19"/>
        <v>0.21493249220650321</v>
      </c>
      <c r="Z126" s="38"/>
      <c r="AA126" s="10">
        <v>825729.77300000004</v>
      </c>
      <c r="AB126" s="16">
        <f t="shared" si="22"/>
        <v>0.21493249220650321</v>
      </c>
      <c r="AC126" s="17">
        <f t="shared" si="23"/>
        <v>0.21493249220650321</v>
      </c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</row>
    <row r="127" spans="1:49" s="41" customFormat="1" x14ac:dyDescent="0.25">
      <c r="A127" s="6">
        <v>124</v>
      </c>
      <c r="B127" s="42">
        <v>8708931000</v>
      </c>
      <c r="C127" s="13" t="s">
        <v>9</v>
      </c>
      <c r="D127" s="38"/>
      <c r="E127" s="10">
        <v>602137.13699999999</v>
      </c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>
        <f t="shared" si="17"/>
        <v>602137.13699999999</v>
      </c>
      <c r="R127" s="43">
        <f t="shared" si="20"/>
        <v>2.9567381294796054E-3</v>
      </c>
      <c r="S127" s="40"/>
      <c r="T127" s="10">
        <v>514838.39500000008</v>
      </c>
      <c r="U127" s="10">
        <v>856565.24300000037</v>
      </c>
      <c r="V127" s="16">
        <f t="shared" si="13"/>
        <v>-0.29703295584222095</v>
      </c>
      <c r="W127" s="17">
        <f t="shared" si="18"/>
        <v>-0.29703295584222095</v>
      </c>
      <c r="X127" s="16">
        <f t="shared" si="21"/>
        <v>0.169565329330187</v>
      </c>
      <c r="Y127" s="17">
        <f t="shared" si="19"/>
        <v>0.169565329330187</v>
      </c>
      <c r="Z127" s="38"/>
      <c r="AA127" s="10">
        <v>514838.39500000008</v>
      </c>
      <c r="AB127" s="16">
        <f t="shared" si="22"/>
        <v>0.169565329330187</v>
      </c>
      <c r="AC127" s="17">
        <f t="shared" si="23"/>
        <v>0.169565329330187</v>
      </c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</row>
    <row r="128" spans="1:49" s="41" customFormat="1" x14ac:dyDescent="0.25">
      <c r="A128" s="6">
        <v>125</v>
      </c>
      <c r="B128" s="42">
        <v>8708939100</v>
      </c>
      <c r="C128" s="13" t="s">
        <v>9</v>
      </c>
      <c r="D128" s="38"/>
      <c r="E128" s="10">
        <v>2218768.5039999983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>
        <f t="shared" si="17"/>
        <v>2218768.5039999983</v>
      </c>
      <c r="R128" s="43">
        <f t="shared" si="20"/>
        <v>1.0895055350597347E-2</v>
      </c>
      <c r="S128" s="40"/>
      <c r="T128" s="10">
        <v>1828561.7779999999</v>
      </c>
      <c r="U128" s="10">
        <v>2391435.5870000008</v>
      </c>
      <c r="V128" s="16">
        <f t="shared" si="13"/>
        <v>-7.2202272115808555E-2</v>
      </c>
      <c r="W128" s="17">
        <f t="shared" si="18"/>
        <v>-7.2202272115808555E-2</v>
      </c>
      <c r="X128" s="16">
        <f t="shared" si="21"/>
        <v>0.21339542950897139</v>
      </c>
      <c r="Y128" s="17">
        <f t="shared" si="19"/>
        <v>0.21339542950897139</v>
      </c>
      <c r="Z128" s="38"/>
      <c r="AA128" s="10">
        <v>1828561.7779999999</v>
      </c>
      <c r="AB128" s="16">
        <f t="shared" si="22"/>
        <v>0.21339542950897139</v>
      </c>
      <c r="AC128" s="17">
        <f t="shared" si="23"/>
        <v>0.21339542950897139</v>
      </c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</row>
    <row r="129" spans="1:49" s="41" customFormat="1" x14ac:dyDescent="0.25">
      <c r="A129" s="6">
        <v>126</v>
      </c>
      <c r="B129" s="42">
        <v>8708939900</v>
      </c>
      <c r="C129" s="13" t="s">
        <v>9</v>
      </c>
      <c r="D129" s="38"/>
      <c r="E129" s="10">
        <v>1335830.2939999993</v>
      </c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>
        <f t="shared" si="17"/>
        <v>1335830.2939999993</v>
      </c>
      <c r="R129" s="43">
        <f t="shared" si="20"/>
        <v>6.5594697986278653E-3</v>
      </c>
      <c r="S129" s="40"/>
      <c r="T129" s="10">
        <v>1237452.4189999998</v>
      </c>
      <c r="U129" s="10">
        <v>1528872.014999999</v>
      </c>
      <c r="V129" s="16">
        <f t="shared" si="13"/>
        <v>-0.12626414710063211</v>
      </c>
      <c r="W129" s="17">
        <f t="shared" si="18"/>
        <v>-0.12626414710063211</v>
      </c>
      <c r="X129" s="16">
        <f t="shared" si="21"/>
        <v>7.9500329458727703E-2</v>
      </c>
      <c r="Y129" s="17">
        <f t="shared" si="19"/>
        <v>7.9500329458727703E-2</v>
      </c>
      <c r="Z129" s="38"/>
      <c r="AA129" s="10">
        <v>1237452.4189999998</v>
      </c>
      <c r="AB129" s="16">
        <f t="shared" si="22"/>
        <v>7.9500329458727703E-2</v>
      </c>
      <c r="AC129" s="17">
        <f t="shared" si="23"/>
        <v>7.9500329458727703E-2</v>
      </c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</row>
    <row r="130" spans="1:49" s="41" customFormat="1" x14ac:dyDescent="0.25">
      <c r="A130" s="6">
        <v>127</v>
      </c>
      <c r="B130" s="42">
        <v>8708940000</v>
      </c>
      <c r="C130" s="13" t="s">
        <v>10</v>
      </c>
      <c r="D130" s="38"/>
      <c r="E130" s="10">
        <v>296822.76300000009</v>
      </c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>
        <f t="shared" si="17"/>
        <v>296822.76300000009</v>
      </c>
      <c r="R130" s="43">
        <f t="shared" si="20"/>
        <v>1.4575204336874981E-3</v>
      </c>
      <c r="S130" s="40"/>
      <c r="T130" s="10">
        <v>386071.4929999999</v>
      </c>
      <c r="U130" s="10">
        <v>371055.50100000016</v>
      </c>
      <c r="V130" s="16">
        <f t="shared" si="13"/>
        <v>-0.20005831418734318</v>
      </c>
      <c r="W130" s="17">
        <f t="shared" si="18"/>
        <v>-0.20005831418734318</v>
      </c>
      <c r="X130" s="16">
        <f t="shared" si="21"/>
        <v>-0.23117150998765876</v>
      </c>
      <c r="Y130" s="17">
        <f t="shared" si="19"/>
        <v>-0.23117150998765876</v>
      </c>
      <c r="Z130" s="38"/>
      <c r="AA130" s="10">
        <v>386071.4929999999</v>
      </c>
      <c r="AB130" s="16">
        <f t="shared" si="22"/>
        <v>-0.23117150998765876</v>
      </c>
      <c r="AC130" s="17">
        <f t="shared" si="23"/>
        <v>-0.23117150998765876</v>
      </c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</row>
    <row r="131" spans="1:49" s="41" customFormat="1" x14ac:dyDescent="0.25">
      <c r="A131" s="6">
        <v>128</v>
      </c>
      <c r="B131" s="42">
        <v>8708991100</v>
      </c>
      <c r="C131" s="13" t="s">
        <v>14</v>
      </c>
      <c r="D131" s="38"/>
      <c r="E131" s="10">
        <v>151184.177</v>
      </c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>
        <f t="shared" si="17"/>
        <v>151184.177</v>
      </c>
      <c r="R131" s="43">
        <f t="shared" si="20"/>
        <v>7.4237576997330027E-4</v>
      </c>
      <c r="S131" s="40"/>
      <c r="T131" s="10">
        <v>6826.1040000000003</v>
      </c>
      <c r="U131" s="10">
        <v>3571.3359999999998</v>
      </c>
      <c r="V131" s="16">
        <f t="shared" si="13"/>
        <v>41.332666822724043</v>
      </c>
      <c r="W131" s="17">
        <f t="shared" si="18"/>
        <v>41.332666822724043</v>
      </c>
      <c r="X131" s="16">
        <f t="shared" si="21"/>
        <v>21.147945152901276</v>
      </c>
      <c r="Y131" s="17">
        <f t="shared" si="19"/>
        <v>21.147945152901276</v>
      </c>
      <c r="Z131" s="38"/>
      <c r="AA131" s="10">
        <v>6826.1040000000003</v>
      </c>
      <c r="AB131" s="16">
        <f t="shared" si="22"/>
        <v>21.147945152901276</v>
      </c>
      <c r="AC131" s="17">
        <f t="shared" si="23"/>
        <v>21.147945152901276</v>
      </c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</row>
    <row r="132" spans="1:49" s="41" customFormat="1" x14ac:dyDescent="0.25">
      <c r="A132" s="6">
        <v>129</v>
      </c>
      <c r="B132" s="42">
        <v>8708991900</v>
      </c>
      <c r="C132" s="13" t="s">
        <v>14</v>
      </c>
      <c r="D132" s="38"/>
      <c r="E132" s="10">
        <v>77828.962000000014</v>
      </c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>
        <f t="shared" si="17"/>
        <v>77828.962000000014</v>
      </c>
      <c r="R132" s="43">
        <f t="shared" ref="R132:R163" si="24">+Q132/$Q$151</f>
        <v>3.8217184322783158E-4</v>
      </c>
      <c r="S132" s="40"/>
      <c r="T132" s="10">
        <v>45304.375</v>
      </c>
      <c r="U132" s="10">
        <v>103099.60800000002</v>
      </c>
      <c r="V132" s="16">
        <f t="shared" ref="V132:V151" si="25">+W132</f>
        <v>-0.245109040569776</v>
      </c>
      <c r="W132" s="17">
        <f t="shared" si="18"/>
        <v>-0.245109040569776</v>
      </c>
      <c r="X132" s="16">
        <f t="shared" ref="X132:X150" si="26">+Y132</f>
        <v>0.71791271814256385</v>
      </c>
      <c r="Y132" s="17">
        <f t="shared" si="19"/>
        <v>0.71791271814256385</v>
      </c>
      <c r="Z132" s="38"/>
      <c r="AA132" s="10">
        <v>45304.375</v>
      </c>
      <c r="AB132" s="16">
        <f t="shared" ref="AB132:AB150" si="27">+AC132</f>
        <v>0.71791271814256385</v>
      </c>
      <c r="AC132" s="17">
        <f t="shared" ref="AC132:AC150" si="28">IFERROR((Q132-AA132)/AA132,0)</f>
        <v>0.71791271814256385</v>
      </c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</row>
    <row r="133" spans="1:49" s="41" customFormat="1" x14ac:dyDescent="0.25">
      <c r="A133" s="6">
        <v>130</v>
      </c>
      <c r="B133" s="42">
        <v>8708992100</v>
      </c>
      <c r="C133" s="13" t="s">
        <v>13</v>
      </c>
      <c r="D133" s="38"/>
      <c r="E133" s="10">
        <v>147708.23699999999</v>
      </c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>
        <f t="shared" ref="Q133:Q150" si="29">SUM(E133:P133)</f>
        <v>147708.23699999999</v>
      </c>
      <c r="R133" s="43">
        <f t="shared" si="24"/>
        <v>7.2530749149941605E-4</v>
      </c>
      <c r="S133" s="40"/>
      <c r="T133" s="10">
        <v>69821.763999999996</v>
      </c>
      <c r="U133" s="10">
        <v>273133.03999999992</v>
      </c>
      <c r="V133" s="16">
        <f t="shared" si="25"/>
        <v>-0.45920772895142953</v>
      </c>
      <c r="W133" s="17">
        <f t="shared" ref="W133:W151" si="30">IFERROR((E133-U133)/U133,0)</f>
        <v>-0.45920772895142953</v>
      </c>
      <c r="X133" s="16">
        <f t="shared" si="26"/>
        <v>1.115504228738764</v>
      </c>
      <c r="Y133" s="17">
        <f t="shared" ref="Y133:Y151" si="31">IFERROR((E133-T133)/T133,0)</f>
        <v>1.115504228738764</v>
      </c>
      <c r="Z133" s="38"/>
      <c r="AA133" s="10">
        <v>69821.763999999996</v>
      </c>
      <c r="AB133" s="16">
        <f t="shared" si="27"/>
        <v>1.115504228738764</v>
      </c>
      <c r="AC133" s="17">
        <f t="shared" si="28"/>
        <v>1.115504228738764</v>
      </c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</row>
    <row r="134" spans="1:49" s="41" customFormat="1" x14ac:dyDescent="0.25">
      <c r="A134" s="6">
        <v>131</v>
      </c>
      <c r="B134" s="42">
        <v>8708992900</v>
      </c>
      <c r="C134" s="13" t="s">
        <v>13</v>
      </c>
      <c r="D134" s="38"/>
      <c r="E134" s="10">
        <v>1428870.152</v>
      </c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>
        <f t="shared" si="29"/>
        <v>1428870.152</v>
      </c>
      <c r="R134" s="43">
        <f t="shared" si="24"/>
        <v>7.0163333249012331E-3</v>
      </c>
      <c r="S134" s="40"/>
      <c r="T134" s="10">
        <v>793122.07800000021</v>
      </c>
      <c r="U134" s="10">
        <v>914277.13400000054</v>
      </c>
      <c r="V134" s="16">
        <f t="shared" si="25"/>
        <v>0.56284139552810819</v>
      </c>
      <c r="W134" s="17">
        <f t="shared" si="30"/>
        <v>0.56284139552810819</v>
      </c>
      <c r="X134" s="16">
        <f t="shared" si="26"/>
        <v>0.80157656889737927</v>
      </c>
      <c r="Y134" s="17">
        <f t="shared" si="31"/>
        <v>0.80157656889737927</v>
      </c>
      <c r="Z134" s="38"/>
      <c r="AA134" s="10">
        <v>793122.07800000021</v>
      </c>
      <c r="AB134" s="16">
        <f t="shared" si="27"/>
        <v>0.80157656889737927</v>
      </c>
      <c r="AC134" s="17">
        <f t="shared" si="28"/>
        <v>0.80157656889737927</v>
      </c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</row>
    <row r="135" spans="1:49" s="41" customFormat="1" x14ac:dyDescent="0.25">
      <c r="A135" s="6">
        <v>132</v>
      </c>
      <c r="B135" s="42">
        <v>8708993100</v>
      </c>
      <c r="C135" s="13" t="s">
        <v>10</v>
      </c>
      <c r="D135" s="38"/>
      <c r="E135" s="10">
        <v>52069.811000000002</v>
      </c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>
        <f t="shared" si="29"/>
        <v>52069.811000000002</v>
      </c>
      <c r="R135" s="43">
        <f t="shared" si="24"/>
        <v>2.5568393995020538E-4</v>
      </c>
      <c r="S135" s="40"/>
      <c r="T135" s="10">
        <v>51053.226999999999</v>
      </c>
      <c r="U135" s="10">
        <v>126357.05099999998</v>
      </c>
      <c r="V135" s="16">
        <f t="shared" si="25"/>
        <v>-0.58791527193840565</v>
      </c>
      <c r="W135" s="17">
        <f t="shared" si="30"/>
        <v>-0.58791527193840565</v>
      </c>
      <c r="X135" s="16">
        <f t="shared" si="26"/>
        <v>1.9912237868920657E-2</v>
      </c>
      <c r="Y135" s="17">
        <f t="shared" si="31"/>
        <v>1.9912237868920657E-2</v>
      </c>
      <c r="Z135" s="38"/>
      <c r="AA135" s="10">
        <v>51053.226999999999</v>
      </c>
      <c r="AB135" s="16">
        <f t="shared" si="27"/>
        <v>1.9912237868920657E-2</v>
      </c>
      <c r="AC135" s="17">
        <f t="shared" si="28"/>
        <v>1.9912237868920657E-2</v>
      </c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</row>
    <row r="136" spans="1:49" s="41" customFormat="1" x14ac:dyDescent="0.25">
      <c r="A136" s="6">
        <v>133</v>
      </c>
      <c r="B136" s="42">
        <v>8708993200</v>
      </c>
      <c r="C136" s="13" t="s">
        <v>10</v>
      </c>
      <c r="D136" s="38"/>
      <c r="E136" s="10">
        <v>438089.22199999989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>
        <f t="shared" si="29"/>
        <v>438089.22199999989</v>
      </c>
      <c r="R136" s="43">
        <f t="shared" si="24"/>
        <v>2.1511961764309104E-3</v>
      </c>
      <c r="S136" s="40"/>
      <c r="T136" s="10">
        <v>205006.67199999996</v>
      </c>
      <c r="U136" s="10">
        <v>215779.98499999996</v>
      </c>
      <c r="V136" s="16">
        <f t="shared" si="25"/>
        <v>1.0302588398085206</v>
      </c>
      <c r="W136" s="17">
        <f t="shared" si="30"/>
        <v>1.0302588398085206</v>
      </c>
      <c r="X136" s="16">
        <f t="shared" si="26"/>
        <v>1.1369510451835438</v>
      </c>
      <c r="Y136" s="17">
        <f t="shared" si="31"/>
        <v>1.1369510451835438</v>
      </c>
      <c r="Z136" s="38"/>
      <c r="AA136" s="10">
        <v>205006.67199999996</v>
      </c>
      <c r="AB136" s="16">
        <f t="shared" si="27"/>
        <v>1.1369510451835438</v>
      </c>
      <c r="AC136" s="17">
        <f t="shared" si="28"/>
        <v>1.1369510451835438</v>
      </c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</row>
    <row r="137" spans="1:49" s="41" customFormat="1" x14ac:dyDescent="0.25">
      <c r="A137" s="6">
        <v>134</v>
      </c>
      <c r="B137" s="42">
        <v>8708993300</v>
      </c>
      <c r="C137" s="13" t="s">
        <v>10</v>
      </c>
      <c r="D137" s="38"/>
      <c r="E137" s="10">
        <v>338546.18800000008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>
        <f t="shared" si="29"/>
        <v>338546.18800000008</v>
      </c>
      <c r="R137" s="43">
        <f t="shared" si="24"/>
        <v>1.6623994122614151E-3</v>
      </c>
      <c r="S137" s="40"/>
      <c r="T137" s="10">
        <v>200044.82800000001</v>
      </c>
      <c r="U137" s="10">
        <v>271489.36000000004</v>
      </c>
      <c r="V137" s="16">
        <f t="shared" si="25"/>
        <v>0.24699615484010137</v>
      </c>
      <c r="W137" s="17">
        <f t="shared" si="30"/>
        <v>0.24699615484010137</v>
      </c>
      <c r="X137" s="16">
        <f t="shared" si="26"/>
        <v>0.69235161630872089</v>
      </c>
      <c r="Y137" s="17">
        <f t="shared" si="31"/>
        <v>0.69235161630872089</v>
      </c>
      <c r="Z137" s="38"/>
      <c r="AA137" s="10">
        <v>200044.82800000001</v>
      </c>
      <c r="AB137" s="16">
        <f t="shared" si="27"/>
        <v>0.69235161630872089</v>
      </c>
      <c r="AC137" s="17">
        <f t="shared" si="28"/>
        <v>0.69235161630872089</v>
      </c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</row>
    <row r="138" spans="1:49" s="41" customFormat="1" x14ac:dyDescent="0.25">
      <c r="A138" s="6">
        <v>135</v>
      </c>
      <c r="B138" s="42">
        <v>8708993900</v>
      </c>
      <c r="C138" s="13" t="s">
        <v>10</v>
      </c>
      <c r="D138" s="38"/>
      <c r="E138" s="10">
        <v>972521.9439999999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>
        <f t="shared" si="29"/>
        <v>972521.9439999999</v>
      </c>
      <c r="R138" s="43">
        <f t="shared" si="24"/>
        <v>4.7754781043847644E-3</v>
      </c>
      <c r="S138" s="40"/>
      <c r="T138" s="10">
        <v>1774889.2420000008</v>
      </c>
      <c r="U138" s="10">
        <v>807896.48100000003</v>
      </c>
      <c r="V138" s="16">
        <f t="shared" si="25"/>
        <v>0.20377049148206386</v>
      </c>
      <c r="W138" s="17">
        <f t="shared" si="30"/>
        <v>0.20377049148206386</v>
      </c>
      <c r="X138" s="16">
        <f t="shared" si="26"/>
        <v>-0.45206612278288888</v>
      </c>
      <c r="Y138" s="17">
        <f t="shared" si="31"/>
        <v>-0.45206612278288888</v>
      </c>
      <c r="Z138" s="38"/>
      <c r="AA138" s="10">
        <v>1774889.2420000008</v>
      </c>
      <c r="AB138" s="16">
        <f t="shared" si="27"/>
        <v>-0.45206612278288888</v>
      </c>
      <c r="AC138" s="17">
        <f t="shared" si="28"/>
        <v>-0.45206612278288888</v>
      </c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</row>
    <row r="139" spans="1:49" s="41" customFormat="1" x14ac:dyDescent="0.25">
      <c r="A139" s="6">
        <v>136</v>
      </c>
      <c r="B139" s="42">
        <v>8708995000</v>
      </c>
      <c r="C139" s="13" t="s">
        <v>14</v>
      </c>
      <c r="D139" s="38"/>
      <c r="E139" s="10">
        <v>335824.06500000018</v>
      </c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>
        <f t="shared" si="29"/>
        <v>335824.06500000018</v>
      </c>
      <c r="R139" s="43">
        <f t="shared" si="24"/>
        <v>1.6490326817067554E-3</v>
      </c>
      <c r="S139" s="40"/>
      <c r="T139" s="10">
        <v>28649.828000000005</v>
      </c>
      <c r="U139" s="10">
        <v>44849.677000000003</v>
      </c>
      <c r="V139" s="16">
        <f t="shared" si="25"/>
        <v>6.4877699788116674</v>
      </c>
      <c r="W139" s="17">
        <f t="shared" si="30"/>
        <v>6.4877699788116674</v>
      </c>
      <c r="X139" s="16">
        <f t="shared" si="26"/>
        <v>10.721678224385855</v>
      </c>
      <c r="Y139" s="17">
        <f t="shared" si="31"/>
        <v>10.721678224385855</v>
      </c>
      <c r="Z139" s="38"/>
      <c r="AA139" s="10">
        <v>28649.828000000005</v>
      </c>
      <c r="AB139" s="16">
        <f t="shared" si="27"/>
        <v>10.721678224385855</v>
      </c>
      <c r="AC139" s="17">
        <f t="shared" si="28"/>
        <v>10.721678224385855</v>
      </c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</row>
    <row r="140" spans="1:49" s="41" customFormat="1" x14ac:dyDescent="0.25">
      <c r="A140" s="6">
        <v>137</v>
      </c>
      <c r="B140" s="42">
        <v>8714940000</v>
      </c>
      <c r="C140" s="13" t="s">
        <v>8</v>
      </c>
      <c r="D140" s="38"/>
      <c r="E140" s="10">
        <v>122342.67200000002</v>
      </c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>
        <f t="shared" si="29"/>
        <v>122342.67200000002</v>
      </c>
      <c r="R140" s="43">
        <f t="shared" si="24"/>
        <v>6.0075225548630623E-4</v>
      </c>
      <c r="S140" s="40"/>
      <c r="T140" s="10">
        <v>171450.38400000005</v>
      </c>
      <c r="U140" s="10">
        <v>164215.845</v>
      </c>
      <c r="V140" s="16">
        <f t="shared" si="25"/>
        <v>-0.25498862792442462</v>
      </c>
      <c r="W140" s="17">
        <f t="shared" si="30"/>
        <v>-0.25498862792442462</v>
      </c>
      <c r="X140" s="16">
        <f t="shared" si="26"/>
        <v>-0.28642520858979248</v>
      </c>
      <c r="Y140" s="17">
        <f t="shared" si="31"/>
        <v>-0.28642520858979248</v>
      </c>
      <c r="Z140" s="38"/>
      <c r="AA140" s="10">
        <v>171450.38400000005</v>
      </c>
      <c r="AB140" s="16">
        <f t="shared" si="27"/>
        <v>-0.28642520858979248</v>
      </c>
      <c r="AC140" s="17">
        <f t="shared" si="28"/>
        <v>-0.28642520858979248</v>
      </c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</row>
    <row r="141" spans="1:49" s="41" customFormat="1" x14ac:dyDescent="0.25">
      <c r="A141" s="6">
        <v>138</v>
      </c>
      <c r="B141" s="42">
        <v>9025191200</v>
      </c>
      <c r="C141" s="13" t="s">
        <v>6</v>
      </c>
      <c r="D141" s="38"/>
      <c r="E141" s="10">
        <v>43316.618000000002</v>
      </c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>
        <f t="shared" si="29"/>
        <v>43316.618000000002</v>
      </c>
      <c r="R141" s="43">
        <f t="shared" si="24"/>
        <v>2.1270220388466525E-4</v>
      </c>
      <c r="S141" s="40"/>
      <c r="T141" s="10">
        <v>28887.798000000006</v>
      </c>
      <c r="U141" s="10">
        <v>40935.01</v>
      </c>
      <c r="V141" s="16">
        <f t="shared" si="25"/>
        <v>5.8180222748205022E-2</v>
      </c>
      <c r="W141" s="17">
        <f t="shared" si="30"/>
        <v>5.8180222748205022E-2</v>
      </c>
      <c r="X141" s="16">
        <f t="shared" si="26"/>
        <v>0.49947801490442412</v>
      </c>
      <c r="Y141" s="17">
        <f t="shared" si="31"/>
        <v>0.49947801490442412</v>
      </c>
      <c r="Z141" s="38"/>
      <c r="AA141" s="10">
        <v>28887.798000000006</v>
      </c>
      <c r="AB141" s="16">
        <f t="shared" si="27"/>
        <v>0.49947801490442412</v>
      </c>
      <c r="AC141" s="17">
        <f t="shared" si="28"/>
        <v>0.49947801490442412</v>
      </c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</row>
    <row r="142" spans="1:49" s="41" customFormat="1" x14ac:dyDescent="0.25">
      <c r="A142" s="6">
        <v>139</v>
      </c>
      <c r="B142" s="42">
        <v>9026101100</v>
      </c>
      <c r="C142" s="13" t="s">
        <v>6</v>
      </c>
      <c r="D142" s="38"/>
      <c r="E142" s="10">
        <v>30965.165999999997</v>
      </c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>
        <f t="shared" si="29"/>
        <v>30965.165999999997</v>
      </c>
      <c r="R142" s="43">
        <f t="shared" si="24"/>
        <v>1.5205155332889803E-4</v>
      </c>
      <c r="S142" s="40"/>
      <c r="T142" s="10">
        <v>24477.003000000008</v>
      </c>
      <c r="U142" s="10">
        <v>57438.630000000005</v>
      </c>
      <c r="V142" s="16">
        <f t="shared" si="25"/>
        <v>-0.46089999012859473</v>
      </c>
      <c r="W142" s="17">
        <f t="shared" si="30"/>
        <v>-0.46089999012859473</v>
      </c>
      <c r="X142" s="16">
        <f t="shared" si="26"/>
        <v>0.26507179003900061</v>
      </c>
      <c r="Y142" s="17">
        <f t="shared" si="31"/>
        <v>0.26507179003900061</v>
      </c>
      <c r="Z142" s="38"/>
      <c r="AA142" s="10">
        <v>24477.003000000008</v>
      </c>
      <c r="AB142" s="16">
        <f t="shared" si="27"/>
        <v>0.26507179003900061</v>
      </c>
      <c r="AC142" s="17">
        <f t="shared" si="28"/>
        <v>0.26507179003900061</v>
      </c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</row>
    <row r="143" spans="1:49" s="41" customFormat="1" x14ac:dyDescent="0.25">
      <c r="A143" s="6">
        <v>140</v>
      </c>
      <c r="B143" s="42">
        <v>9029201000</v>
      </c>
      <c r="C143" s="13" t="s">
        <v>6</v>
      </c>
      <c r="D143" s="38"/>
      <c r="E143" s="10">
        <v>46603.862999999998</v>
      </c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>
        <f t="shared" si="29"/>
        <v>46603.862999999998</v>
      </c>
      <c r="R143" s="43">
        <f t="shared" si="24"/>
        <v>2.2884391319837126E-4</v>
      </c>
      <c r="S143" s="40"/>
      <c r="T143" s="10">
        <v>10583.631000000001</v>
      </c>
      <c r="U143" s="10">
        <v>14815.638000000001</v>
      </c>
      <c r="V143" s="16">
        <f t="shared" si="25"/>
        <v>2.1455859680156868</v>
      </c>
      <c r="W143" s="17">
        <f t="shared" si="30"/>
        <v>2.1455859680156868</v>
      </c>
      <c r="X143" s="16">
        <f t="shared" si="26"/>
        <v>3.4033907644739307</v>
      </c>
      <c r="Y143" s="17">
        <f t="shared" si="31"/>
        <v>3.4033907644739307</v>
      </c>
      <c r="Z143" s="38"/>
      <c r="AA143" s="10">
        <v>10583.631000000001</v>
      </c>
      <c r="AB143" s="16">
        <f t="shared" si="27"/>
        <v>3.4033907644739307</v>
      </c>
      <c r="AC143" s="17">
        <f t="shared" si="28"/>
        <v>3.4033907644739307</v>
      </c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</row>
    <row r="144" spans="1:49" s="41" customFormat="1" x14ac:dyDescent="0.25">
      <c r="A144" s="6">
        <v>141</v>
      </c>
      <c r="B144" s="42">
        <v>9029202000</v>
      </c>
      <c r="C144" s="13" t="s">
        <v>6</v>
      </c>
      <c r="D144" s="38"/>
      <c r="E144" s="10">
        <v>65942.845000000016</v>
      </c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>
        <f t="shared" si="29"/>
        <v>65942.845000000016</v>
      </c>
      <c r="R144" s="43">
        <f t="shared" si="24"/>
        <v>3.2380617669470135E-4</v>
      </c>
      <c r="S144" s="40"/>
      <c r="T144" s="10">
        <v>120469.183</v>
      </c>
      <c r="U144" s="10">
        <v>132944.67199999999</v>
      </c>
      <c r="V144" s="16">
        <f t="shared" si="25"/>
        <v>-0.5039827921798925</v>
      </c>
      <c r="W144" s="17">
        <f t="shared" si="30"/>
        <v>-0.5039827921798925</v>
      </c>
      <c r="X144" s="16">
        <f t="shared" si="26"/>
        <v>-0.45261648366952056</v>
      </c>
      <c r="Y144" s="17">
        <f t="shared" si="31"/>
        <v>-0.45261648366952056</v>
      </c>
      <c r="Z144" s="38"/>
      <c r="AA144" s="10">
        <v>120469.183</v>
      </c>
      <c r="AB144" s="16">
        <f t="shared" si="27"/>
        <v>-0.45261648366952056</v>
      </c>
      <c r="AC144" s="17">
        <f t="shared" si="28"/>
        <v>-0.45261648366952056</v>
      </c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</row>
    <row r="145" spans="1:49" s="41" customFormat="1" x14ac:dyDescent="0.25">
      <c r="A145" s="6">
        <v>142</v>
      </c>
      <c r="B145" s="42">
        <v>9029209000</v>
      </c>
      <c r="C145" s="13" t="s">
        <v>6</v>
      </c>
      <c r="D145" s="38"/>
      <c r="E145" s="10">
        <v>193266.25500000003</v>
      </c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>
        <f t="shared" si="29"/>
        <v>193266.25500000003</v>
      </c>
      <c r="R145" s="43">
        <f t="shared" si="24"/>
        <v>9.4901588058042097E-4</v>
      </c>
      <c r="S145" s="40"/>
      <c r="T145" s="10">
        <v>123542.60500000001</v>
      </c>
      <c r="U145" s="10">
        <v>176858.70400000003</v>
      </c>
      <c r="V145" s="16">
        <f t="shared" si="25"/>
        <v>9.2772086580482943E-2</v>
      </c>
      <c r="W145" s="17">
        <f t="shared" si="30"/>
        <v>9.2772086580482943E-2</v>
      </c>
      <c r="X145" s="16">
        <f t="shared" si="26"/>
        <v>0.5643692716371006</v>
      </c>
      <c r="Y145" s="17">
        <f t="shared" si="31"/>
        <v>0.5643692716371006</v>
      </c>
      <c r="Z145" s="38"/>
      <c r="AA145" s="10">
        <v>123542.60500000001</v>
      </c>
      <c r="AB145" s="16">
        <f t="shared" si="27"/>
        <v>0.5643692716371006</v>
      </c>
      <c r="AC145" s="17">
        <f t="shared" si="28"/>
        <v>0.5643692716371006</v>
      </c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</row>
    <row r="146" spans="1:49" s="41" customFormat="1" x14ac:dyDescent="0.25">
      <c r="A146" s="6">
        <v>143</v>
      </c>
      <c r="B146" s="42">
        <v>9029901000</v>
      </c>
      <c r="C146" s="13" t="s">
        <v>6</v>
      </c>
      <c r="D146" s="38"/>
      <c r="E146" s="10">
        <v>195831.76700000005</v>
      </c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>
        <f t="shared" si="29"/>
        <v>195831.76700000005</v>
      </c>
      <c r="R146" s="43">
        <f t="shared" si="24"/>
        <v>9.6161358745801143E-4</v>
      </c>
      <c r="S146" s="40"/>
      <c r="T146" s="10">
        <v>189532.277</v>
      </c>
      <c r="U146" s="10">
        <v>65414.812999999987</v>
      </c>
      <c r="V146" s="16">
        <f t="shared" si="25"/>
        <v>1.9936914594558282</v>
      </c>
      <c r="W146" s="17">
        <f t="shared" si="30"/>
        <v>1.9936914594558282</v>
      </c>
      <c r="X146" s="16">
        <f t="shared" si="26"/>
        <v>3.3237030123370745E-2</v>
      </c>
      <c r="Y146" s="17">
        <f t="shared" si="31"/>
        <v>3.3237030123370745E-2</v>
      </c>
      <c r="Z146" s="38"/>
      <c r="AA146" s="10">
        <v>189532.277</v>
      </c>
      <c r="AB146" s="16">
        <f t="shared" si="27"/>
        <v>3.3237030123370745E-2</v>
      </c>
      <c r="AC146" s="17">
        <f t="shared" si="28"/>
        <v>3.3237030123370745E-2</v>
      </c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</row>
    <row r="147" spans="1:49" s="41" customFormat="1" x14ac:dyDescent="0.25">
      <c r="A147" s="6">
        <v>144</v>
      </c>
      <c r="B147" s="42">
        <v>9031802000</v>
      </c>
      <c r="C147" s="13" t="s">
        <v>6</v>
      </c>
      <c r="D147" s="38"/>
      <c r="E147" s="10">
        <v>69473.921999999991</v>
      </c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>
        <f t="shared" si="29"/>
        <v>69473.921999999991</v>
      </c>
      <c r="R147" s="43">
        <f t="shared" si="24"/>
        <v>3.4114520025342994E-4</v>
      </c>
      <c r="S147" s="40"/>
      <c r="T147" s="10">
        <v>92378.650000000023</v>
      </c>
      <c r="U147" s="10">
        <v>178158.44700000001</v>
      </c>
      <c r="V147" s="16">
        <f t="shared" si="25"/>
        <v>-0.6100441872396879</v>
      </c>
      <c r="W147" s="17">
        <f t="shared" si="30"/>
        <v>-0.6100441872396879</v>
      </c>
      <c r="X147" s="16">
        <f t="shared" si="26"/>
        <v>-0.2479439567475821</v>
      </c>
      <c r="Y147" s="17">
        <f t="shared" si="31"/>
        <v>-0.2479439567475821</v>
      </c>
      <c r="Z147" s="38"/>
      <c r="AA147" s="10">
        <v>92378.650000000023</v>
      </c>
      <c r="AB147" s="16">
        <f t="shared" si="27"/>
        <v>-0.2479439567475821</v>
      </c>
      <c r="AC147" s="17">
        <f t="shared" si="28"/>
        <v>-0.2479439567475821</v>
      </c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</row>
    <row r="148" spans="1:49" s="41" customFormat="1" x14ac:dyDescent="0.25">
      <c r="A148" s="6">
        <v>145</v>
      </c>
      <c r="B148" s="42">
        <v>9032891100</v>
      </c>
      <c r="C148" s="13" t="s">
        <v>6</v>
      </c>
      <c r="D148" s="38"/>
      <c r="E148" s="10">
        <v>350834.60600000003</v>
      </c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>
        <f t="shared" ref="Q148" si="32">SUM(E148:P148)</f>
        <v>350834.60600000003</v>
      </c>
      <c r="R148" s="43">
        <f t="shared" si="24"/>
        <v>1.7227405402519701E-3</v>
      </c>
      <c r="S148" s="40"/>
      <c r="T148" s="10">
        <v>258922.88499999995</v>
      </c>
      <c r="U148" s="10">
        <v>202365.93000000005</v>
      </c>
      <c r="V148" s="16">
        <f t="shared" ref="V148" si="33">+W148</f>
        <v>0.73366438708333925</v>
      </c>
      <c r="W148" s="17">
        <f t="shared" si="30"/>
        <v>0.73366438708333925</v>
      </c>
      <c r="X148" s="16">
        <f t="shared" ref="X148" si="34">+Y148</f>
        <v>0.35497720103033803</v>
      </c>
      <c r="Y148" s="17">
        <f t="shared" si="31"/>
        <v>0.35497720103033803</v>
      </c>
      <c r="Z148" s="38"/>
      <c r="AA148" s="10">
        <v>258922.88499999995</v>
      </c>
      <c r="AB148" s="16">
        <f t="shared" ref="AB148" si="35">+AC148</f>
        <v>0.35497720103033803</v>
      </c>
      <c r="AC148" s="17">
        <f t="shared" ref="AC148" si="36">IFERROR((Q148-AA148)/AA148,0)</f>
        <v>0.35497720103033803</v>
      </c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</row>
    <row r="149" spans="1:49" s="41" customFormat="1" x14ac:dyDescent="0.25">
      <c r="A149" s="6">
        <v>146</v>
      </c>
      <c r="B149" s="42">
        <v>9104001000</v>
      </c>
      <c r="C149" s="13" t="s">
        <v>6</v>
      </c>
      <c r="D149" s="38"/>
      <c r="E149" s="10">
        <v>2857.1080000000002</v>
      </c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>
        <f t="shared" si="29"/>
        <v>2857.1080000000002</v>
      </c>
      <c r="R149" s="43">
        <f t="shared" si="24"/>
        <v>1.4029561780111924E-5</v>
      </c>
      <c r="S149" s="40"/>
      <c r="T149" s="10">
        <v>8300.8040000000001</v>
      </c>
      <c r="U149" s="10">
        <v>6807.5690000000004</v>
      </c>
      <c r="V149" s="16">
        <f t="shared" si="25"/>
        <v>-0.58030421726169801</v>
      </c>
      <c r="W149" s="17">
        <f t="shared" si="30"/>
        <v>-0.58030421726169801</v>
      </c>
      <c r="X149" s="16">
        <f t="shared" si="26"/>
        <v>-0.65580346192971184</v>
      </c>
      <c r="Y149" s="17">
        <f t="shared" si="31"/>
        <v>-0.65580346192971184</v>
      </c>
      <c r="Z149" s="38"/>
      <c r="AA149" s="10">
        <v>8300.8040000000001</v>
      </c>
      <c r="AB149" s="16">
        <f t="shared" si="27"/>
        <v>-0.65580346192971184</v>
      </c>
      <c r="AC149" s="17">
        <f t="shared" si="28"/>
        <v>-0.65580346192971184</v>
      </c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</row>
    <row r="150" spans="1:49" s="41" customFormat="1" x14ac:dyDescent="0.25">
      <c r="A150" s="6">
        <v>147</v>
      </c>
      <c r="B150" s="42">
        <v>9401200000</v>
      </c>
      <c r="C150" s="13" t="s">
        <v>6</v>
      </c>
      <c r="D150" s="38"/>
      <c r="E150" s="10">
        <v>133131.59700000007</v>
      </c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>
        <f t="shared" si="29"/>
        <v>133131.59700000007</v>
      </c>
      <c r="R150" s="43">
        <f t="shared" si="24"/>
        <v>6.5373026325797417E-4</v>
      </c>
      <c r="S150" s="40"/>
      <c r="T150" s="10">
        <v>151257.35999999999</v>
      </c>
      <c r="U150" s="10">
        <v>267313.99</v>
      </c>
      <c r="V150" s="16">
        <f t="shared" si="25"/>
        <v>-0.50196547139190106</v>
      </c>
      <c r="W150" s="17">
        <f t="shared" si="30"/>
        <v>-0.50196547139190106</v>
      </c>
      <c r="X150" s="16">
        <f t="shared" si="26"/>
        <v>-0.11983392411450207</v>
      </c>
      <c r="Y150" s="17">
        <f t="shared" si="31"/>
        <v>-0.11983392411450207</v>
      </c>
      <c r="Z150" s="38"/>
      <c r="AA150" s="10">
        <v>151257.35999999999</v>
      </c>
      <c r="AB150" s="16">
        <f t="shared" si="27"/>
        <v>-0.11983392411450207</v>
      </c>
      <c r="AC150" s="17">
        <f t="shared" si="28"/>
        <v>-0.11983392411450207</v>
      </c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</row>
    <row r="151" spans="1:49" x14ac:dyDescent="0.25">
      <c r="A151" s="44"/>
      <c r="B151" s="45"/>
      <c r="C151" s="46" t="s">
        <v>19</v>
      </c>
      <c r="D151" s="29"/>
      <c r="E151" s="47">
        <f t="shared" ref="E151:R151" si="37">SUM(E4:E150)</f>
        <v>203649126.37899992</v>
      </c>
      <c r="F151" s="48">
        <f t="shared" si="37"/>
        <v>0</v>
      </c>
      <c r="G151" s="48">
        <f t="shared" si="37"/>
        <v>0</v>
      </c>
      <c r="H151" s="48">
        <f t="shared" si="37"/>
        <v>0</v>
      </c>
      <c r="I151" s="48">
        <f t="shared" si="37"/>
        <v>0</v>
      </c>
      <c r="J151" s="48">
        <f t="shared" si="37"/>
        <v>0</v>
      </c>
      <c r="K151" s="48">
        <f t="shared" si="37"/>
        <v>0</v>
      </c>
      <c r="L151" s="48">
        <f t="shared" si="37"/>
        <v>0</v>
      </c>
      <c r="M151" s="48">
        <f t="shared" si="37"/>
        <v>0</v>
      </c>
      <c r="N151" s="48">
        <f t="shared" si="37"/>
        <v>0</v>
      </c>
      <c r="O151" s="48">
        <f t="shared" si="37"/>
        <v>0</v>
      </c>
      <c r="P151" s="48">
        <f t="shared" si="37"/>
        <v>0</v>
      </c>
      <c r="Q151" s="49">
        <f t="shared" si="37"/>
        <v>203649126.37899992</v>
      </c>
      <c r="R151" s="50">
        <f t="shared" si="37"/>
        <v>1.0000000000000004</v>
      </c>
      <c r="S151" s="29"/>
      <c r="T151" s="47">
        <f>SUM(T4:T150)</f>
        <v>177983522.82300007</v>
      </c>
      <c r="U151" s="47">
        <f>SUM(U4:U150)</f>
        <v>220135269.52099985</v>
      </c>
      <c r="V151" s="20">
        <f t="shared" si="25"/>
        <v>-7.489096671275218E-2</v>
      </c>
      <c r="W151" s="21">
        <f t="shared" si="30"/>
        <v>-7.489096671275218E-2</v>
      </c>
      <c r="X151" s="20">
        <f t="shared" ref="X151" si="38">+Y151</f>
        <v>0.14420213258461914</v>
      </c>
      <c r="Y151" s="21">
        <f t="shared" si="31"/>
        <v>0.14420213258461914</v>
      </c>
      <c r="Z151" s="29"/>
      <c r="AA151" s="51">
        <f>SUM(AA4:AA150)</f>
        <v>177983522.82300007</v>
      </c>
      <c r="AB151" s="20">
        <f t="shared" ref="AB151" si="39">+AC151</f>
        <v>0.14420213258461914</v>
      </c>
      <c r="AC151" s="21">
        <f>IFERROR((Q151-AA151)/AA151,0)</f>
        <v>0.14420213258461914</v>
      </c>
    </row>
    <row r="152" spans="1:49" x14ac:dyDescent="0.25">
      <c r="A152" s="26"/>
      <c r="B152" s="7" t="s">
        <v>24</v>
      </c>
      <c r="C152" s="3"/>
      <c r="D152" s="52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S152" s="52"/>
      <c r="T152" s="53"/>
      <c r="U152" s="53"/>
      <c r="V152" s="53"/>
      <c r="W152" s="53"/>
      <c r="X152" s="53"/>
      <c r="Y152" s="53"/>
      <c r="Z152" s="52"/>
    </row>
    <row r="153" spans="1:49" x14ac:dyDescent="0.25">
      <c r="B153" s="7" t="s">
        <v>15</v>
      </c>
      <c r="D153" s="52"/>
      <c r="Q153" s="26"/>
      <c r="S153" s="52"/>
      <c r="W153" s="95"/>
      <c r="Z153" s="52"/>
    </row>
    <row r="154" spans="1:49" s="22" customFormat="1" x14ac:dyDescent="0.25">
      <c r="A154" s="41"/>
      <c r="B154" s="41"/>
      <c r="D154" s="54"/>
      <c r="E154" s="26"/>
      <c r="F154" s="26"/>
      <c r="G154" s="26"/>
      <c r="H154" s="26"/>
      <c r="I154" s="26"/>
      <c r="J154" s="26"/>
      <c r="K154" s="94"/>
      <c r="L154" s="94"/>
      <c r="M154" s="26"/>
      <c r="N154" s="26"/>
      <c r="O154" s="26"/>
      <c r="P154" s="26"/>
      <c r="Q154" s="26"/>
      <c r="R154" s="53"/>
      <c r="S154" s="54"/>
      <c r="T154" s="26"/>
      <c r="U154" s="26"/>
      <c r="V154" s="26"/>
      <c r="W154" s="26"/>
      <c r="X154" s="26"/>
      <c r="Y154" s="26"/>
      <c r="Z154" s="54"/>
      <c r="AA154" s="26"/>
      <c r="AB154" s="26"/>
      <c r="AC154" s="26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</row>
    <row r="155" spans="1:49" s="22" customFormat="1" x14ac:dyDescent="0.25">
      <c r="A155" s="41"/>
      <c r="B155" s="41"/>
      <c r="D155" s="54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53"/>
      <c r="R155" s="53"/>
      <c r="S155" s="54"/>
      <c r="T155" s="26"/>
      <c r="U155" s="26"/>
      <c r="V155" s="26"/>
      <c r="W155" s="26"/>
      <c r="X155" s="26"/>
      <c r="Y155" s="26"/>
      <c r="Z155" s="54"/>
      <c r="AA155" s="26"/>
      <c r="AB155" s="26"/>
      <c r="AC155" s="26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</row>
    <row r="156" spans="1:49" x14ac:dyDescent="0.25"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</row>
  </sheetData>
  <sortState xmlns:xlrd2="http://schemas.microsoft.com/office/spreadsheetml/2017/richdata2" ref="B4:AV150">
    <sortCondition descending="1" ref="Q4:Q150"/>
  </sortState>
  <dataConsolidate>
    <dataRefs count="1">
      <dataRef name="$D$9:$D$161,$F$9:$K$161" r:id="rId1"/>
    </dataRefs>
  </dataConsolidate>
  <mergeCells count="3">
    <mergeCell ref="X2:Y2"/>
    <mergeCell ref="AB2:AC2"/>
    <mergeCell ref="V2:W2"/>
  </mergeCells>
  <conditionalFormatting sqref="B4:B150">
    <cfRule type="duplicateValues" dxfId="18" priority="62"/>
  </conditionalFormatting>
  <conditionalFormatting sqref="W4:W151 Y4:Y151 AC4:AC151">
    <cfRule type="cellIs" dxfId="17" priority="1" operator="lessThan">
      <formula>0%</formula>
    </cfRule>
    <cfRule type="cellIs" dxfId="16" priority="2" operator="greaterThanOrEqual">
      <formula>1%</formula>
    </cfRule>
  </conditionalFormatting>
  <pageMargins left="0.97" right="0.7" top="0.75" bottom="0.75" header="0.3" footer="0.3"/>
  <pageSetup paperSize="9" scale="53" orientation="landscape" verticalDpi="300" r:id="rId2"/>
  <rowBreaks count="3" manualBreakCount="3">
    <brk id="109" max="10" man="1"/>
    <brk id="139" max="10" man="1"/>
    <brk id="153" max="16383" man="1"/>
  </rowBreaks>
  <ignoredErrors>
    <ignoredError sqref="I151:N151 F151:G151 H151 U151" formulaRange="1"/>
    <ignoredError sqref="W4 W5:W150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3" id="{4185FC00-E765-4B5F-859B-DDB86965DDC8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V4:V150</xm:sqref>
        </x14:conditionalFormatting>
        <x14:conditionalFormatting xmlns:xm="http://schemas.microsoft.com/office/excel/2006/main">
          <x14:cfRule type="iconSet" priority="3" id="{5F412593-C693-4AFE-A7BA-803BC1A5A20F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V151</xm:sqref>
        </x14:conditionalFormatting>
        <x14:conditionalFormatting xmlns:xm="http://schemas.microsoft.com/office/excel/2006/main">
          <x14:cfRule type="iconSet" priority="68" id="{D9508601-F2BE-4A1A-BE2A-6147F5F65492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X4:X150</xm:sqref>
        </x14:conditionalFormatting>
        <x14:conditionalFormatting xmlns:xm="http://schemas.microsoft.com/office/excel/2006/main">
          <x14:cfRule type="iconSet" priority="42" id="{CAB84E4C-9537-473E-982E-118A5853756E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X151</xm:sqref>
        </x14:conditionalFormatting>
        <x14:conditionalFormatting xmlns:xm="http://schemas.microsoft.com/office/excel/2006/main">
          <x14:cfRule type="iconSet" priority="73" id="{B0DC66A4-40A0-4299-AE5B-C7EF5C56321A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AB4:AB150</xm:sqref>
        </x14:conditionalFormatting>
        <x14:conditionalFormatting xmlns:xm="http://schemas.microsoft.com/office/excel/2006/main">
          <x14:cfRule type="iconSet" priority="37" id="{E352DF02-4DD5-484B-B398-70849A7DECB1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AB151</xm:sqref>
        </x14:conditionalFormatting>
        <x14:conditionalFormatting xmlns:xm="http://schemas.microsoft.com/office/excel/2006/main">
          <x14:cfRule type="iconSet" priority="7" id="{DC70FCED-9200-46BF-A335-59A4FA7D1D85}">
            <x14:iconSet iconSet="3Arrow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AE7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F6FE-20B9-44E4-B952-C4EBCC400F5E}">
  <dimension ref="B1:I22"/>
  <sheetViews>
    <sheetView showGridLines="0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" sqref="B2"/>
    </sheetView>
  </sheetViews>
  <sheetFormatPr baseColWidth="10" defaultRowHeight="15" x14ac:dyDescent="0.25"/>
  <cols>
    <col min="1" max="1" width="3" customWidth="1"/>
    <col min="2" max="2" width="20.5703125" customWidth="1"/>
    <col min="3" max="3" width="13.7109375" customWidth="1"/>
    <col min="4" max="5" width="13.42578125" customWidth="1"/>
    <col min="6" max="6" width="1.140625" customWidth="1"/>
    <col min="7" max="7" width="14.28515625" customWidth="1"/>
  </cols>
  <sheetData>
    <row r="1" spans="2:9" ht="30.75" customHeight="1" x14ac:dyDescent="0.25">
      <c r="B1" s="121" t="s">
        <v>141</v>
      </c>
    </row>
    <row r="2" spans="2:9" x14ac:dyDescent="0.25">
      <c r="B2" s="102"/>
      <c r="C2" s="109" t="s">
        <v>30</v>
      </c>
      <c r="D2" s="103"/>
      <c r="E2" s="102"/>
      <c r="F2" s="110"/>
      <c r="G2" s="103" t="s">
        <v>31</v>
      </c>
      <c r="H2" s="103"/>
      <c r="I2" s="102"/>
    </row>
    <row r="3" spans="2:9" x14ac:dyDescent="0.25">
      <c r="B3" s="104" t="s">
        <v>25</v>
      </c>
      <c r="C3" s="105">
        <v>2024</v>
      </c>
      <c r="D3" s="105">
        <v>2025</v>
      </c>
      <c r="E3" s="105" t="s">
        <v>33</v>
      </c>
      <c r="F3" s="111"/>
      <c r="G3" s="105">
        <v>2024</v>
      </c>
      <c r="H3" s="105">
        <v>2025</v>
      </c>
      <c r="I3" s="105" t="s">
        <v>33</v>
      </c>
    </row>
    <row r="4" spans="2:9" x14ac:dyDescent="0.25">
      <c r="B4" s="99" t="s">
        <v>27</v>
      </c>
      <c r="C4" s="100">
        <v>41835579.712000035</v>
      </c>
      <c r="D4" s="100">
        <v>52094604.970999941</v>
      </c>
      <c r="E4" s="119">
        <f>(D4/C4)-1</f>
        <v>0.24522249553188891</v>
      </c>
      <c r="F4" s="112"/>
      <c r="G4" s="100">
        <v>160</v>
      </c>
      <c r="H4" s="100">
        <v>60</v>
      </c>
      <c r="I4" s="119">
        <f>IFERROR((H4/G4)-1,"-")</f>
        <v>-0.625</v>
      </c>
    </row>
    <row r="5" spans="2:9" x14ac:dyDescent="0.25">
      <c r="B5" s="99" t="s">
        <v>4</v>
      </c>
      <c r="C5" s="100">
        <v>30277884.295000035</v>
      </c>
      <c r="D5" s="100">
        <v>32783061.350999963</v>
      </c>
      <c r="E5" s="119">
        <f t="shared" ref="E5:E22" si="0">(D5/C5)-1</f>
        <v>8.2739501597660192E-2</v>
      </c>
      <c r="F5" s="112"/>
      <c r="G5" s="100">
        <v>2683500.2420000001</v>
      </c>
      <c r="H5" s="100">
        <v>1671792.8660000002</v>
      </c>
      <c r="I5" s="119">
        <f t="shared" ref="I5:I21" si="1">IFERROR((H5/G5)-1,"-")</f>
        <v>-0.37701035392714521</v>
      </c>
    </row>
    <row r="6" spans="2:9" x14ac:dyDescent="0.25">
      <c r="B6" s="99" t="s">
        <v>16</v>
      </c>
      <c r="C6" s="100">
        <v>30008898.422000013</v>
      </c>
      <c r="D6" s="100">
        <v>27943760.794000018</v>
      </c>
      <c r="E6" s="119">
        <f t="shared" si="0"/>
        <v>-6.8817508692222029E-2</v>
      </c>
      <c r="F6" s="112"/>
      <c r="G6" s="100">
        <v>0</v>
      </c>
      <c r="H6" s="100">
        <v>0</v>
      </c>
      <c r="I6" s="119" t="str">
        <f t="shared" si="1"/>
        <v>-</v>
      </c>
    </row>
    <row r="7" spans="2:9" x14ac:dyDescent="0.25">
      <c r="B7" s="99" t="s">
        <v>17</v>
      </c>
      <c r="C7" s="100">
        <v>15681339.013000006</v>
      </c>
      <c r="D7" s="100">
        <v>19306623.91300001</v>
      </c>
      <c r="E7" s="119">
        <f t="shared" si="0"/>
        <v>0.23118465183327785</v>
      </c>
      <c r="F7" s="112"/>
      <c r="G7" s="100">
        <v>411047.337</v>
      </c>
      <c r="H7" s="100">
        <v>170588.24099999998</v>
      </c>
      <c r="I7" s="119">
        <f t="shared" si="1"/>
        <v>-0.58499125126311191</v>
      </c>
    </row>
    <row r="8" spans="2:9" x14ac:dyDescent="0.25">
      <c r="B8" s="99" t="s">
        <v>26</v>
      </c>
      <c r="C8" s="100">
        <v>9329506.5599999931</v>
      </c>
      <c r="D8" s="100">
        <v>13669003.880000012</v>
      </c>
      <c r="E8" s="119">
        <f t="shared" si="0"/>
        <v>0.46513685285409379</v>
      </c>
      <c r="F8" s="112"/>
      <c r="G8" s="100">
        <v>0</v>
      </c>
      <c r="H8" s="100">
        <v>0</v>
      </c>
      <c r="I8" s="119" t="str">
        <f t="shared" si="1"/>
        <v>-</v>
      </c>
    </row>
    <row r="9" spans="2:9" x14ac:dyDescent="0.25">
      <c r="B9" s="99" t="s">
        <v>9</v>
      </c>
      <c r="C9" s="100">
        <v>7858502.2890000073</v>
      </c>
      <c r="D9" s="100">
        <v>8974995.9989999831</v>
      </c>
      <c r="E9" s="119">
        <f t="shared" si="0"/>
        <v>0.1420746179030572</v>
      </c>
      <c r="F9" s="112"/>
      <c r="G9" s="100">
        <v>36084.123</v>
      </c>
      <c r="H9" s="100">
        <v>88250.7</v>
      </c>
      <c r="I9" s="119">
        <f t="shared" si="1"/>
        <v>1.4456933593758117</v>
      </c>
    </row>
    <row r="10" spans="2:9" x14ac:dyDescent="0.25">
      <c r="B10" s="99" t="s">
        <v>5</v>
      </c>
      <c r="C10" s="100">
        <v>7587025.8149999967</v>
      </c>
      <c r="D10" s="100">
        <v>8463665.4840000011</v>
      </c>
      <c r="E10" s="119">
        <f t="shared" si="0"/>
        <v>0.11554457443216237</v>
      </c>
      <c r="F10" s="112"/>
      <c r="G10" s="100">
        <v>74940.024000000005</v>
      </c>
      <c r="H10" s="100">
        <v>77750.60100000001</v>
      </c>
      <c r="I10" s="119">
        <f t="shared" si="1"/>
        <v>3.7504351479791476E-2</v>
      </c>
    </row>
    <row r="11" spans="2:9" x14ac:dyDescent="0.25">
      <c r="B11" s="99" t="s">
        <v>14</v>
      </c>
      <c r="C11" s="100">
        <v>6564462.016999987</v>
      </c>
      <c r="D11" s="100">
        <v>6935801.9279999929</v>
      </c>
      <c r="E11" s="119">
        <f t="shared" si="0"/>
        <v>5.6568216868091659E-2</v>
      </c>
      <c r="F11" s="112"/>
      <c r="G11" s="100">
        <v>6136.5</v>
      </c>
      <c r="H11" s="100">
        <v>32011.736000000004</v>
      </c>
      <c r="I11" s="119">
        <f t="shared" si="1"/>
        <v>4.2166114234498497</v>
      </c>
    </row>
    <row r="12" spans="2:9" x14ac:dyDescent="0.25">
      <c r="B12" s="99" t="s">
        <v>8</v>
      </c>
      <c r="C12" s="100">
        <v>3904736.995999997</v>
      </c>
      <c r="D12" s="100">
        <v>6037994.6719999928</v>
      </c>
      <c r="E12" s="119">
        <f t="shared" si="0"/>
        <v>0.54632557280690097</v>
      </c>
      <c r="F12" s="112"/>
      <c r="G12" s="100">
        <v>1142</v>
      </c>
      <c r="H12" s="100">
        <v>2563.5</v>
      </c>
      <c r="I12" s="119">
        <f t="shared" si="1"/>
        <v>1.2447460595446587</v>
      </c>
    </row>
    <row r="13" spans="2:9" x14ac:dyDescent="0.25">
      <c r="B13" s="99" t="s">
        <v>7</v>
      </c>
      <c r="C13" s="100">
        <v>4925436.5639999984</v>
      </c>
      <c r="D13" s="100">
        <v>4564700.9070000015</v>
      </c>
      <c r="E13" s="119">
        <f t="shared" si="0"/>
        <v>-7.3239326567844265E-2</v>
      </c>
      <c r="F13" s="112"/>
      <c r="G13" s="100">
        <v>0</v>
      </c>
      <c r="H13" s="100">
        <v>0</v>
      </c>
      <c r="I13" s="119" t="str">
        <f t="shared" si="1"/>
        <v>-</v>
      </c>
    </row>
    <row r="14" spans="2:9" x14ac:dyDescent="0.25">
      <c r="B14" s="99" t="s">
        <v>3</v>
      </c>
      <c r="C14" s="100">
        <v>4308755.098000004</v>
      </c>
      <c r="D14" s="100">
        <v>4388990.8779999986</v>
      </c>
      <c r="E14" s="119">
        <f t="shared" si="0"/>
        <v>1.8621568916097786E-2</v>
      </c>
      <c r="F14" s="112"/>
      <c r="G14" s="100">
        <v>473</v>
      </c>
      <c r="H14" s="100">
        <v>7910.5</v>
      </c>
      <c r="I14" s="119">
        <f t="shared" si="1"/>
        <v>15.724101479915433</v>
      </c>
    </row>
    <row r="15" spans="2:9" x14ac:dyDescent="0.25">
      <c r="B15" s="99" t="s">
        <v>6</v>
      </c>
      <c r="C15" s="100">
        <v>2129792.1220000009</v>
      </c>
      <c r="D15" s="100">
        <v>4247545.2380000008</v>
      </c>
      <c r="E15" s="119">
        <f t="shared" si="0"/>
        <v>0.9943473328332646</v>
      </c>
      <c r="F15" s="112"/>
      <c r="G15" s="100">
        <v>553.86</v>
      </c>
      <c r="H15" s="100">
        <v>8815.9860000000008</v>
      </c>
      <c r="I15" s="119">
        <f t="shared" si="1"/>
        <v>14.917354566135847</v>
      </c>
    </row>
    <row r="16" spans="2:9" x14ac:dyDescent="0.25">
      <c r="B16" s="99" t="s">
        <v>2</v>
      </c>
      <c r="C16" s="100">
        <v>2630559.7910000011</v>
      </c>
      <c r="D16" s="100">
        <v>2958053.0000000005</v>
      </c>
      <c r="E16" s="119">
        <f t="shared" si="0"/>
        <v>0.12449563401693431</v>
      </c>
      <c r="F16" s="112"/>
      <c r="G16" s="100">
        <v>40.5</v>
      </c>
      <c r="H16" s="100">
        <v>638.98900000000003</v>
      </c>
      <c r="I16" s="119">
        <f t="shared" si="1"/>
        <v>14.777506172839507</v>
      </c>
    </row>
    <row r="17" spans="2:9" x14ac:dyDescent="0.25">
      <c r="B17" s="99" t="s">
        <v>0</v>
      </c>
      <c r="C17" s="100">
        <v>2028251.9419999998</v>
      </c>
      <c r="D17" s="100">
        <v>2939489.9809999987</v>
      </c>
      <c r="E17" s="119">
        <f t="shared" si="0"/>
        <v>0.44927260767291743</v>
      </c>
      <c r="F17" s="112"/>
      <c r="G17" s="100">
        <v>200</v>
      </c>
      <c r="H17" s="100">
        <v>609</v>
      </c>
      <c r="I17" s="119">
        <f t="shared" si="1"/>
        <v>2.0449999999999999</v>
      </c>
    </row>
    <row r="18" spans="2:9" x14ac:dyDescent="0.25">
      <c r="B18" s="99" t="s">
        <v>10</v>
      </c>
      <c r="C18" s="100">
        <v>2594088.6159999995</v>
      </c>
      <c r="D18" s="100">
        <v>1960278.237</v>
      </c>
      <c r="E18" s="119">
        <f t="shared" si="0"/>
        <v>-0.24432873074988259</v>
      </c>
      <c r="F18" s="112"/>
      <c r="G18" s="100">
        <v>22976.846000000001</v>
      </c>
      <c r="H18" s="100">
        <v>137771.69099999999</v>
      </c>
      <c r="I18" s="119">
        <f t="shared" si="1"/>
        <v>4.9961097793839935</v>
      </c>
    </row>
    <row r="19" spans="2:9" x14ac:dyDescent="0.25">
      <c r="B19" s="99" t="s">
        <v>11</v>
      </c>
      <c r="C19" s="100">
        <v>1390814.5240000004</v>
      </c>
      <c r="D19" s="100">
        <v>1596449.0160000001</v>
      </c>
      <c r="E19" s="119">
        <f t="shared" si="0"/>
        <v>0.14785184397455975</v>
      </c>
      <c r="F19" s="112"/>
      <c r="G19" s="100">
        <v>1961</v>
      </c>
      <c r="H19" s="100">
        <v>5558</v>
      </c>
      <c r="I19" s="119">
        <f t="shared" si="1"/>
        <v>1.8342682304946454</v>
      </c>
    </row>
    <row r="20" spans="2:9" x14ac:dyDescent="0.25">
      <c r="B20" s="99" t="s">
        <v>13</v>
      </c>
      <c r="C20" s="100">
        <v>859062.64200000011</v>
      </c>
      <c r="D20" s="100">
        <v>1469617.99</v>
      </c>
      <c r="E20" s="119">
        <f t="shared" si="0"/>
        <v>0.7107227321380829</v>
      </c>
      <c r="F20" s="112"/>
      <c r="G20" s="100">
        <v>3881.2</v>
      </c>
      <c r="H20" s="100">
        <v>106960.399</v>
      </c>
      <c r="I20" s="119">
        <f t="shared" si="1"/>
        <v>26.558589869112648</v>
      </c>
    </row>
    <row r="21" spans="2:9" x14ac:dyDescent="0.25">
      <c r="B21" s="99" t="s">
        <v>12</v>
      </c>
      <c r="C21" s="100">
        <v>825716.77300000004</v>
      </c>
      <c r="D21" s="100">
        <v>1003070.9310000002</v>
      </c>
      <c r="E21" s="119">
        <f t="shared" si="0"/>
        <v>0.21478812566158223</v>
      </c>
      <c r="F21" s="112"/>
      <c r="G21" s="100">
        <v>13</v>
      </c>
      <c r="H21" s="100">
        <v>135</v>
      </c>
      <c r="I21" s="119">
        <f t="shared" si="1"/>
        <v>9.384615384615385</v>
      </c>
    </row>
    <row r="22" spans="2:9" x14ac:dyDescent="0.25">
      <c r="B22" s="106" t="s">
        <v>32</v>
      </c>
      <c r="C22" s="107">
        <f>SUM(C4:C21)</f>
        <v>174740413.19100007</v>
      </c>
      <c r="D22" s="107">
        <f>SUM(D4:D21)</f>
        <v>201337709.16999993</v>
      </c>
      <c r="E22" s="108">
        <f t="shared" si="0"/>
        <v>0.15221033013083063</v>
      </c>
      <c r="F22" s="113"/>
      <c r="G22" s="107">
        <f>SUM(G4:G21)</f>
        <v>3243109.6320000002</v>
      </c>
      <c r="H22" s="107">
        <f>SUM(H4:H21)</f>
        <v>2311417.2090000003</v>
      </c>
      <c r="I22" s="108">
        <f t="shared" ref="I5:I22" si="2">(H22/G22)-1</f>
        <v>-0.28728366559271468</v>
      </c>
    </row>
  </sheetData>
  <conditionalFormatting sqref="E4:E21">
    <cfRule type="cellIs" dxfId="15" priority="3" operator="lessThan">
      <formula>0%</formula>
    </cfRule>
    <cfRule type="cellIs" dxfId="14" priority="4" operator="greaterThanOrEqual">
      <formula>1%</formula>
    </cfRule>
  </conditionalFormatting>
  <conditionalFormatting sqref="I4:I21">
    <cfRule type="cellIs" dxfId="13" priority="1" operator="lessThan">
      <formula>0%</formula>
    </cfRule>
    <cfRule type="cellIs" dxfId="12" priority="2" operator="greaterThanOrEqual">
      <formula>1%</formula>
    </cfRule>
  </conditionalFormatting>
  <pageMargins left="0.7" right="0.7" top="0.75" bottom="0.75" header="0.3" footer="0.3"/>
  <ignoredErrors>
    <ignoredError sqref="C22:D2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D889-2CD4-49B4-963D-7116992B8DF0}">
  <dimension ref="A1:F54"/>
  <sheetViews>
    <sheetView showGridLines="0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54" sqref="F54"/>
    </sheetView>
  </sheetViews>
  <sheetFormatPr baseColWidth="10" defaultRowHeight="15" x14ac:dyDescent="0.25"/>
  <cols>
    <col min="1" max="1" width="5.42578125" customWidth="1"/>
    <col min="2" max="2" width="26" customWidth="1"/>
    <col min="3" max="3" width="19.85546875" customWidth="1"/>
    <col min="4" max="6" width="14.7109375" customWidth="1"/>
  </cols>
  <sheetData>
    <row r="1" spans="1:6" ht="29.25" customHeight="1" x14ac:dyDescent="0.25">
      <c r="B1" s="121" t="s">
        <v>131</v>
      </c>
    </row>
    <row r="2" spans="1:6" ht="25.5" customHeight="1" x14ac:dyDescent="0.25">
      <c r="B2" s="122" t="s">
        <v>78</v>
      </c>
      <c r="C2" s="123">
        <v>2024</v>
      </c>
      <c r="D2" s="123">
        <v>2025</v>
      </c>
      <c r="E2" s="123" t="s">
        <v>80</v>
      </c>
      <c r="F2" s="123" t="s">
        <v>81</v>
      </c>
    </row>
    <row r="3" spans="1:6" x14ac:dyDescent="0.25">
      <c r="A3" s="118">
        <v>1</v>
      </c>
      <c r="B3" s="99" t="s">
        <v>35</v>
      </c>
      <c r="C3" s="100">
        <v>43760047.642000116</v>
      </c>
      <c r="D3" s="100">
        <v>61462004.895000041</v>
      </c>
      <c r="E3" s="101">
        <f>D3/$D$54</f>
        <v>0.30180343018322858</v>
      </c>
      <c r="F3" s="119">
        <f>(D3/C3)-1</f>
        <v>0.40452326281313056</v>
      </c>
    </row>
    <row r="4" spans="1:6" x14ac:dyDescent="0.25">
      <c r="A4" s="118">
        <v>2</v>
      </c>
      <c r="B4" s="99" t="s">
        <v>34</v>
      </c>
      <c r="C4" s="100">
        <v>49927607.875999987</v>
      </c>
      <c r="D4" s="100">
        <v>45374208.173000008</v>
      </c>
      <c r="E4" s="101">
        <f t="shared" ref="E4:E53" si="0">D4/$D$54</f>
        <v>0.22280580810622577</v>
      </c>
      <c r="F4" s="119">
        <f t="shared" ref="F4:F54" si="1">(D4/C4)-1</f>
        <v>-9.1200037348249996E-2</v>
      </c>
    </row>
    <row r="5" spans="1:6" x14ac:dyDescent="0.25">
      <c r="A5" s="118">
        <v>3</v>
      </c>
      <c r="B5" s="99" t="s">
        <v>36</v>
      </c>
      <c r="C5" s="100">
        <v>14694147.058000037</v>
      </c>
      <c r="D5" s="100">
        <v>15909870.723000025</v>
      </c>
      <c r="E5" s="101">
        <f t="shared" si="0"/>
        <v>7.8123933089656622E-2</v>
      </c>
      <c r="F5" s="119">
        <f t="shared" si="1"/>
        <v>8.27352319397201E-2</v>
      </c>
    </row>
    <row r="6" spans="1:6" x14ac:dyDescent="0.25">
      <c r="A6" s="118">
        <v>4</v>
      </c>
      <c r="B6" s="99" t="s">
        <v>37</v>
      </c>
      <c r="C6" s="100">
        <v>9121480.6940000039</v>
      </c>
      <c r="D6" s="100">
        <v>8111962.7010000031</v>
      </c>
      <c r="E6" s="101">
        <f t="shared" si="0"/>
        <v>3.9833034618097403E-2</v>
      </c>
      <c r="F6" s="119">
        <f t="shared" si="1"/>
        <v>-0.11067479358521792</v>
      </c>
    </row>
    <row r="7" spans="1:6" x14ac:dyDescent="0.25">
      <c r="A7" s="118">
        <v>5</v>
      </c>
      <c r="B7" s="99" t="s">
        <v>38</v>
      </c>
      <c r="C7" s="100">
        <v>7701458.2320000026</v>
      </c>
      <c r="D7" s="100">
        <v>7930521.3939999966</v>
      </c>
      <c r="E7" s="101">
        <f t="shared" si="0"/>
        <v>3.8942084039393046E-2</v>
      </c>
      <c r="F7" s="119">
        <f t="shared" si="1"/>
        <v>2.9742829877103416E-2</v>
      </c>
    </row>
    <row r="8" spans="1:6" x14ac:dyDescent="0.25">
      <c r="A8" s="118">
        <v>6</v>
      </c>
      <c r="B8" s="99" t="s">
        <v>40</v>
      </c>
      <c r="C8" s="100">
        <v>5470230.3529999973</v>
      </c>
      <c r="D8" s="100">
        <v>7457161.5799999945</v>
      </c>
      <c r="E8" s="101">
        <f t="shared" si="0"/>
        <v>3.6617694917688404E-2</v>
      </c>
      <c r="F8" s="119">
        <f t="shared" si="1"/>
        <v>0.36322624437750028</v>
      </c>
    </row>
    <row r="9" spans="1:6" x14ac:dyDescent="0.25">
      <c r="A9" s="118">
        <v>7</v>
      </c>
      <c r="B9" s="99" t="s">
        <v>41</v>
      </c>
      <c r="C9" s="100">
        <v>4370033.3050000025</v>
      </c>
      <c r="D9" s="100">
        <v>7279135.2220000029</v>
      </c>
      <c r="E9" s="101">
        <f t="shared" si="0"/>
        <v>3.5743513126853338E-2</v>
      </c>
      <c r="F9" s="119">
        <f t="shared" si="1"/>
        <v>0.66569330574014907</v>
      </c>
    </row>
    <row r="10" spans="1:6" x14ac:dyDescent="0.25">
      <c r="A10" s="118">
        <v>8</v>
      </c>
      <c r="B10" s="99" t="s">
        <v>39</v>
      </c>
      <c r="C10" s="100">
        <v>6298498.1580000045</v>
      </c>
      <c r="D10" s="100">
        <v>6131059.8139999984</v>
      </c>
      <c r="E10" s="101">
        <f t="shared" si="0"/>
        <v>3.0105996146479037E-2</v>
      </c>
      <c r="F10" s="119">
        <f t="shared" si="1"/>
        <v>-2.6583852181862655E-2</v>
      </c>
    </row>
    <row r="11" spans="1:6" x14ac:dyDescent="0.25">
      <c r="A11" s="118">
        <v>9</v>
      </c>
      <c r="B11" s="99" t="s">
        <v>44</v>
      </c>
      <c r="C11" s="100">
        <v>2161215.9789999998</v>
      </c>
      <c r="D11" s="100">
        <v>5498486.6209999975</v>
      </c>
      <c r="E11" s="101">
        <f t="shared" si="0"/>
        <v>2.699980460886962E-2</v>
      </c>
      <c r="F11" s="119">
        <f t="shared" si="1"/>
        <v>1.5441634128321415</v>
      </c>
    </row>
    <row r="12" spans="1:6" x14ac:dyDescent="0.25">
      <c r="A12" s="118">
        <v>10</v>
      </c>
      <c r="B12" s="99" t="s">
        <v>42</v>
      </c>
      <c r="C12" s="100">
        <v>3225285.1089999978</v>
      </c>
      <c r="D12" s="100">
        <v>4690817.7280000038</v>
      </c>
      <c r="E12" s="101">
        <f t="shared" si="0"/>
        <v>2.3033822002605519E-2</v>
      </c>
      <c r="F12" s="119">
        <f t="shared" si="1"/>
        <v>0.45438854844506915</v>
      </c>
    </row>
    <row r="13" spans="1:6" x14ac:dyDescent="0.25">
      <c r="A13" s="118">
        <v>11</v>
      </c>
      <c r="B13" s="99" t="s">
        <v>47</v>
      </c>
      <c r="C13" s="100">
        <v>3385652.2529999996</v>
      </c>
      <c r="D13" s="100">
        <v>3749410.5180000034</v>
      </c>
      <c r="E13" s="101">
        <f t="shared" si="0"/>
        <v>1.8411129891233533E-2</v>
      </c>
      <c r="F13" s="119">
        <f t="shared" si="1"/>
        <v>0.10744111852529459</v>
      </c>
    </row>
    <row r="14" spans="1:6" x14ac:dyDescent="0.25">
      <c r="A14" s="118">
        <v>12</v>
      </c>
      <c r="B14" s="99" t="s">
        <v>43</v>
      </c>
      <c r="C14" s="100">
        <v>4040078.8010000042</v>
      </c>
      <c r="D14" s="100">
        <v>3507095.3600000008</v>
      </c>
      <c r="E14" s="101">
        <f t="shared" si="0"/>
        <v>1.722126395707262E-2</v>
      </c>
      <c r="F14" s="119">
        <f t="shared" si="1"/>
        <v>-0.13192402110277623</v>
      </c>
    </row>
    <row r="15" spans="1:6" x14ac:dyDescent="0.25">
      <c r="A15" s="118">
        <v>13</v>
      </c>
      <c r="B15" s="99" t="s">
        <v>45</v>
      </c>
      <c r="C15" s="100">
        <v>2304056.7549999994</v>
      </c>
      <c r="D15" s="100">
        <v>2203574.4180000005</v>
      </c>
      <c r="E15" s="101">
        <f t="shared" si="0"/>
        <v>1.0820446211485585E-2</v>
      </c>
      <c r="F15" s="119">
        <f t="shared" si="1"/>
        <v>-4.3611051152252944E-2</v>
      </c>
    </row>
    <row r="16" spans="1:6" x14ac:dyDescent="0.25">
      <c r="A16" s="118">
        <v>14</v>
      </c>
      <c r="B16" s="99" t="s">
        <v>46</v>
      </c>
      <c r="C16" s="100">
        <v>3153026.6630000039</v>
      </c>
      <c r="D16" s="100">
        <v>1887692.4280000005</v>
      </c>
      <c r="E16" s="101">
        <f t="shared" si="0"/>
        <v>9.2693372250805591E-3</v>
      </c>
      <c r="F16" s="119">
        <f t="shared" si="1"/>
        <v>-0.40130781317151254</v>
      </c>
    </row>
    <row r="17" spans="1:6" x14ac:dyDescent="0.25">
      <c r="A17" s="118">
        <v>15</v>
      </c>
      <c r="B17" s="99" t="s">
        <v>50</v>
      </c>
      <c r="C17" s="100">
        <v>1608156.085</v>
      </c>
      <c r="D17" s="100">
        <v>1849466.3159999992</v>
      </c>
      <c r="E17" s="101">
        <f t="shared" si="0"/>
        <v>9.081631475099286E-3</v>
      </c>
      <c r="F17" s="119">
        <f t="shared" si="1"/>
        <v>0.15005398620868271</v>
      </c>
    </row>
    <row r="18" spans="1:6" x14ac:dyDescent="0.25">
      <c r="A18" s="118">
        <v>16</v>
      </c>
      <c r="B18" s="99" t="s">
        <v>49</v>
      </c>
      <c r="C18" s="100">
        <v>1697204.0940000012</v>
      </c>
      <c r="D18" s="100">
        <v>1773068.9770000007</v>
      </c>
      <c r="E18" s="101">
        <f t="shared" si="0"/>
        <v>8.7064894827991578E-3</v>
      </c>
      <c r="F18" s="119">
        <f t="shared" si="1"/>
        <v>4.4699917510332865E-2</v>
      </c>
    </row>
    <row r="19" spans="1:6" x14ac:dyDescent="0.25">
      <c r="A19" s="118">
        <v>17</v>
      </c>
      <c r="B19" s="99" t="s">
        <v>48</v>
      </c>
      <c r="C19" s="100">
        <v>1660030.3770000013</v>
      </c>
      <c r="D19" s="100">
        <v>1588267.0080000004</v>
      </c>
      <c r="E19" s="101">
        <f t="shared" si="0"/>
        <v>7.7990366874649145E-3</v>
      </c>
      <c r="F19" s="119">
        <f t="shared" si="1"/>
        <v>-4.3230154094945683E-2</v>
      </c>
    </row>
    <row r="20" spans="1:6" x14ac:dyDescent="0.25">
      <c r="A20" s="118">
        <v>18</v>
      </c>
      <c r="B20" s="99" t="s">
        <v>58</v>
      </c>
      <c r="C20" s="100">
        <v>720037.78099999938</v>
      </c>
      <c r="D20" s="100">
        <v>1507519.4989999994</v>
      </c>
      <c r="E20" s="101">
        <f t="shared" si="0"/>
        <v>7.4025335919901698E-3</v>
      </c>
      <c r="F20" s="119">
        <f t="shared" si="1"/>
        <v>1.0936672196649644</v>
      </c>
    </row>
    <row r="21" spans="1:6" x14ac:dyDescent="0.25">
      <c r="A21" s="118">
        <v>19</v>
      </c>
      <c r="B21" s="99" t="s">
        <v>53</v>
      </c>
      <c r="C21" s="100">
        <v>332481.74800000008</v>
      </c>
      <c r="D21" s="100">
        <v>1466214.8020000004</v>
      </c>
      <c r="E21" s="101">
        <f t="shared" si="0"/>
        <v>7.199710738121751E-3</v>
      </c>
      <c r="F21" s="119">
        <f t="shared" si="1"/>
        <v>3.4099106516968867</v>
      </c>
    </row>
    <row r="22" spans="1:6" x14ac:dyDescent="0.25">
      <c r="A22" s="118">
        <v>20</v>
      </c>
      <c r="B22" s="99" t="s">
        <v>56</v>
      </c>
      <c r="C22" s="100">
        <v>987371.40499999991</v>
      </c>
      <c r="D22" s="100">
        <v>1391297.1880000001</v>
      </c>
      <c r="E22" s="101">
        <f t="shared" si="0"/>
        <v>6.8318347971242175E-3</v>
      </c>
      <c r="F22" s="119">
        <f t="shared" si="1"/>
        <v>0.40909204069972049</v>
      </c>
    </row>
    <row r="23" spans="1:6" x14ac:dyDescent="0.25">
      <c r="A23" s="118">
        <v>21</v>
      </c>
      <c r="B23" s="99" t="s">
        <v>52</v>
      </c>
      <c r="C23" s="100">
        <v>1288344.4089999995</v>
      </c>
      <c r="D23" s="100">
        <v>1272600.1280000003</v>
      </c>
      <c r="E23" s="101">
        <f t="shared" si="0"/>
        <v>6.2489839786085549E-3</v>
      </c>
      <c r="F23" s="119">
        <f t="shared" si="1"/>
        <v>-1.2220552897202253E-2</v>
      </c>
    </row>
    <row r="24" spans="1:6" x14ac:dyDescent="0.25">
      <c r="A24" s="118">
        <v>22</v>
      </c>
      <c r="B24" s="99" t="s">
        <v>66</v>
      </c>
      <c r="C24" s="100">
        <v>285814.24299999996</v>
      </c>
      <c r="D24" s="100">
        <v>1213651.122</v>
      </c>
      <c r="E24" s="101">
        <f t="shared" si="0"/>
        <v>5.9595203946092128E-3</v>
      </c>
      <c r="F24" s="119">
        <f t="shared" si="1"/>
        <v>3.2462933591451568</v>
      </c>
    </row>
    <row r="25" spans="1:6" x14ac:dyDescent="0.25">
      <c r="A25" s="118">
        <v>23</v>
      </c>
      <c r="B25" s="99" t="s">
        <v>62</v>
      </c>
      <c r="C25" s="100">
        <v>594175.03100000019</v>
      </c>
      <c r="D25" s="100">
        <v>1138339.9940000002</v>
      </c>
      <c r="E25" s="101">
        <f t="shared" si="0"/>
        <v>5.5897121398964357E-3</v>
      </c>
      <c r="F25" s="119">
        <f t="shared" si="1"/>
        <v>0.91583276746612374</v>
      </c>
    </row>
    <row r="26" spans="1:6" x14ac:dyDescent="0.25">
      <c r="A26" s="118">
        <v>24</v>
      </c>
      <c r="B26" s="99" t="s">
        <v>57</v>
      </c>
      <c r="C26" s="100">
        <v>871576.34</v>
      </c>
      <c r="D26" s="100">
        <v>904818.68900000048</v>
      </c>
      <c r="E26" s="101">
        <f t="shared" si="0"/>
        <v>4.4430275989305879E-3</v>
      </c>
      <c r="F26" s="119">
        <f t="shared" si="1"/>
        <v>3.8140490367143842E-2</v>
      </c>
    </row>
    <row r="27" spans="1:6" x14ac:dyDescent="0.25">
      <c r="A27" s="118">
        <v>25</v>
      </c>
      <c r="B27" s="99" t="s">
        <v>54</v>
      </c>
      <c r="C27" s="100">
        <v>722595.83600000001</v>
      </c>
      <c r="D27" s="100">
        <v>763156.75100000016</v>
      </c>
      <c r="E27" s="101">
        <f t="shared" si="0"/>
        <v>3.7474098935230959E-3</v>
      </c>
      <c r="F27" s="119">
        <f t="shared" si="1"/>
        <v>5.6132229081929275E-2</v>
      </c>
    </row>
    <row r="28" spans="1:6" x14ac:dyDescent="0.25">
      <c r="A28" s="118">
        <v>26</v>
      </c>
      <c r="B28" s="99" t="s">
        <v>71</v>
      </c>
      <c r="C28" s="100">
        <v>361025.44800000003</v>
      </c>
      <c r="D28" s="100">
        <v>633885.45599999989</v>
      </c>
      <c r="E28" s="101">
        <f t="shared" si="0"/>
        <v>3.1126352824136887E-3</v>
      </c>
      <c r="F28" s="119">
        <f t="shared" si="1"/>
        <v>0.75579161943176887</v>
      </c>
    </row>
    <row r="29" spans="1:6" x14ac:dyDescent="0.25">
      <c r="A29" s="118">
        <v>27</v>
      </c>
      <c r="B29" s="99" t="s">
        <v>55</v>
      </c>
      <c r="C29" s="100">
        <v>1076420.0639999998</v>
      </c>
      <c r="D29" s="100">
        <v>615726.57999999938</v>
      </c>
      <c r="E29" s="101">
        <f t="shared" si="0"/>
        <v>3.0234678191258472E-3</v>
      </c>
      <c r="F29" s="119">
        <f t="shared" si="1"/>
        <v>-0.42798671207228678</v>
      </c>
    </row>
    <row r="30" spans="1:6" x14ac:dyDescent="0.25">
      <c r="A30" s="118">
        <v>28</v>
      </c>
      <c r="B30" s="99" t="s">
        <v>51</v>
      </c>
      <c r="C30" s="100">
        <v>617169.52999999991</v>
      </c>
      <c r="D30" s="100">
        <v>603361.17000000004</v>
      </c>
      <c r="E30" s="101">
        <f t="shared" si="0"/>
        <v>2.9627486291157377E-3</v>
      </c>
      <c r="F30" s="119">
        <f t="shared" si="1"/>
        <v>-2.2373690418578951E-2</v>
      </c>
    </row>
    <row r="31" spans="1:6" x14ac:dyDescent="0.25">
      <c r="A31" s="118">
        <v>29</v>
      </c>
      <c r="B31" s="99" t="s">
        <v>65</v>
      </c>
      <c r="C31" s="100">
        <v>299599.69</v>
      </c>
      <c r="D31" s="100">
        <v>578364.11499999999</v>
      </c>
      <c r="E31" s="101">
        <f t="shared" si="0"/>
        <v>2.8400029270129975E-3</v>
      </c>
      <c r="F31" s="119">
        <f t="shared" si="1"/>
        <v>0.93045631989806132</v>
      </c>
    </row>
    <row r="32" spans="1:6" x14ac:dyDescent="0.25">
      <c r="A32" s="118">
        <v>30</v>
      </c>
      <c r="B32" s="99" t="s">
        <v>73</v>
      </c>
      <c r="C32" s="100">
        <v>259607.80100000001</v>
      </c>
      <c r="D32" s="100">
        <v>493642.54200000007</v>
      </c>
      <c r="E32" s="101">
        <f t="shared" si="0"/>
        <v>2.4239855617220248E-3</v>
      </c>
      <c r="F32" s="119">
        <f t="shared" si="1"/>
        <v>0.90149348401129159</v>
      </c>
    </row>
    <row r="33" spans="1:6" x14ac:dyDescent="0.25">
      <c r="A33" s="118">
        <v>31</v>
      </c>
      <c r="B33" s="99" t="s">
        <v>59</v>
      </c>
      <c r="C33" s="100">
        <v>352814.69099999999</v>
      </c>
      <c r="D33" s="100">
        <v>469681.83299999993</v>
      </c>
      <c r="E33" s="101">
        <f t="shared" si="0"/>
        <v>2.3063287397850222E-3</v>
      </c>
      <c r="F33" s="119">
        <f t="shared" si="1"/>
        <v>0.33124227811704121</v>
      </c>
    </row>
    <row r="34" spans="1:6" x14ac:dyDescent="0.25">
      <c r="A34" s="118">
        <v>32</v>
      </c>
      <c r="B34" s="99" t="s">
        <v>61</v>
      </c>
      <c r="C34" s="100">
        <v>833614.39500000002</v>
      </c>
      <c r="D34" s="100">
        <v>447867.86500000017</v>
      </c>
      <c r="E34" s="101">
        <f t="shared" si="0"/>
        <v>2.1992132888726378E-3</v>
      </c>
      <c r="F34" s="119">
        <f t="shared" si="1"/>
        <v>-0.46273976590819288</v>
      </c>
    </row>
    <row r="35" spans="1:6" x14ac:dyDescent="0.25">
      <c r="A35" s="118">
        <v>33</v>
      </c>
      <c r="B35" s="99" t="s">
        <v>69</v>
      </c>
      <c r="C35" s="100">
        <v>319229.92000000004</v>
      </c>
      <c r="D35" s="100">
        <v>382628.83</v>
      </c>
      <c r="E35" s="101">
        <f t="shared" si="0"/>
        <v>1.8788631053978143E-3</v>
      </c>
      <c r="F35" s="119">
        <f t="shared" si="1"/>
        <v>0.19859952350331067</v>
      </c>
    </row>
    <row r="36" spans="1:6" x14ac:dyDescent="0.25">
      <c r="A36" s="118">
        <v>34</v>
      </c>
      <c r="B36" s="99" t="s">
        <v>68</v>
      </c>
      <c r="C36" s="100">
        <v>304429.5259999999</v>
      </c>
      <c r="D36" s="100">
        <v>341549.50799999991</v>
      </c>
      <c r="E36" s="101">
        <f t="shared" si="0"/>
        <v>1.6771469344010891E-3</v>
      </c>
      <c r="F36" s="119">
        <f t="shared" si="1"/>
        <v>0.12193292315542359</v>
      </c>
    </row>
    <row r="37" spans="1:6" x14ac:dyDescent="0.25">
      <c r="A37" s="118">
        <v>35</v>
      </c>
      <c r="B37" s="99" t="s">
        <v>60</v>
      </c>
      <c r="C37" s="100">
        <v>405568.96100000013</v>
      </c>
      <c r="D37" s="100">
        <v>327499.98699999991</v>
      </c>
      <c r="E37" s="101">
        <f t="shared" si="0"/>
        <v>1.6081580747393332E-3</v>
      </c>
      <c r="F37" s="119">
        <f t="shared" si="1"/>
        <v>-0.19249247725345575</v>
      </c>
    </row>
    <row r="38" spans="1:6" x14ac:dyDescent="0.25">
      <c r="A38" s="118">
        <v>36</v>
      </c>
      <c r="B38" s="99" t="s">
        <v>63</v>
      </c>
      <c r="C38" s="100">
        <v>569189.50300000014</v>
      </c>
      <c r="D38" s="100">
        <v>308696.98800000019</v>
      </c>
      <c r="E38" s="101">
        <f t="shared" si="0"/>
        <v>1.515827705666173E-3</v>
      </c>
      <c r="F38" s="119">
        <f t="shared" si="1"/>
        <v>-0.45765516339819057</v>
      </c>
    </row>
    <row r="39" spans="1:6" x14ac:dyDescent="0.25">
      <c r="A39" s="118">
        <v>37</v>
      </c>
      <c r="B39" s="99" t="s">
        <v>64</v>
      </c>
      <c r="C39" s="100">
        <v>266795.54500000004</v>
      </c>
      <c r="D39" s="100">
        <v>293677.03699999989</v>
      </c>
      <c r="E39" s="101">
        <f t="shared" si="0"/>
        <v>1.4420736401955091E-3</v>
      </c>
      <c r="F39" s="119">
        <f t="shared" si="1"/>
        <v>0.10075689982004699</v>
      </c>
    </row>
    <row r="40" spans="1:6" x14ac:dyDescent="0.25">
      <c r="A40" s="118">
        <v>38</v>
      </c>
      <c r="B40" s="99" t="s">
        <v>70</v>
      </c>
      <c r="C40" s="100">
        <v>307078.94500000012</v>
      </c>
      <c r="D40" s="100">
        <v>272635.9169999999</v>
      </c>
      <c r="E40" s="101">
        <f t="shared" si="0"/>
        <v>1.3387531871490201E-3</v>
      </c>
      <c r="F40" s="119">
        <f t="shared" si="1"/>
        <v>-0.11216343080767133</v>
      </c>
    </row>
    <row r="41" spans="1:6" x14ac:dyDescent="0.25">
      <c r="A41" s="118">
        <v>39</v>
      </c>
      <c r="B41" s="99" t="s">
        <v>95</v>
      </c>
      <c r="C41" s="100">
        <v>10864.149000000001</v>
      </c>
      <c r="D41" s="100">
        <v>208522.29300000001</v>
      </c>
      <c r="E41" s="101">
        <f t="shared" si="0"/>
        <v>1.0239292291975306E-3</v>
      </c>
      <c r="F41" s="119">
        <f t="shared" si="1"/>
        <v>18.19361498079601</v>
      </c>
    </row>
    <row r="42" spans="1:6" x14ac:dyDescent="0.25">
      <c r="A42" s="118">
        <v>40</v>
      </c>
      <c r="B42" s="99" t="s">
        <v>67</v>
      </c>
      <c r="C42" s="100">
        <v>239373.83699999991</v>
      </c>
      <c r="D42" s="100">
        <v>194210.12800000006</v>
      </c>
      <c r="E42" s="101">
        <f t="shared" si="0"/>
        <v>9.5365068072310994E-4</v>
      </c>
      <c r="F42" s="119">
        <f t="shared" si="1"/>
        <v>-0.18867437463518566</v>
      </c>
    </row>
    <row r="43" spans="1:6" x14ac:dyDescent="0.25">
      <c r="A43" s="118">
        <v>41</v>
      </c>
      <c r="B43" s="99" t="s">
        <v>76</v>
      </c>
      <c r="C43" s="100">
        <v>124980.40699999998</v>
      </c>
      <c r="D43" s="100">
        <v>177929.20599999998</v>
      </c>
      <c r="E43" s="101">
        <f t="shared" si="0"/>
        <v>8.7370473501990778E-4</v>
      </c>
      <c r="F43" s="119">
        <f t="shared" si="1"/>
        <v>0.42365679766109277</v>
      </c>
    </row>
    <row r="44" spans="1:6" x14ac:dyDescent="0.25">
      <c r="A44" s="118">
        <v>42</v>
      </c>
      <c r="B44" s="99" t="s">
        <v>75</v>
      </c>
      <c r="C44" s="100">
        <v>129254.323</v>
      </c>
      <c r="D44" s="100">
        <v>160310.73199999999</v>
      </c>
      <c r="E44" s="101">
        <f t="shared" si="0"/>
        <v>7.8719086524169318E-4</v>
      </c>
      <c r="F44" s="119">
        <f t="shared" si="1"/>
        <v>0.24027365800368616</v>
      </c>
    </row>
    <row r="45" spans="1:6" x14ac:dyDescent="0.25">
      <c r="A45" s="118">
        <v>43</v>
      </c>
      <c r="B45" s="99" t="s">
        <v>72</v>
      </c>
      <c r="C45" s="100">
        <v>256988.23299999998</v>
      </c>
      <c r="D45" s="100">
        <v>128144.77200000006</v>
      </c>
      <c r="E45" s="101">
        <f t="shared" si="0"/>
        <v>6.2924292521401219E-4</v>
      </c>
      <c r="F45" s="119">
        <f t="shared" si="1"/>
        <v>-0.50135937936115516</v>
      </c>
    </row>
    <row r="46" spans="1:6" x14ac:dyDescent="0.25">
      <c r="A46" s="118">
        <v>44</v>
      </c>
      <c r="B46" s="99" t="s">
        <v>122</v>
      </c>
      <c r="C46" s="100">
        <v>61405.70900000001</v>
      </c>
      <c r="D46" s="100">
        <v>99783.489000000001</v>
      </c>
      <c r="E46" s="101">
        <f t="shared" si="0"/>
        <v>4.89977495971667E-4</v>
      </c>
      <c r="F46" s="119">
        <f t="shared" si="1"/>
        <v>0.6249871652813257</v>
      </c>
    </row>
    <row r="47" spans="1:6" x14ac:dyDescent="0.25">
      <c r="A47" s="118">
        <v>45</v>
      </c>
      <c r="B47" s="99" t="s">
        <v>132</v>
      </c>
      <c r="C47" s="100">
        <v>3779.4610000000002</v>
      </c>
      <c r="D47" s="100">
        <v>91251.997000000018</v>
      </c>
      <c r="E47" s="101">
        <f t="shared" si="0"/>
        <v>4.480844019442342E-4</v>
      </c>
      <c r="F47" s="119">
        <f t="shared" si="1"/>
        <v>23.144182728701264</v>
      </c>
    </row>
    <row r="48" spans="1:6" x14ac:dyDescent="0.25">
      <c r="A48" s="118">
        <v>46</v>
      </c>
      <c r="B48" s="99" t="s">
        <v>77</v>
      </c>
      <c r="C48" s="100">
        <v>10446.263999999999</v>
      </c>
      <c r="D48" s="100">
        <v>86240.112000000008</v>
      </c>
      <c r="E48" s="101">
        <f t="shared" si="0"/>
        <v>4.2347400911263097E-4</v>
      </c>
      <c r="F48" s="119">
        <f t="shared" si="1"/>
        <v>7.2555937701746789</v>
      </c>
    </row>
    <row r="49" spans="1:6" x14ac:dyDescent="0.25">
      <c r="A49" s="118">
        <v>47</v>
      </c>
      <c r="B49" s="99" t="s">
        <v>74</v>
      </c>
      <c r="C49" s="100">
        <v>205292.03899999999</v>
      </c>
      <c r="D49" s="100">
        <v>78802.572</v>
      </c>
      <c r="E49" s="101">
        <f t="shared" si="0"/>
        <v>3.8695266412950338E-4</v>
      </c>
      <c r="F49" s="119">
        <f t="shared" si="1"/>
        <v>-0.61614404346190943</v>
      </c>
    </row>
    <row r="50" spans="1:6" x14ac:dyDescent="0.25">
      <c r="A50" s="118">
        <v>48</v>
      </c>
      <c r="B50" s="99" t="s">
        <v>133</v>
      </c>
      <c r="C50" s="100">
        <v>0</v>
      </c>
      <c r="D50" s="100">
        <v>65333.499999999985</v>
      </c>
      <c r="E50" s="101">
        <f t="shared" si="0"/>
        <v>3.2081404502767885E-4</v>
      </c>
      <c r="F50" s="119" t="e">
        <f t="shared" si="1"/>
        <v>#DIV/0!</v>
      </c>
    </row>
    <row r="51" spans="1:6" x14ac:dyDescent="0.25">
      <c r="A51" s="118">
        <v>49</v>
      </c>
      <c r="B51" s="99" t="s">
        <v>134</v>
      </c>
      <c r="C51" s="100">
        <v>1698.539</v>
      </c>
      <c r="D51" s="100">
        <v>63996.837000000007</v>
      </c>
      <c r="E51" s="101">
        <f t="shared" si="0"/>
        <v>3.1425048630407109E-4</v>
      </c>
      <c r="F51" s="119">
        <f t="shared" si="1"/>
        <v>36.677578789771687</v>
      </c>
    </row>
    <row r="52" spans="1:6" x14ac:dyDescent="0.25">
      <c r="A52" s="118">
        <v>50</v>
      </c>
      <c r="B52" s="99" t="s">
        <v>135</v>
      </c>
      <c r="C52" s="100">
        <v>40883.843999999983</v>
      </c>
      <c r="D52" s="100">
        <v>60684.120999999999</v>
      </c>
      <c r="E52" s="101">
        <f t="shared" si="0"/>
        <v>2.9798370402563947E-4</v>
      </c>
      <c r="F52" s="119">
        <f t="shared" si="1"/>
        <v>0.4843056587340473</v>
      </c>
    </row>
    <row r="53" spans="1:6" x14ac:dyDescent="0.25">
      <c r="B53" s="99" t="s">
        <v>79</v>
      </c>
      <c r="C53" s="100">
        <v>545405.772</v>
      </c>
      <c r="D53" s="100">
        <v>403296.74300000002</v>
      </c>
      <c r="E53" s="101">
        <f t="shared" si="0"/>
        <v>1.9803509603544623E-3</v>
      </c>
      <c r="F53" s="119">
        <f t="shared" si="1"/>
        <v>-0.2605565182760845</v>
      </c>
    </row>
    <row r="54" spans="1:6" x14ac:dyDescent="0.25">
      <c r="B54" s="114" t="s">
        <v>32</v>
      </c>
      <c r="C54" s="115">
        <f>SUM(C3:C53)</f>
        <v>177983522.82300019</v>
      </c>
      <c r="D54" s="115">
        <f>SUM(D3:D53)</f>
        <v>203649126.37900007</v>
      </c>
      <c r="E54" s="116">
        <f>SUM(E3:E53)</f>
        <v>1.0000000000000002</v>
      </c>
      <c r="F54" s="117">
        <f t="shared" si="1"/>
        <v>0.14420213258461922</v>
      </c>
    </row>
  </sheetData>
  <conditionalFormatting sqref="F3:F53">
    <cfRule type="cellIs" dxfId="11" priority="1" operator="lessThan">
      <formula>0%</formula>
    </cfRule>
    <cfRule type="cellIs" dxfId="10" priority="2" operator="greaterThanOrEqual">
      <formula>1%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19AB8-E1F6-4F7D-B4C3-4FBD2C0C2604}">
  <dimension ref="A1:F19"/>
  <sheetViews>
    <sheetView showGridLines="0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5" sqref="F15"/>
    </sheetView>
  </sheetViews>
  <sheetFormatPr baseColWidth="10" defaultRowHeight="15" x14ac:dyDescent="0.25"/>
  <cols>
    <col min="1" max="1" width="6.42578125" customWidth="1"/>
    <col min="2" max="2" width="39.42578125" customWidth="1"/>
    <col min="3" max="3" width="19.28515625" customWidth="1"/>
    <col min="4" max="4" width="23.85546875" customWidth="1"/>
    <col min="5" max="5" width="15.140625" customWidth="1"/>
    <col min="6" max="6" width="12.7109375" customWidth="1"/>
  </cols>
  <sheetData>
    <row r="1" spans="1:6" ht="27.75" customHeight="1" x14ac:dyDescent="0.25">
      <c r="B1" s="139" t="s">
        <v>136</v>
      </c>
      <c r="C1" s="139"/>
      <c r="D1" s="139"/>
      <c r="E1" s="139"/>
      <c r="F1" s="139"/>
    </row>
    <row r="2" spans="1:6" ht="27" customHeight="1" x14ac:dyDescent="0.25">
      <c r="B2" s="120" t="s">
        <v>94</v>
      </c>
      <c r="C2" s="120">
        <v>2024</v>
      </c>
      <c r="D2" s="120">
        <v>2025</v>
      </c>
      <c r="E2" s="120" t="s">
        <v>80</v>
      </c>
      <c r="F2" s="120" t="s">
        <v>81</v>
      </c>
    </row>
    <row r="3" spans="1:6" ht="15.95" customHeight="1" x14ac:dyDescent="0.25">
      <c r="A3">
        <v>1</v>
      </c>
      <c r="B3" s="124" t="s">
        <v>96</v>
      </c>
      <c r="C3" s="125">
        <v>15625351.48499999</v>
      </c>
      <c r="D3" s="125">
        <v>13940490.860999996</v>
      </c>
      <c r="E3" s="126">
        <f>D3/$D$19</f>
        <v>6.84534773552435E-2</v>
      </c>
      <c r="F3" s="127">
        <f>IFERROR((D3/C3)-1,"-")</f>
        <v>-0.10782865432610744</v>
      </c>
    </row>
    <row r="4" spans="1:6" ht="15.95" customHeight="1" x14ac:dyDescent="0.25">
      <c r="A4">
        <v>2</v>
      </c>
      <c r="B4" s="124" t="s">
        <v>82</v>
      </c>
      <c r="C4" s="125">
        <v>8613752.9440000001</v>
      </c>
      <c r="D4" s="125">
        <v>10684391.964000002</v>
      </c>
      <c r="E4" s="126">
        <f t="shared" ref="E4:E18" si="0">D4/$D$19</f>
        <v>5.2464708069092716E-2</v>
      </c>
      <c r="F4" s="127">
        <f t="shared" ref="F4:F18" si="1">IFERROR((D4/C4)-1,"-")</f>
        <v>0.24038755620943686</v>
      </c>
    </row>
    <row r="5" spans="1:6" ht="15.95" customHeight="1" x14ac:dyDescent="0.25">
      <c r="A5">
        <v>3</v>
      </c>
      <c r="B5" s="124" t="s">
        <v>85</v>
      </c>
      <c r="C5" s="125">
        <v>2484880.5900000003</v>
      </c>
      <c r="D5" s="125">
        <v>9612866.5499999989</v>
      </c>
      <c r="E5" s="126">
        <f t="shared" si="0"/>
        <v>4.7203082679127401E-2</v>
      </c>
      <c r="F5" s="127">
        <f t="shared" si="1"/>
        <v>2.8685426529892117</v>
      </c>
    </row>
    <row r="6" spans="1:6" ht="15.95" customHeight="1" x14ac:dyDescent="0.25">
      <c r="A6">
        <v>4</v>
      </c>
      <c r="B6" s="124" t="s">
        <v>83</v>
      </c>
      <c r="C6" s="125">
        <v>11601077.396999998</v>
      </c>
      <c r="D6" s="125">
        <v>8645963.7089999989</v>
      </c>
      <c r="E6" s="126">
        <f t="shared" si="0"/>
        <v>4.2455196654806571E-2</v>
      </c>
      <c r="F6" s="127">
        <f t="shared" si="1"/>
        <v>-0.25472752114938757</v>
      </c>
    </row>
    <row r="7" spans="1:6" ht="15.95" customHeight="1" x14ac:dyDescent="0.25">
      <c r="A7">
        <v>5</v>
      </c>
      <c r="B7" s="124" t="s">
        <v>86</v>
      </c>
      <c r="C7" s="125">
        <v>5845408.2119999994</v>
      </c>
      <c r="D7" s="125">
        <v>6653547.4750000015</v>
      </c>
      <c r="E7" s="126">
        <f t="shared" si="0"/>
        <v>3.2671622968897286E-2</v>
      </c>
      <c r="F7" s="127">
        <f t="shared" si="1"/>
        <v>0.13825198064713051</v>
      </c>
    </row>
    <row r="8" spans="1:6" ht="15.95" customHeight="1" x14ac:dyDescent="0.25">
      <c r="A8">
        <v>6</v>
      </c>
      <c r="B8" s="124" t="s">
        <v>89</v>
      </c>
      <c r="C8" s="125">
        <v>4371230.9510000004</v>
      </c>
      <c r="D8" s="125">
        <v>5317665.4099999992</v>
      </c>
      <c r="E8" s="126">
        <f t="shared" si="0"/>
        <v>2.6111898953612947E-2</v>
      </c>
      <c r="F8" s="127">
        <f t="shared" si="1"/>
        <v>0.21651440283279566</v>
      </c>
    </row>
    <row r="9" spans="1:6" ht="15.95" customHeight="1" x14ac:dyDescent="0.25">
      <c r="A9">
        <v>7</v>
      </c>
      <c r="B9" s="124" t="s">
        <v>88</v>
      </c>
      <c r="C9" s="125">
        <v>3217608.8700000015</v>
      </c>
      <c r="D9" s="125">
        <v>5241887.6500000013</v>
      </c>
      <c r="E9" s="126">
        <f t="shared" si="0"/>
        <v>2.5739799346080269E-2</v>
      </c>
      <c r="F9" s="127">
        <f t="shared" si="1"/>
        <v>0.62912518636859649</v>
      </c>
    </row>
    <row r="10" spans="1:6" ht="15.95" customHeight="1" x14ac:dyDescent="0.25">
      <c r="A10">
        <v>8</v>
      </c>
      <c r="B10" s="124" t="s">
        <v>84</v>
      </c>
      <c r="C10" s="125">
        <v>8660832.2099999972</v>
      </c>
      <c r="D10" s="125">
        <v>3705569.9130000011</v>
      </c>
      <c r="E10" s="126">
        <f t="shared" si="0"/>
        <v>1.8195854698162432E-2</v>
      </c>
      <c r="F10" s="127">
        <f t="shared" si="1"/>
        <v>-0.57214620683662887</v>
      </c>
    </row>
    <row r="11" spans="1:6" ht="15.95" customHeight="1" x14ac:dyDescent="0.25">
      <c r="A11">
        <v>9</v>
      </c>
      <c r="B11" s="124" t="s">
        <v>87</v>
      </c>
      <c r="C11" s="125">
        <v>5493099.5900000008</v>
      </c>
      <c r="D11" s="125">
        <v>3503645.9309999999</v>
      </c>
      <c r="E11" s="126">
        <f t="shared" si="0"/>
        <v>1.7204325858386257E-2</v>
      </c>
      <c r="F11" s="127">
        <f t="shared" si="1"/>
        <v>-0.36217323687736025</v>
      </c>
    </row>
    <row r="12" spans="1:6" ht="15.95" customHeight="1" x14ac:dyDescent="0.25">
      <c r="A12">
        <v>10</v>
      </c>
      <c r="B12" s="124" t="s">
        <v>90</v>
      </c>
      <c r="C12" s="125">
        <v>2004276.9379999998</v>
      </c>
      <c r="D12" s="125">
        <v>2813879.3990000035</v>
      </c>
      <c r="E12" s="126">
        <f t="shared" si="0"/>
        <v>1.3817291775478824E-2</v>
      </c>
      <c r="F12" s="127">
        <f t="shared" si="1"/>
        <v>0.40393742284331147</v>
      </c>
    </row>
    <row r="13" spans="1:6" ht="15.95" customHeight="1" x14ac:dyDescent="0.25">
      <c r="A13">
        <v>11</v>
      </c>
      <c r="B13" s="124" t="s">
        <v>91</v>
      </c>
      <c r="C13" s="125">
        <v>2258492.7199999993</v>
      </c>
      <c r="D13" s="125">
        <v>2645087.9129999992</v>
      </c>
      <c r="E13" s="126">
        <f t="shared" si="0"/>
        <v>1.2988456960416195E-2</v>
      </c>
      <c r="F13" s="127">
        <f t="shared" si="1"/>
        <v>0.17117398235403658</v>
      </c>
    </row>
    <row r="14" spans="1:6" ht="15.95" customHeight="1" x14ac:dyDescent="0.25">
      <c r="A14">
        <v>12</v>
      </c>
      <c r="B14" s="124" t="s">
        <v>137</v>
      </c>
      <c r="C14" s="125">
        <v>814130.97800000024</v>
      </c>
      <c r="D14" s="125">
        <v>2551951.682</v>
      </c>
      <c r="E14" s="126">
        <f t="shared" si="0"/>
        <v>1.2531120203534319E-2</v>
      </c>
      <c r="F14" s="127">
        <f t="shared" si="1"/>
        <v>2.1345714030795659</v>
      </c>
    </row>
    <row r="15" spans="1:6" ht="15.95" customHeight="1" x14ac:dyDescent="0.25">
      <c r="A15">
        <v>13</v>
      </c>
      <c r="B15" s="124" t="s">
        <v>93</v>
      </c>
      <c r="C15" s="125">
        <v>1649467.6840000011</v>
      </c>
      <c r="D15" s="125">
        <v>2136547.0179999978</v>
      </c>
      <c r="E15" s="126">
        <f t="shared" si="0"/>
        <v>1.0491314428836735E-2</v>
      </c>
      <c r="F15" s="127">
        <f t="shared" si="1"/>
        <v>0.29529486313961417</v>
      </c>
    </row>
    <row r="16" spans="1:6" ht="15.95" customHeight="1" x14ac:dyDescent="0.25">
      <c r="A16">
        <v>14</v>
      </c>
      <c r="B16" s="124" t="s">
        <v>138</v>
      </c>
      <c r="C16" s="125">
        <v>1802534.0440000002</v>
      </c>
      <c r="D16" s="125">
        <v>1924810.6840000004</v>
      </c>
      <c r="E16" s="126">
        <f t="shared" si="0"/>
        <v>9.4516029517251327E-3</v>
      </c>
      <c r="F16" s="127">
        <f t="shared" si="1"/>
        <v>6.7835967041519174E-2</v>
      </c>
    </row>
    <row r="17" spans="1:6" ht="15.95" customHeight="1" x14ac:dyDescent="0.25">
      <c r="A17">
        <v>15</v>
      </c>
      <c r="B17" s="124" t="s">
        <v>92</v>
      </c>
      <c r="C17" s="125">
        <v>2261297.9329999997</v>
      </c>
      <c r="D17" s="125">
        <v>1883657.4730000007</v>
      </c>
      <c r="E17" s="126">
        <f t="shared" si="0"/>
        <v>9.2495239557003131E-3</v>
      </c>
      <c r="F17" s="127">
        <f t="shared" si="1"/>
        <v>-0.1670016385231442</v>
      </c>
    </row>
    <row r="18" spans="1:6" ht="15.95" customHeight="1" x14ac:dyDescent="0.25">
      <c r="B18" s="124" t="s">
        <v>79</v>
      </c>
      <c r="C18" s="125">
        <v>101280080.27700026</v>
      </c>
      <c r="D18" s="125">
        <v>122387162.74699995</v>
      </c>
      <c r="E18" s="126">
        <f t="shared" si="0"/>
        <v>0.60097072314089905</v>
      </c>
      <c r="F18" s="127">
        <f t="shared" si="1"/>
        <v>0.20840309774905363</v>
      </c>
    </row>
    <row r="19" spans="1:6" ht="15.75" x14ac:dyDescent="0.25">
      <c r="B19" s="128" t="s">
        <v>19</v>
      </c>
      <c r="C19" s="129">
        <f>SUM(C3:C18)</f>
        <v>177983522.82300025</v>
      </c>
      <c r="D19" s="129">
        <f>SUM(D3:D18)</f>
        <v>203649126.37899995</v>
      </c>
      <c r="E19" s="130">
        <f t="shared" ref="E19" si="2">SUM(E3:E18)</f>
        <v>1</v>
      </c>
      <c r="F19" s="131">
        <f t="shared" ref="F19" si="3">(D19/C19)-1</f>
        <v>0.14420213258461811</v>
      </c>
    </row>
  </sheetData>
  <mergeCells count="1">
    <mergeCell ref="B1:F1"/>
  </mergeCells>
  <conditionalFormatting sqref="F3:F18">
    <cfRule type="cellIs" dxfId="9" priority="1" operator="lessThan">
      <formula>0%</formula>
    </cfRule>
    <cfRule type="cellIs" dxfId="8" priority="2" operator="greaterThanOrEqual">
      <formula>1%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7FCC-05DC-40D2-9EF5-7FCA29239DCE}">
  <dimension ref="A1:L18"/>
  <sheetViews>
    <sheetView showGridLines="0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4" sqref="I4:L4"/>
    </sheetView>
  </sheetViews>
  <sheetFormatPr baseColWidth="10" defaultRowHeight="15" x14ac:dyDescent="0.25"/>
  <cols>
    <col min="1" max="1" width="6.42578125" customWidth="1"/>
    <col min="2" max="2" width="20.7109375" customWidth="1"/>
    <col min="3" max="3" width="48.140625" customWidth="1"/>
    <col min="4" max="4" width="15.28515625" customWidth="1"/>
    <col min="5" max="5" width="15.42578125" customWidth="1"/>
    <col min="6" max="6" width="12.7109375" customWidth="1"/>
  </cols>
  <sheetData>
    <row r="1" spans="1:12" ht="27.75" customHeight="1" x14ac:dyDescent="0.25">
      <c r="B1" s="140" t="s">
        <v>139</v>
      </c>
      <c r="C1" s="140"/>
      <c r="D1" s="140"/>
      <c r="E1" s="140"/>
      <c r="F1" s="140"/>
      <c r="G1" s="140"/>
    </row>
    <row r="2" spans="1:12" ht="27" customHeight="1" x14ac:dyDescent="0.25">
      <c r="B2" s="27" t="s">
        <v>18</v>
      </c>
      <c r="C2" s="28" t="s">
        <v>97</v>
      </c>
      <c r="D2" s="120">
        <v>2024</v>
      </c>
      <c r="E2" s="120">
        <v>2025</v>
      </c>
      <c r="F2" s="120" t="s">
        <v>80</v>
      </c>
      <c r="G2" s="120" t="s">
        <v>81</v>
      </c>
    </row>
    <row r="3" spans="1:12" ht="15.95" customHeight="1" x14ac:dyDescent="0.25">
      <c r="A3">
        <v>1</v>
      </c>
      <c r="B3" s="132">
        <v>4011800000</v>
      </c>
      <c r="C3" s="124" t="s">
        <v>103</v>
      </c>
      <c r="D3" s="125">
        <v>18516003.938999996</v>
      </c>
      <c r="E3" s="125">
        <v>18038925.892000001</v>
      </c>
      <c r="F3" s="126">
        <f>E3/$E$18</f>
        <v>0.34627203960409164</v>
      </c>
      <c r="G3" s="127">
        <f>IFERROR((E3/D3)-1,"-")</f>
        <v>-2.5765713194472406E-2</v>
      </c>
    </row>
    <row r="4" spans="1:12" ht="15.95" customHeight="1" x14ac:dyDescent="0.25">
      <c r="A4">
        <v>2</v>
      </c>
      <c r="B4" s="132">
        <v>4011201000</v>
      </c>
      <c r="C4" s="124" t="s">
        <v>98</v>
      </c>
      <c r="D4" s="125">
        <v>12280862.040999997</v>
      </c>
      <c r="E4" s="125">
        <v>19735114.639000006</v>
      </c>
      <c r="F4" s="126">
        <f>E4/$E$18</f>
        <v>0.37883177960710801</v>
      </c>
      <c r="G4" s="127">
        <f t="shared" ref="G4:G18" si="0">IFERROR((E4/D4)-1,"-")</f>
        <v>0.60698121785863068</v>
      </c>
      <c r="I4" s="141"/>
      <c r="J4" s="141"/>
      <c r="K4" s="141"/>
      <c r="L4" s="141"/>
    </row>
    <row r="5" spans="1:12" ht="15.95" customHeight="1" x14ac:dyDescent="0.25">
      <c r="A5">
        <v>3</v>
      </c>
      <c r="B5" s="132">
        <v>4011101000</v>
      </c>
      <c r="C5" s="124" t="s">
        <v>98</v>
      </c>
      <c r="D5" s="125">
        <v>5162868.4250000007</v>
      </c>
      <c r="E5" s="125">
        <v>8439695.5209999997</v>
      </c>
      <c r="F5" s="126">
        <f>E5/$E$18</f>
        <v>0.16200690657475575</v>
      </c>
      <c r="G5" s="127">
        <f t="shared" si="0"/>
        <v>0.63469118835814586</v>
      </c>
    </row>
    <row r="6" spans="1:12" ht="15.95" customHeight="1" x14ac:dyDescent="0.25">
      <c r="A6">
        <v>4</v>
      </c>
      <c r="B6" s="132">
        <v>4011400000</v>
      </c>
      <c r="C6" s="124" t="s">
        <v>101</v>
      </c>
      <c r="D6" s="125">
        <v>3144980.8369999998</v>
      </c>
      <c r="E6" s="125">
        <v>3104400.3950000005</v>
      </c>
      <c r="F6" s="126">
        <f>E6/$E$18</f>
        <v>5.9591522408833114E-2</v>
      </c>
      <c r="G6" s="127">
        <f t="shared" si="0"/>
        <v>-1.2903239829820112E-2</v>
      </c>
    </row>
    <row r="7" spans="1:12" ht="15.95" customHeight="1" x14ac:dyDescent="0.25">
      <c r="A7">
        <v>5</v>
      </c>
      <c r="B7" s="132">
        <v>4011209000</v>
      </c>
      <c r="C7" s="124" t="s">
        <v>100</v>
      </c>
      <c r="D7" s="125">
        <v>1047514.8499999999</v>
      </c>
      <c r="E7" s="125">
        <v>655416.46499999997</v>
      </c>
      <c r="F7" s="126">
        <f>E7/$E$18</f>
        <v>1.2581258855678529E-2</v>
      </c>
      <c r="G7" s="127">
        <f t="shared" si="0"/>
        <v>-0.37431296081387289</v>
      </c>
    </row>
    <row r="8" spans="1:12" ht="15.95" customHeight="1" x14ac:dyDescent="0.25">
      <c r="A8">
        <v>6</v>
      </c>
      <c r="B8" s="132">
        <v>4013900000</v>
      </c>
      <c r="C8" s="124" t="s">
        <v>109</v>
      </c>
      <c r="D8" s="125">
        <v>469627.10700000002</v>
      </c>
      <c r="E8" s="125">
        <v>1155049.5329999996</v>
      </c>
      <c r="F8" s="126">
        <f>E8/$E$18</f>
        <v>2.2172127100596406E-2</v>
      </c>
      <c r="G8" s="127">
        <f t="shared" si="0"/>
        <v>1.4595035418174862</v>
      </c>
    </row>
    <row r="9" spans="1:12" ht="15.95" customHeight="1" x14ac:dyDescent="0.25">
      <c r="A9">
        <v>7</v>
      </c>
      <c r="B9" s="132">
        <v>4011700000</v>
      </c>
      <c r="C9" s="124" t="s">
        <v>102</v>
      </c>
      <c r="D9" s="125">
        <v>418840.41999999993</v>
      </c>
      <c r="E9" s="125">
        <v>417513.84300000005</v>
      </c>
      <c r="F9" s="126">
        <f>E9/$E$18</f>
        <v>8.0145220865211649E-3</v>
      </c>
      <c r="G9" s="127">
        <f t="shared" si="0"/>
        <v>-3.1672611731213829E-3</v>
      </c>
    </row>
    <row r="10" spans="1:12" ht="15.95" customHeight="1" x14ac:dyDescent="0.25">
      <c r="A10">
        <v>8</v>
      </c>
      <c r="B10" s="132">
        <v>4016994000</v>
      </c>
      <c r="C10" s="124" t="s">
        <v>110</v>
      </c>
      <c r="D10" s="125">
        <v>377726.04799999995</v>
      </c>
      <c r="E10" s="125">
        <v>229263.41000000003</v>
      </c>
      <c r="F10" s="126">
        <f>E10/$E$18</f>
        <v>4.4008999794436935E-3</v>
      </c>
      <c r="G10" s="127">
        <f t="shared" si="0"/>
        <v>-0.39304315597530604</v>
      </c>
    </row>
    <row r="11" spans="1:12" ht="15.95" customHeight="1" x14ac:dyDescent="0.25">
      <c r="A11">
        <v>9</v>
      </c>
      <c r="B11" s="132">
        <v>4013100000</v>
      </c>
      <c r="C11" s="124" t="s">
        <v>108</v>
      </c>
      <c r="D11" s="125">
        <v>140919.519</v>
      </c>
      <c r="E11" s="125">
        <v>48954.584999999999</v>
      </c>
      <c r="F11" s="126">
        <f>E11/$E$18</f>
        <v>9.3972357874365787E-4</v>
      </c>
      <c r="G11" s="127">
        <f t="shared" si="0"/>
        <v>-0.65260607368380241</v>
      </c>
    </row>
    <row r="12" spans="1:12" ht="15.95" customHeight="1" x14ac:dyDescent="0.25">
      <c r="A12">
        <v>10</v>
      </c>
      <c r="B12" s="132">
        <v>4011109000</v>
      </c>
      <c r="C12" s="124" t="s">
        <v>99</v>
      </c>
      <c r="D12" s="125">
        <v>138847.58099999998</v>
      </c>
      <c r="E12" s="125">
        <v>70001.990000000005</v>
      </c>
      <c r="F12" s="126">
        <f>E12/$E$18</f>
        <v>1.343745852650528E-3</v>
      </c>
      <c r="G12" s="127">
        <f t="shared" si="0"/>
        <v>-0.49583572507467721</v>
      </c>
    </row>
    <row r="13" spans="1:12" ht="15.95" customHeight="1" x14ac:dyDescent="0.25">
      <c r="A13">
        <v>11</v>
      </c>
      <c r="B13" s="132">
        <v>4011900000</v>
      </c>
      <c r="C13" s="124" t="s">
        <v>99</v>
      </c>
      <c r="D13" s="125">
        <v>68003.031999999992</v>
      </c>
      <c r="E13" s="125">
        <v>123312.864</v>
      </c>
      <c r="F13" s="126">
        <f>E13/$E$18</f>
        <v>2.3670919866486452E-3</v>
      </c>
      <c r="G13" s="127">
        <f t="shared" si="0"/>
        <v>0.81334361679638079</v>
      </c>
    </row>
    <row r="14" spans="1:12" ht="15.95" customHeight="1" x14ac:dyDescent="0.25">
      <c r="A14">
        <v>12</v>
      </c>
      <c r="B14" s="132">
        <v>4012902000</v>
      </c>
      <c r="C14" s="124" t="s">
        <v>106</v>
      </c>
      <c r="D14" s="125">
        <v>59399.728999999999</v>
      </c>
      <c r="E14" s="125">
        <v>69682.436000000002</v>
      </c>
      <c r="F14" s="126">
        <f>E14/$E$18</f>
        <v>1.3376117504314642E-3</v>
      </c>
      <c r="G14" s="127">
        <f t="shared" si="0"/>
        <v>0.17311033523402108</v>
      </c>
    </row>
    <row r="15" spans="1:12" ht="15.95" customHeight="1" x14ac:dyDescent="0.25">
      <c r="A15">
        <v>13</v>
      </c>
      <c r="B15" s="132">
        <v>4012903000</v>
      </c>
      <c r="C15" s="124" t="s">
        <v>107</v>
      </c>
      <c r="D15" s="125">
        <v>9986.1840000000011</v>
      </c>
      <c r="E15" s="125">
        <v>45.994</v>
      </c>
      <c r="F15" s="126">
        <f>E15/$E$18</f>
        <v>8.8289271129018457E-7</v>
      </c>
      <c r="G15" s="127">
        <f t="shared" si="0"/>
        <v>-0.99539423667739346</v>
      </c>
    </row>
    <row r="16" spans="1:12" ht="15.95" customHeight="1" x14ac:dyDescent="0.25">
      <c r="A16">
        <v>14</v>
      </c>
      <c r="B16" s="132">
        <v>4012190000</v>
      </c>
      <c r="C16" s="124" t="s">
        <v>105</v>
      </c>
      <c r="D16" s="125">
        <v>160</v>
      </c>
      <c r="E16" s="125">
        <v>687.404</v>
      </c>
      <c r="F16" s="126">
        <f>E16/$E$18</f>
        <v>1.3195285935376745E-5</v>
      </c>
      <c r="G16" s="127">
        <f t="shared" si="0"/>
        <v>3.2962749999999996</v>
      </c>
    </row>
    <row r="17" spans="1:7" ht="15.95" customHeight="1" x14ac:dyDescent="0.25">
      <c r="A17">
        <v>15</v>
      </c>
      <c r="B17" s="132">
        <v>4012120000</v>
      </c>
      <c r="C17" s="124" t="s">
        <v>104</v>
      </c>
      <c r="D17" s="125">
        <v>0</v>
      </c>
      <c r="E17" s="125">
        <v>6600</v>
      </c>
      <c r="F17" s="126">
        <f>E17/$E$18</f>
        <v>1.2669243585065917E-4</v>
      </c>
      <c r="G17" s="127" t="str">
        <f t="shared" si="0"/>
        <v>-</v>
      </c>
    </row>
    <row r="18" spans="1:7" ht="15.75" x14ac:dyDescent="0.25">
      <c r="B18" s="128" t="s">
        <v>19</v>
      </c>
      <c r="C18" s="129"/>
      <c r="D18" s="129">
        <f>SUM(D3:D17)</f>
        <v>41835739.711999997</v>
      </c>
      <c r="E18" s="129">
        <f>SUM(E3:E17)</f>
        <v>52094664.971000008</v>
      </c>
      <c r="F18" s="130">
        <f>SUM(F3:F17)</f>
        <v>0.99999999999999978</v>
      </c>
      <c r="G18" s="127">
        <f t="shared" si="0"/>
        <v>0.24521916738231786</v>
      </c>
    </row>
  </sheetData>
  <sortState xmlns:xlrd2="http://schemas.microsoft.com/office/spreadsheetml/2017/richdata2" ref="B3:E17">
    <sortCondition descending="1" ref="E3:E17"/>
  </sortState>
  <mergeCells count="2">
    <mergeCell ref="B1:G1"/>
    <mergeCell ref="I4:L4"/>
  </mergeCells>
  <conditionalFormatting sqref="G3:G18">
    <cfRule type="cellIs" dxfId="7" priority="1" operator="lessThan">
      <formula>0%</formula>
    </cfRule>
    <cfRule type="cellIs" dxfId="6" priority="2" operator="greaterThanOrEqual">
      <formula>1%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2B7D2-F2DC-4A1F-AB0C-021F4FD6ECA1}">
  <dimension ref="A1:G8"/>
  <sheetViews>
    <sheetView showGridLines="0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baseColWidth="10" defaultRowHeight="15" x14ac:dyDescent="0.25"/>
  <cols>
    <col min="1" max="1" width="6.42578125" customWidth="1"/>
    <col min="2" max="2" width="20.7109375" customWidth="1"/>
    <col min="3" max="3" width="43.7109375" customWidth="1"/>
    <col min="4" max="4" width="16.7109375" customWidth="1"/>
    <col min="5" max="5" width="14.42578125" customWidth="1"/>
    <col min="6" max="6" width="12.7109375" customWidth="1"/>
  </cols>
  <sheetData>
    <row r="1" spans="1:7" ht="27.75" customHeight="1" x14ac:dyDescent="0.25">
      <c r="B1" s="140" t="s">
        <v>142</v>
      </c>
      <c r="C1" s="140"/>
      <c r="D1" s="140"/>
      <c r="E1" s="140"/>
      <c r="F1" s="140"/>
      <c r="G1" s="140"/>
    </row>
    <row r="2" spans="1:7" ht="27" customHeight="1" x14ac:dyDescent="0.25">
      <c r="B2" s="27" t="s">
        <v>18</v>
      </c>
      <c r="C2" s="28" t="s">
        <v>97</v>
      </c>
      <c r="D2" s="120">
        <v>2024</v>
      </c>
      <c r="E2" s="120">
        <v>2025</v>
      </c>
      <c r="F2" s="120" t="s">
        <v>80</v>
      </c>
      <c r="G2" s="120" t="s">
        <v>81</v>
      </c>
    </row>
    <row r="3" spans="1:7" ht="15.95" customHeight="1" x14ac:dyDescent="0.25">
      <c r="A3">
        <v>1</v>
      </c>
      <c r="B3" s="132">
        <v>2710193800</v>
      </c>
      <c r="C3" s="124" t="s">
        <v>114</v>
      </c>
      <c r="D3" s="125">
        <v>12642186.514999997</v>
      </c>
      <c r="E3" s="125">
        <v>14020975.133000005</v>
      </c>
      <c r="F3" s="126">
        <f>E3/$E$8</f>
        <v>0.5017569122625235</v>
      </c>
      <c r="G3" s="127">
        <f>(E3/D3)-1</f>
        <v>0.10906251196057504</v>
      </c>
    </row>
    <row r="4" spans="1:7" ht="15.95" customHeight="1" x14ac:dyDescent="0.25">
      <c r="A4">
        <v>2</v>
      </c>
      <c r="B4" s="132">
        <v>2710193500</v>
      </c>
      <c r="C4" s="124" t="s">
        <v>112</v>
      </c>
      <c r="D4" s="125">
        <v>10628224.171999997</v>
      </c>
      <c r="E4" s="125">
        <v>8912920.5179999992</v>
      </c>
      <c r="F4" s="126">
        <f>E4/$E$8</f>
        <v>0.31895923328665743</v>
      </c>
      <c r="G4" s="127">
        <f t="shared" ref="G4:G8" si="0">(E4/D4)-1</f>
        <v>-0.16139136945558186</v>
      </c>
    </row>
    <row r="5" spans="1:7" ht="15.95" customHeight="1" x14ac:dyDescent="0.25">
      <c r="A5">
        <v>3</v>
      </c>
      <c r="B5" s="132">
        <v>3403990000</v>
      </c>
      <c r="C5" s="124" t="s">
        <v>115</v>
      </c>
      <c r="D5" s="125">
        <v>2996539.4879999976</v>
      </c>
      <c r="E5" s="125">
        <v>2233911.1490000007</v>
      </c>
      <c r="F5" s="126">
        <f>E5/$E$8</f>
        <v>7.9943110215846783E-2</v>
      </c>
      <c r="G5" s="127">
        <f t="shared" si="0"/>
        <v>-0.25450301658097074</v>
      </c>
    </row>
    <row r="6" spans="1:7" ht="15.95" customHeight="1" x14ac:dyDescent="0.25">
      <c r="A6">
        <v>4</v>
      </c>
      <c r="B6" s="132">
        <v>2710193600</v>
      </c>
      <c r="C6" s="124" t="s">
        <v>113</v>
      </c>
      <c r="D6" s="125">
        <v>1899053.9410000006</v>
      </c>
      <c r="E6" s="125">
        <v>1543195.5159999991</v>
      </c>
      <c r="F6" s="126">
        <f>E6/$E$8</f>
        <v>5.5225047457869353E-2</v>
      </c>
      <c r="G6" s="127">
        <f t="shared" si="0"/>
        <v>-0.18738721282061854</v>
      </c>
    </row>
    <row r="7" spans="1:7" ht="15.95" customHeight="1" x14ac:dyDescent="0.25">
      <c r="A7">
        <v>5</v>
      </c>
      <c r="B7" s="132">
        <v>2710193400</v>
      </c>
      <c r="C7" s="124" t="s">
        <v>111</v>
      </c>
      <c r="D7" s="125">
        <v>1842894.3059999999</v>
      </c>
      <c r="E7" s="125">
        <v>1232758.4780000004</v>
      </c>
      <c r="F7" s="126">
        <f>E7/$E$8</f>
        <v>4.4115696777102899E-2</v>
      </c>
      <c r="G7" s="127">
        <f t="shared" si="0"/>
        <v>-0.33107478058483919</v>
      </c>
    </row>
    <row r="8" spans="1:7" ht="15.75" x14ac:dyDescent="0.25">
      <c r="B8" s="128" t="s">
        <v>19</v>
      </c>
      <c r="C8" s="129"/>
      <c r="D8" s="129">
        <f>SUM(D3:D7)</f>
        <v>30008898.421999991</v>
      </c>
      <c r="E8" s="129">
        <f>SUM(E3:E7)</f>
        <v>27943760.794000003</v>
      </c>
      <c r="F8" s="130">
        <f>SUM(F3:F7)</f>
        <v>1</v>
      </c>
      <c r="G8" s="127">
        <f t="shared" si="0"/>
        <v>-6.8817508692221918E-2</v>
      </c>
    </row>
  </sheetData>
  <sortState xmlns:xlrd2="http://schemas.microsoft.com/office/spreadsheetml/2017/richdata2" ref="B3:E7">
    <sortCondition descending="1" ref="E3:E7"/>
  </sortState>
  <mergeCells count="1">
    <mergeCell ref="B1:G1"/>
  </mergeCells>
  <conditionalFormatting sqref="G3:G8">
    <cfRule type="cellIs" dxfId="5" priority="1" operator="lessThan">
      <formula>0%</formula>
    </cfRule>
    <cfRule type="cellIs" dxfId="4" priority="2" operator="greaterThanOrEqual">
      <formula>1%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71C4-A29E-49E1-AD50-C4EB3F6374BA}">
  <dimension ref="A1:G8"/>
  <sheetViews>
    <sheetView showGridLines="0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2" sqref="E12"/>
    </sheetView>
  </sheetViews>
  <sheetFormatPr baseColWidth="10" defaultRowHeight="15" x14ac:dyDescent="0.25"/>
  <cols>
    <col min="1" max="1" width="6.42578125" customWidth="1"/>
    <col min="2" max="2" width="20.7109375" customWidth="1"/>
    <col min="3" max="3" width="52.42578125" customWidth="1"/>
    <col min="4" max="4" width="16.7109375" customWidth="1"/>
    <col min="5" max="5" width="14.42578125" customWidth="1"/>
    <col min="6" max="6" width="12.7109375" customWidth="1"/>
  </cols>
  <sheetData>
    <row r="1" spans="1:7" ht="27.75" customHeight="1" x14ac:dyDescent="0.25">
      <c r="B1" s="140" t="s">
        <v>140</v>
      </c>
      <c r="C1" s="140"/>
      <c r="D1" s="140"/>
      <c r="E1" s="140"/>
      <c r="F1" s="140"/>
      <c r="G1" s="140"/>
    </row>
    <row r="2" spans="1:7" ht="27" customHeight="1" x14ac:dyDescent="0.25">
      <c r="B2" s="27" t="s">
        <v>18</v>
      </c>
      <c r="C2" s="28" t="s">
        <v>97</v>
      </c>
      <c r="D2" s="120">
        <v>2024</v>
      </c>
      <c r="E2" s="120">
        <v>2025</v>
      </c>
      <c r="F2" s="120" t="s">
        <v>80</v>
      </c>
      <c r="G2" s="120" t="s">
        <v>81</v>
      </c>
    </row>
    <row r="3" spans="1:7" ht="30" customHeight="1" x14ac:dyDescent="0.25">
      <c r="A3" s="55">
        <v>1</v>
      </c>
      <c r="B3" s="133">
        <v>8421230000</v>
      </c>
      <c r="C3" s="136" t="s">
        <v>116</v>
      </c>
      <c r="D3" s="134">
        <v>6541877.5140000023</v>
      </c>
      <c r="E3" s="134">
        <v>6936813.3170000007</v>
      </c>
      <c r="F3" s="135">
        <f>E3/$E$8</f>
        <v>0.35615021606546493</v>
      </c>
      <c r="G3" s="127">
        <f>(E3/D3)-1</f>
        <v>6.0370406225859874E-2</v>
      </c>
    </row>
    <row r="4" spans="1:7" ht="30" customHeight="1" x14ac:dyDescent="0.25">
      <c r="A4" s="55">
        <v>2</v>
      </c>
      <c r="B4" s="133">
        <v>8421310000</v>
      </c>
      <c r="C4" s="136" t="s">
        <v>118</v>
      </c>
      <c r="D4" s="134">
        <v>2777807.6460000006</v>
      </c>
      <c r="E4" s="134">
        <v>3558028.8950000023</v>
      </c>
      <c r="F4" s="135">
        <f>E4/$E$8</f>
        <v>0.18267649737897915</v>
      </c>
      <c r="G4" s="127">
        <f t="shared" ref="G4:G8" si="0">(E4/D4)-1</f>
        <v>0.28087662949718939</v>
      </c>
    </row>
    <row r="5" spans="1:7" ht="30" customHeight="1" x14ac:dyDescent="0.25">
      <c r="A5" s="55">
        <v>3</v>
      </c>
      <c r="B5" s="133">
        <v>8421399000</v>
      </c>
      <c r="C5" s="136" t="s">
        <v>119</v>
      </c>
      <c r="D5" s="134">
        <v>2729650.9480000003</v>
      </c>
      <c r="E5" s="134">
        <v>3694960.9809999997</v>
      </c>
      <c r="F5" s="135">
        <f>E5/$E$8</f>
        <v>0.18970687138308814</v>
      </c>
      <c r="G5" s="127">
        <f t="shared" si="0"/>
        <v>0.35363863416576269</v>
      </c>
    </row>
    <row r="6" spans="1:7" ht="30" customHeight="1" x14ac:dyDescent="0.25">
      <c r="A6" s="55">
        <v>4</v>
      </c>
      <c r="B6" s="133">
        <v>8421991000</v>
      </c>
      <c r="C6" s="136" t="s">
        <v>120</v>
      </c>
      <c r="D6" s="134">
        <v>2677235.6710000006</v>
      </c>
      <c r="E6" s="134">
        <v>3412795.2729999991</v>
      </c>
      <c r="F6" s="135">
        <f>E6/$E$8</f>
        <v>0.17521990549859667</v>
      </c>
      <c r="G6" s="127">
        <f t="shared" si="0"/>
        <v>0.27474592915656637</v>
      </c>
    </row>
    <row r="7" spans="1:7" ht="30" customHeight="1" x14ac:dyDescent="0.25">
      <c r="A7" s="55">
        <v>5</v>
      </c>
      <c r="B7" s="133">
        <v>8421299000</v>
      </c>
      <c r="C7" s="136" t="s">
        <v>117</v>
      </c>
      <c r="D7" s="134">
        <v>1365814.5709999984</v>
      </c>
      <c r="E7" s="134">
        <v>1874613.6880000003</v>
      </c>
      <c r="F7" s="135">
        <f>E7/$E$8</f>
        <v>9.6246509673871064E-2</v>
      </c>
      <c r="G7" s="127">
        <f t="shared" si="0"/>
        <v>0.37252430000617021</v>
      </c>
    </row>
    <row r="8" spans="1:7" ht="15.75" x14ac:dyDescent="0.25">
      <c r="B8" s="128" t="s">
        <v>19</v>
      </c>
      <c r="C8" s="129"/>
      <c r="D8" s="129">
        <f>SUM(D3:D7)</f>
        <v>16092386.350000003</v>
      </c>
      <c r="E8" s="129">
        <f>SUM(E3:E7)</f>
        <v>19477212.154000003</v>
      </c>
      <c r="F8" s="130">
        <f>SUM(F3:F7)</f>
        <v>1</v>
      </c>
      <c r="G8" s="127">
        <f t="shared" si="0"/>
        <v>0.21033709546750967</v>
      </c>
    </row>
  </sheetData>
  <sortState xmlns:xlrd2="http://schemas.microsoft.com/office/spreadsheetml/2017/richdata2" ref="B3:E7">
    <sortCondition descending="1" ref="E3:E7"/>
  </sortState>
  <mergeCells count="1">
    <mergeCell ref="B1:G1"/>
  </mergeCells>
  <conditionalFormatting sqref="G3:G8">
    <cfRule type="cellIs" dxfId="3" priority="1" operator="lessThan">
      <formula>0%</formula>
    </cfRule>
    <cfRule type="cellIs" dxfId="2" priority="2" operator="greaterThanOrEqual">
      <formula>1%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9280-C05F-4A03-BB82-1D2AC01ABFE6}">
  <dimension ref="A1:G4"/>
  <sheetViews>
    <sheetView showGridLines="0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baseColWidth="10" defaultRowHeight="15" x14ac:dyDescent="0.25"/>
  <cols>
    <col min="1" max="1" width="6.42578125" customWidth="1"/>
    <col min="2" max="2" width="20.7109375" customWidth="1"/>
    <col min="3" max="3" width="52.42578125" customWidth="1"/>
    <col min="4" max="4" width="16.7109375" customWidth="1"/>
    <col min="5" max="5" width="14.42578125" customWidth="1"/>
    <col min="6" max="6" width="12.7109375" customWidth="1"/>
  </cols>
  <sheetData>
    <row r="1" spans="1:7" ht="27.75" customHeight="1" x14ac:dyDescent="0.25">
      <c r="B1" s="140" t="s">
        <v>142</v>
      </c>
      <c r="C1" s="140"/>
      <c r="D1" s="140"/>
      <c r="E1" s="140"/>
      <c r="F1" s="140"/>
      <c r="G1" s="140"/>
    </row>
    <row r="2" spans="1:7" ht="27" customHeight="1" x14ac:dyDescent="0.25">
      <c r="B2" s="27" t="s">
        <v>18</v>
      </c>
      <c r="C2" s="28" t="s">
        <v>97</v>
      </c>
      <c r="D2" s="120">
        <v>2024</v>
      </c>
      <c r="E2" s="120">
        <v>2025</v>
      </c>
      <c r="F2" s="120" t="s">
        <v>80</v>
      </c>
      <c r="G2" s="120" t="s">
        <v>81</v>
      </c>
    </row>
    <row r="3" spans="1:7" ht="49.5" customHeight="1" x14ac:dyDescent="0.25">
      <c r="A3" s="55">
        <v>1</v>
      </c>
      <c r="B3" s="133">
        <v>8507100000</v>
      </c>
      <c r="C3" s="136" t="s">
        <v>121</v>
      </c>
      <c r="D3" s="134">
        <v>4925436.5640000012</v>
      </c>
      <c r="E3" s="134">
        <v>4564700.9070000015</v>
      </c>
      <c r="F3" s="135">
        <f>E3/$E$4</f>
        <v>1</v>
      </c>
      <c r="G3" s="127">
        <f>(E3/D3)-1</f>
        <v>-7.323932656784482E-2</v>
      </c>
    </row>
    <row r="4" spans="1:7" ht="15.75" x14ac:dyDescent="0.25">
      <c r="B4" s="128" t="s">
        <v>19</v>
      </c>
      <c r="C4" s="129"/>
      <c r="D4" s="129">
        <f>SUM(D3:D3)</f>
        <v>4925436.5640000012</v>
      </c>
      <c r="E4" s="129">
        <f>SUM(E3:E3)</f>
        <v>4564700.9070000015</v>
      </c>
      <c r="F4" s="130">
        <f>SUM(F3:F3)</f>
        <v>1</v>
      </c>
      <c r="G4" s="127">
        <f t="shared" ref="G4" si="0">(E4/D4)-1</f>
        <v>-7.323932656784482E-2</v>
      </c>
    </row>
  </sheetData>
  <mergeCells count="1">
    <mergeCell ref="B1:G1"/>
  </mergeCells>
  <conditionalFormatting sqref="G3:G4">
    <cfRule type="cellIs" dxfId="1" priority="1" operator="lessThan">
      <formula>0%</formula>
    </cfRule>
    <cfRule type="cellIs" dxfId="0" priority="2" operator="greaterThanOrEqual">
      <formula>1%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Resumen</vt:lpstr>
      <vt:lpstr>Detalle_partidas</vt:lpstr>
      <vt:lpstr>Nuevo_Usado</vt:lpstr>
      <vt:lpstr>Origen</vt:lpstr>
      <vt:lpstr>Importador</vt:lpstr>
      <vt:lpstr>Neumaticos</vt:lpstr>
      <vt:lpstr>Lubricantes</vt:lpstr>
      <vt:lpstr>Filtros</vt:lpstr>
      <vt:lpstr>Baterias</vt:lpstr>
      <vt:lpstr>Detalle_partidas!Área_de_impresión</vt:lpstr>
      <vt:lpstr>Resumen!Área_de_impresión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Hidalgo Antigoni</dc:creator>
  <cp:lastModifiedBy>Cristian Aliaga</cp:lastModifiedBy>
  <cp:lastPrinted>2019-05-15T17:25:33Z</cp:lastPrinted>
  <dcterms:created xsi:type="dcterms:W3CDTF">2012-05-03T18:01:00Z</dcterms:created>
  <dcterms:modified xsi:type="dcterms:W3CDTF">2025-02-10T11:46:04Z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6abcbd38-fc9d-4a83-b79c-a05a492b2dd4</vt:lpwstr>
  </property>
</Properties>
</file>