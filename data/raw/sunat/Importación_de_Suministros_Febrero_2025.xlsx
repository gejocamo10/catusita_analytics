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01. Estadisticas\01. Inmatriculaciones\03. Reportes\2025\Febrero\Detallado\"/>
    </mc:Choice>
  </mc:AlternateContent>
  <xr:revisionPtr revIDLastSave="0" documentId="13_ncr:1_{86B1C1CC-2761-452E-BBF7-80B4875B1F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" sheetId="13" r:id="rId1"/>
    <sheet name="Detalle_partidas" sheetId="17" r:id="rId2"/>
    <sheet name="Nuevo_Usado" sheetId="18" r:id="rId3"/>
    <sheet name="Origen" sheetId="19" r:id="rId4"/>
    <sheet name="Importador" sheetId="20" r:id="rId5"/>
    <sheet name="Neumaticos" sheetId="24" r:id="rId6"/>
    <sheet name="Lubricantes" sheetId="25" r:id="rId7"/>
    <sheet name="Filtros" sheetId="27" r:id="rId8"/>
    <sheet name="Baterias" sheetId="29" r:id="rId9"/>
  </sheets>
  <definedNames>
    <definedName name="_xlnm._FilterDatabase" localSheetId="1" hidden="1">Detalle_partidas!$B$3:$AC$150</definedName>
    <definedName name="_xlnm._FilterDatabase" localSheetId="0" hidden="1">Resumen!$B$3:$AB$21</definedName>
    <definedName name="_xlnm.Print_Area" localSheetId="1">Detalle_partidas!$A$1:$AA$153</definedName>
    <definedName name="_xlnm.Print_Area" localSheetId="0">Resumen!$A$1:$AB$25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51" i="17" l="1"/>
  <c r="Y150" i="17"/>
  <c r="Y149" i="17"/>
  <c r="Y148" i="17"/>
  <c r="Y147" i="17"/>
  <c r="Y146" i="17"/>
  <c r="Y145" i="17"/>
  <c r="Y144" i="17"/>
  <c r="Y143" i="17"/>
  <c r="Y142" i="17"/>
  <c r="Y141" i="17"/>
  <c r="Y140" i="17"/>
  <c r="Y139" i="17"/>
  <c r="Y138" i="17"/>
  <c r="Y137" i="17"/>
  <c r="Y136" i="17"/>
  <c r="Y135" i="17"/>
  <c r="Y134" i="17"/>
  <c r="Y133" i="17"/>
  <c r="Y132" i="17"/>
  <c r="Y131" i="17"/>
  <c r="Y130" i="17"/>
  <c r="Y129" i="17"/>
  <c r="Y128" i="17"/>
  <c r="Y127" i="17"/>
  <c r="Y126" i="17"/>
  <c r="Y125" i="17"/>
  <c r="Y124" i="17"/>
  <c r="Y123" i="17"/>
  <c r="Y122" i="17"/>
  <c r="Y121" i="17"/>
  <c r="Y120" i="17"/>
  <c r="Y119" i="17"/>
  <c r="Y118" i="17"/>
  <c r="Y117" i="17"/>
  <c r="Y116" i="17"/>
  <c r="Y115" i="17"/>
  <c r="Y114" i="17"/>
  <c r="Y113" i="17"/>
  <c r="Y112" i="17"/>
  <c r="Y111" i="17"/>
  <c r="Y110" i="17"/>
  <c r="Y109" i="17"/>
  <c r="Y108" i="17"/>
  <c r="Y107" i="17"/>
  <c r="Y106" i="17"/>
  <c r="Y105" i="17"/>
  <c r="Y104" i="17"/>
  <c r="Y103" i="17"/>
  <c r="Y102" i="17"/>
  <c r="Y101" i="17"/>
  <c r="Y100" i="17"/>
  <c r="Y99" i="17"/>
  <c r="Y98" i="17"/>
  <c r="Y97" i="17"/>
  <c r="Y96" i="17"/>
  <c r="Y95" i="17"/>
  <c r="Y94" i="17"/>
  <c r="Y93" i="17"/>
  <c r="Y92" i="17"/>
  <c r="Y91" i="17"/>
  <c r="Y90" i="17"/>
  <c r="Y89" i="17"/>
  <c r="Y88" i="17"/>
  <c r="Y87" i="17"/>
  <c r="Y86" i="17"/>
  <c r="Y85" i="17"/>
  <c r="Y84" i="17"/>
  <c r="Y83" i="17"/>
  <c r="Y82" i="17"/>
  <c r="Y81" i="17"/>
  <c r="Y80" i="17"/>
  <c r="Y79" i="17"/>
  <c r="Y78" i="17"/>
  <c r="Y77" i="17"/>
  <c r="Y76" i="17"/>
  <c r="Y75" i="17"/>
  <c r="Y74" i="17"/>
  <c r="Y73" i="17"/>
  <c r="Y72" i="17"/>
  <c r="Y71" i="17"/>
  <c r="Y70" i="17"/>
  <c r="Y69" i="17"/>
  <c r="Y68" i="17"/>
  <c r="Y67" i="17"/>
  <c r="Y66" i="17"/>
  <c r="Y65" i="17"/>
  <c r="Y64" i="17"/>
  <c r="Y63" i="17"/>
  <c r="Y62" i="17"/>
  <c r="Y61" i="17"/>
  <c r="Y60" i="17"/>
  <c r="Y59" i="17"/>
  <c r="Y58" i="17"/>
  <c r="Y57" i="17"/>
  <c r="Y56" i="17"/>
  <c r="Y55" i="17"/>
  <c r="Y54" i="17"/>
  <c r="Y53" i="17"/>
  <c r="Y52" i="17"/>
  <c r="Y51" i="17"/>
  <c r="Y50" i="17"/>
  <c r="Y49" i="17"/>
  <c r="Y48" i="17"/>
  <c r="Y47" i="17"/>
  <c r="Y46" i="17"/>
  <c r="Y45" i="17"/>
  <c r="Y44" i="17"/>
  <c r="Y43" i="17"/>
  <c r="Y42" i="17"/>
  <c r="Y41" i="17"/>
  <c r="Y40" i="17"/>
  <c r="Y39" i="17"/>
  <c r="Y38" i="17"/>
  <c r="Y37" i="17"/>
  <c r="Y36" i="17"/>
  <c r="Y35" i="17"/>
  <c r="Y34" i="17"/>
  <c r="Y33" i="17"/>
  <c r="Y32" i="17"/>
  <c r="Y31" i="17"/>
  <c r="Y30" i="17"/>
  <c r="Y29" i="17"/>
  <c r="Y28" i="17"/>
  <c r="Y27" i="17"/>
  <c r="Y26" i="17"/>
  <c r="Y25" i="17"/>
  <c r="Y24" i="17"/>
  <c r="Y23" i="17"/>
  <c r="Y22" i="17"/>
  <c r="Y21" i="17"/>
  <c r="Y20" i="17"/>
  <c r="Y19" i="17"/>
  <c r="Y18" i="17"/>
  <c r="Y17" i="17"/>
  <c r="Y16" i="17"/>
  <c r="Y15" i="17"/>
  <c r="Y14" i="17"/>
  <c r="Y13" i="17"/>
  <c r="Y12" i="17"/>
  <c r="Y11" i="17"/>
  <c r="Y10" i="17"/>
  <c r="Y9" i="17"/>
  <c r="Y8" i="17"/>
  <c r="Y7" i="17"/>
  <c r="Y6" i="17"/>
  <c r="Y5" i="17"/>
  <c r="W151" i="17"/>
  <c r="W150" i="17"/>
  <c r="W149" i="17"/>
  <c r="W148" i="17"/>
  <c r="W147" i="17"/>
  <c r="W146" i="17"/>
  <c r="W145" i="17"/>
  <c r="W144" i="17"/>
  <c r="W143" i="17"/>
  <c r="W142" i="17"/>
  <c r="W141" i="17"/>
  <c r="W140" i="17"/>
  <c r="W139" i="17"/>
  <c r="W138" i="17"/>
  <c r="W137" i="17"/>
  <c r="W136" i="17"/>
  <c r="W135" i="17"/>
  <c r="W134" i="17"/>
  <c r="W133" i="17"/>
  <c r="W132" i="17"/>
  <c r="W131" i="17"/>
  <c r="W130" i="17"/>
  <c r="W129" i="17"/>
  <c r="W128" i="17"/>
  <c r="W127" i="17"/>
  <c r="W126" i="17"/>
  <c r="W125" i="17"/>
  <c r="W124" i="17"/>
  <c r="W123" i="17"/>
  <c r="W122" i="17"/>
  <c r="W121" i="17"/>
  <c r="W120" i="17"/>
  <c r="W119" i="17"/>
  <c r="W118" i="17"/>
  <c r="W117" i="17"/>
  <c r="W116" i="17"/>
  <c r="W115" i="17"/>
  <c r="W114" i="17"/>
  <c r="W113" i="17"/>
  <c r="W112" i="17"/>
  <c r="W111" i="17"/>
  <c r="W110" i="17"/>
  <c r="W109" i="17"/>
  <c r="W108" i="17"/>
  <c r="W107" i="17"/>
  <c r="W106" i="17"/>
  <c r="W105" i="17"/>
  <c r="W104" i="17"/>
  <c r="W103" i="17"/>
  <c r="W102" i="17"/>
  <c r="W101" i="17"/>
  <c r="W100" i="17"/>
  <c r="W99" i="17"/>
  <c r="W98" i="17"/>
  <c r="W97" i="17"/>
  <c r="W96" i="17"/>
  <c r="W95" i="17"/>
  <c r="W94" i="17"/>
  <c r="W93" i="17"/>
  <c r="W92" i="17"/>
  <c r="W91" i="17"/>
  <c r="W90" i="17"/>
  <c r="W89" i="17"/>
  <c r="W88" i="17"/>
  <c r="W87" i="17"/>
  <c r="W86" i="17"/>
  <c r="W85" i="17"/>
  <c r="W84" i="17"/>
  <c r="W83" i="17"/>
  <c r="W82" i="17"/>
  <c r="W81" i="17"/>
  <c r="W80" i="17"/>
  <c r="W79" i="17"/>
  <c r="W78" i="17"/>
  <c r="W77" i="17"/>
  <c r="W76" i="17"/>
  <c r="W75" i="17"/>
  <c r="W74" i="17"/>
  <c r="W73" i="17"/>
  <c r="W72" i="17"/>
  <c r="W71" i="17"/>
  <c r="W70" i="17"/>
  <c r="W69" i="17"/>
  <c r="W68" i="17"/>
  <c r="W67" i="17"/>
  <c r="W66" i="17"/>
  <c r="W65" i="17"/>
  <c r="W64" i="17"/>
  <c r="W63" i="17"/>
  <c r="W62" i="17"/>
  <c r="W61" i="17"/>
  <c r="W60" i="17"/>
  <c r="W59" i="17"/>
  <c r="W58" i="17"/>
  <c r="W57" i="17"/>
  <c r="W56" i="17"/>
  <c r="W55" i="17"/>
  <c r="W54" i="17"/>
  <c r="W53" i="17"/>
  <c r="W52" i="17"/>
  <c r="W51" i="17"/>
  <c r="W50" i="17"/>
  <c r="W49" i="17"/>
  <c r="W48" i="17"/>
  <c r="W47" i="17"/>
  <c r="W46" i="17"/>
  <c r="W45" i="17"/>
  <c r="W44" i="17"/>
  <c r="W43" i="17"/>
  <c r="W42" i="17"/>
  <c r="W41" i="17"/>
  <c r="W40" i="17"/>
  <c r="W39" i="17"/>
  <c r="W38" i="17"/>
  <c r="W37" i="17"/>
  <c r="W36" i="17"/>
  <c r="W35" i="17"/>
  <c r="W34" i="17"/>
  <c r="W33" i="17"/>
  <c r="W32" i="17"/>
  <c r="W31" i="17"/>
  <c r="W30" i="17"/>
  <c r="W29" i="17"/>
  <c r="W28" i="17"/>
  <c r="W27" i="17"/>
  <c r="W26" i="17"/>
  <c r="W25" i="17"/>
  <c r="W24" i="17"/>
  <c r="W23" i="17"/>
  <c r="W22" i="17"/>
  <c r="W21" i="17"/>
  <c r="W20" i="17"/>
  <c r="W19" i="17"/>
  <c r="W18" i="17"/>
  <c r="W17" i="17"/>
  <c r="W16" i="17"/>
  <c r="W15" i="17"/>
  <c r="W14" i="17"/>
  <c r="W13" i="17"/>
  <c r="W12" i="17"/>
  <c r="W11" i="17"/>
  <c r="W10" i="17"/>
  <c r="W9" i="17"/>
  <c r="W8" i="17"/>
  <c r="W7" i="17"/>
  <c r="W6" i="17"/>
  <c r="W5" i="17"/>
  <c r="X23" i="13"/>
  <c r="X21" i="13"/>
  <c r="X20" i="13"/>
  <c r="X19" i="13"/>
  <c r="X18" i="13"/>
  <c r="X17" i="13"/>
  <c r="X16" i="13"/>
  <c r="X15" i="13"/>
  <c r="X14" i="13"/>
  <c r="X13" i="13"/>
  <c r="X12" i="13"/>
  <c r="X11" i="13"/>
  <c r="X10" i="13"/>
  <c r="X9" i="13"/>
  <c r="X8" i="13"/>
  <c r="X7" i="13"/>
  <c r="X6" i="13"/>
  <c r="X5" i="13"/>
  <c r="V23" i="13"/>
  <c r="V21" i="13"/>
  <c r="V20" i="13"/>
  <c r="V19" i="13"/>
  <c r="V18" i="13"/>
  <c r="V17" i="13"/>
  <c r="V16" i="13"/>
  <c r="V15" i="13"/>
  <c r="V14" i="13"/>
  <c r="V13" i="13"/>
  <c r="V12" i="13"/>
  <c r="V11" i="13"/>
  <c r="V10" i="13"/>
  <c r="V9" i="13"/>
  <c r="V8" i="13"/>
  <c r="V7" i="13"/>
  <c r="V6" i="13"/>
  <c r="V5" i="13"/>
  <c r="Y4" i="17"/>
  <c r="W4" i="17"/>
  <c r="X4" i="13"/>
  <c r="V4" i="13"/>
  <c r="G17" i="24" l="1"/>
  <c r="G16" i="24"/>
  <c r="G15" i="24"/>
  <c r="G14" i="24"/>
  <c r="G13" i="24"/>
  <c r="G12" i="24"/>
  <c r="G11" i="24"/>
  <c r="G10" i="24"/>
  <c r="G9" i="24"/>
  <c r="G8" i="24"/>
  <c r="G7" i="24"/>
  <c r="G6" i="24"/>
  <c r="G5" i="24"/>
  <c r="G4" i="24"/>
  <c r="G3" i="24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4" i="18"/>
  <c r="E4" i="29" l="1"/>
  <c r="G4" i="29" s="1"/>
  <c r="D4" i="29"/>
  <c r="G3" i="29"/>
  <c r="E8" i="27"/>
  <c r="D8" i="27"/>
  <c r="G7" i="27"/>
  <c r="G6" i="27"/>
  <c r="G5" i="27"/>
  <c r="G4" i="27"/>
  <c r="G3" i="27"/>
  <c r="F18" i="20"/>
  <c r="F17" i="20"/>
  <c r="F16" i="20"/>
  <c r="F15" i="20"/>
  <c r="F14" i="20"/>
  <c r="F13" i="20"/>
  <c r="F12" i="20"/>
  <c r="F11" i="20"/>
  <c r="F10" i="20"/>
  <c r="F9" i="20"/>
  <c r="F8" i="20"/>
  <c r="F7" i="20"/>
  <c r="F6" i="20"/>
  <c r="F5" i="20"/>
  <c r="F4" i="20"/>
  <c r="F3" i="20"/>
  <c r="E8" i="25"/>
  <c r="D8" i="25"/>
  <c r="G7" i="25"/>
  <c r="G6" i="25"/>
  <c r="G5" i="25"/>
  <c r="G4" i="25"/>
  <c r="G3" i="25"/>
  <c r="D18" i="24"/>
  <c r="E18" i="24"/>
  <c r="P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F14" i="24" l="1"/>
  <c r="G18" i="24"/>
  <c r="F3" i="29"/>
  <c r="G8" i="27"/>
  <c r="F3" i="24"/>
  <c r="F4" i="24"/>
  <c r="F6" i="24"/>
  <c r="F9" i="24"/>
  <c r="F17" i="24"/>
  <c r="F11" i="24"/>
  <c r="F15" i="24"/>
  <c r="F8" i="24"/>
  <c r="F3" i="27"/>
  <c r="F4" i="27"/>
  <c r="F5" i="27"/>
  <c r="F6" i="27"/>
  <c r="F7" i="27"/>
  <c r="G8" i="25"/>
  <c r="F7" i="25"/>
  <c r="F5" i="25"/>
  <c r="F6" i="25"/>
  <c r="F3" i="25"/>
  <c r="F4" i="25"/>
  <c r="F13" i="24"/>
  <c r="F16" i="24"/>
  <c r="F12" i="24"/>
  <c r="F7" i="24"/>
  <c r="F10" i="24"/>
  <c r="F5" i="24"/>
  <c r="H22" i="18"/>
  <c r="G22" i="18"/>
  <c r="D22" i="18"/>
  <c r="C22" i="18"/>
  <c r="D54" i="19"/>
  <c r="C54" i="19"/>
  <c r="F18" i="24" l="1"/>
  <c r="F4" i="29"/>
  <c r="F8" i="27"/>
  <c r="F8" i="25"/>
  <c r="D19" i="20"/>
  <c r="E17" i="20" s="1"/>
  <c r="C19" i="20"/>
  <c r="F54" i="19"/>
  <c r="F53" i="19"/>
  <c r="F52" i="19"/>
  <c r="F51" i="19"/>
  <c r="F50" i="19"/>
  <c r="F49" i="19"/>
  <c r="F48" i="19"/>
  <c r="F47" i="19"/>
  <c r="F46" i="19"/>
  <c r="F45" i="19"/>
  <c r="F44" i="19"/>
  <c r="F43" i="19"/>
  <c r="F42" i="19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5" i="19"/>
  <c r="F24" i="19"/>
  <c r="F23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6" i="19"/>
  <c r="F5" i="19"/>
  <c r="F4" i="19"/>
  <c r="F3" i="19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34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E4" i="19"/>
  <c r="E3" i="19"/>
  <c r="I22" i="18"/>
  <c r="E22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4" i="18"/>
  <c r="E6" i="20" l="1"/>
  <c r="E18" i="20"/>
  <c r="E4" i="20"/>
  <c r="E7" i="20"/>
  <c r="E8" i="20"/>
  <c r="E9" i="20"/>
  <c r="E11" i="20"/>
  <c r="E5" i="20"/>
  <c r="E10" i="20"/>
  <c r="E13" i="20"/>
  <c r="E12" i="20"/>
  <c r="E14" i="20"/>
  <c r="F19" i="20"/>
  <c r="E16" i="20"/>
  <c r="E3" i="20"/>
  <c r="E15" i="20"/>
  <c r="E54" i="19"/>
  <c r="X148" i="17"/>
  <c r="V148" i="17"/>
  <c r="Q148" i="17"/>
  <c r="AC148" i="17" s="1"/>
  <c r="AB148" i="17" s="1"/>
  <c r="E19" i="20" l="1"/>
  <c r="AB2" i="17"/>
  <c r="V145" i="17"/>
  <c r="V144" i="17"/>
  <c r="V142" i="17"/>
  <c r="V137" i="17"/>
  <c r="V136" i="17"/>
  <c r="V134" i="17"/>
  <c r="V129" i="17"/>
  <c r="V128" i="17"/>
  <c r="V121" i="17"/>
  <c r="V120" i="17"/>
  <c r="V113" i="17"/>
  <c r="V112" i="17"/>
  <c r="V110" i="17"/>
  <c r="V104" i="17"/>
  <c r="V102" i="17"/>
  <c r="V96" i="17"/>
  <c r="V94" i="17"/>
  <c r="V89" i="17"/>
  <c r="V88" i="17"/>
  <c r="V81" i="17"/>
  <c r="V80" i="17"/>
  <c r="V73" i="17"/>
  <c r="V72" i="17"/>
  <c r="V70" i="17"/>
  <c r="V65" i="17"/>
  <c r="V64" i="17"/>
  <c r="V62" i="17"/>
  <c r="V57" i="17"/>
  <c r="V56" i="17"/>
  <c r="V49" i="17"/>
  <c r="V48" i="17"/>
  <c r="V46" i="17"/>
  <c r="V40" i="17"/>
  <c r="V38" i="17"/>
  <c r="V32" i="17"/>
  <c r="V30" i="17"/>
  <c r="V25" i="17"/>
  <c r="V24" i="17"/>
  <c r="V22" i="17"/>
  <c r="V17" i="17"/>
  <c r="V16" i="17"/>
  <c r="V9" i="17"/>
  <c r="V8" i="17"/>
  <c r="V6" i="17"/>
  <c r="V5" i="17"/>
  <c r="V4" i="17"/>
  <c r="V150" i="17"/>
  <c r="V149" i="17"/>
  <c r="V147" i="17"/>
  <c r="V146" i="17"/>
  <c r="V143" i="17"/>
  <c r="V141" i="17"/>
  <c r="V140" i="17"/>
  <c r="V139" i="17"/>
  <c r="V138" i="17"/>
  <c r="V135" i="17"/>
  <c r="V133" i="17"/>
  <c r="V132" i="17"/>
  <c r="V131" i="17"/>
  <c r="V130" i="17"/>
  <c r="V127" i="17"/>
  <c r="V126" i="17"/>
  <c r="V125" i="17"/>
  <c r="V124" i="17"/>
  <c r="V123" i="17"/>
  <c r="V122" i="17"/>
  <c r="V119" i="17"/>
  <c r="V118" i="17"/>
  <c r="V117" i="17"/>
  <c r="V116" i="17"/>
  <c r="V115" i="17"/>
  <c r="V114" i="17"/>
  <c r="V111" i="17"/>
  <c r="V109" i="17"/>
  <c r="V108" i="17"/>
  <c r="V107" i="17"/>
  <c r="V106" i="17"/>
  <c r="V105" i="17"/>
  <c r="V103" i="17"/>
  <c r="V101" i="17"/>
  <c r="V100" i="17"/>
  <c r="V99" i="17"/>
  <c r="V98" i="17"/>
  <c r="V97" i="17"/>
  <c r="V95" i="17"/>
  <c r="V93" i="17"/>
  <c r="V92" i="17"/>
  <c r="V91" i="17"/>
  <c r="V90" i="17"/>
  <c r="V87" i="17"/>
  <c r="V86" i="17"/>
  <c r="V85" i="17"/>
  <c r="V84" i="17"/>
  <c r="V83" i="17"/>
  <c r="V82" i="17"/>
  <c r="V79" i="17"/>
  <c r="V78" i="17"/>
  <c r="V77" i="17"/>
  <c r="V76" i="17"/>
  <c r="V75" i="17"/>
  <c r="V74" i="17"/>
  <c r="V71" i="17"/>
  <c r="V69" i="17"/>
  <c r="V68" i="17"/>
  <c r="V67" i="17"/>
  <c r="V66" i="17"/>
  <c r="V63" i="17"/>
  <c r="V61" i="17"/>
  <c r="V60" i="17"/>
  <c r="V59" i="17"/>
  <c r="V58" i="17"/>
  <c r="V55" i="17"/>
  <c r="V54" i="17"/>
  <c r="V53" i="17"/>
  <c r="V52" i="17"/>
  <c r="V51" i="17"/>
  <c r="V50" i="17"/>
  <c r="V47" i="17"/>
  <c r="V45" i="17"/>
  <c r="V44" i="17"/>
  <c r="V43" i="17"/>
  <c r="V42" i="17"/>
  <c r="V41" i="17"/>
  <c r="V39" i="17"/>
  <c r="V37" i="17"/>
  <c r="V36" i="17"/>
  <c r="V35" i="17"/>
  <c r="V34" i="17"/>
  <c r="V33" i="17"/>
  <c r="V31" i="17"/>
  <c r="V29" i="17"/>
  <c r="V28" i="17"/>
  <c r="V27" i="17"/>
  <c r="V26" i="17"/>
  <c r="V23" i="17"/>
  <c r="V21" i="17"/>
  <c r="V20" i="17"/>
  <c r="V19" i="17"/>
  <c r="V18" i="17"/>
  <c r="V15" i="17"/>
  <c r="V14" i="17"/>
  <c r="V13" i="17"/>
  <c r="V12" i="17"/>
  <c r="V11" i="17"/>
  <c r="V10" i="17"/>
  <c r="V7" i="17"/>
  <c r="V2" i="17"/>
  <c r="T2" i="17"/>
  <c r="T151" i="17" l="1"/>
  <c r="U21" i="13" l="1"/>
  <c r="U19" i="13"/>
  <c r="U18" i="13"/>
  <c r="U17" i="13"/>
  <c r="U16" i="13"/>
  <c r="U15" i="13"/>
  <c r="U14" i="13"/>
  <c r="U13" i="13"/>
  <c r="U11" i="13"/>
  <c r="U10" i="13"/>
  <c r="U9" i="13"/>
  <c r="U8" i="13"/>
  <c r="U7" i="13"/>
  <c r="U6" i="13"/>
  <c r="U5" i="13"/>
  <c r="U4" i="13"/>
  <c r="U20" i="13"/>
  <c r="U12" i="13"/>
  <c r="S23" i="13"/>
  <c r="X144" i="17" l="1"/>
  <c r="X140" i="17"/>
  <c r="X139" i="17"/>
  <c r="X138" i="17"/>
  <c r="X137" i="17"/>
  <c r="X136" i="17"/>
  <c r="X132" i="17"/>
  <c r="X131" i="17"/>
  <c r="X130" i="17"/>
  <c r="X128" i="17"/>
  <c r="X124" i="17"/>
  <c r="X123" i="17"/>
  <c r="X122" i="17"/>
  <c r="X121" i="17"/>
  <c r="X120" i="17"/>
  <c r="X116" i="17"/>
  <c r="X115" i="17"/>
  <c r="X114" i="17"/>
  <c r="X112" i="17"/>
  <c r="X107" i="17"/>
  <c r="X105" i="17"/>
  <c r="X104" i="17"/>
  <c r="X100" i="17"/>
  <c r="X98" i="17"/>
  <c r="X97" i="17"/>
  <c r="X96" i="17"/>
  <c r="X92" i="17"/>
  <c r="X91" i="17"/>
  <c r="X88" i="17"/>
  <c r="X84" i="17"/>
  <c r="X83" i="17"/>
  <c r="X82" i="17"/>
  <c r="X81" i="17"/>
  <c r="X80" i="17"/>
  <c r="X76" i="17"/>
  <c r="X75" i="17"/>
  <c r="X74" i="17"/>
  <c r="X73" i="17"/>
  <c r="X72" i="17"/>
  <c r="X68" i="17"/>
  <c r="X67" i="17"/>
  <c r="X66" i="17"/>
  <c r="X65" i="17"/>
  <c r="X64" i="17"/>
  <c r="X60" i="17"/>
  <c r="X59" i="17"/>
  <c r="X58" i="17"/>
  <c r="X57" i="17"/>
  <c r="X56" i="17"/>
  <c r="X52" i="17"/>
  <c r="X51" i="17"/>
  <c r="X50" i="17"/>
  <c r="X49" i="17"/>
  <c r="X48" i="17"/>
  <c r="X44" i="17"/>
  <c r="X43" i="17"/>
  <c r="X42" i="17"/>
  <c r="X41" i="17"/>
  <c r="X40" i="17"/>
  <c r="X35" i="17"/>
  <c r="X34" i="17"/>
  <c r="X32" i="17"/>
  <c r="X28" i="17"/>
  <c r="X27" i="17"/>
  <c r="X26" i="17"/>
  <c r="X25" i="17"/>
  <c r="X24" i="17"/>
  <c r="X20" i="17"/>
  <c r="X19" i="17"/>
  <c r="X18" i="17"/>
  <c r="X16" i="17"/>
  <c r="X12" i="17"/>
  <c r="X11" i="17"/>
  <c r="X10" i="17"/>
  <c r="X9" i="17"/>
  <c r="X8" i="17"/>
  <c r="X6" i="17"/>
  <c r="X5" i="17"/>
  <c r="X4" i="17"/>
  <c r="Q4" i="17"/>
  <c r="AC4" i="17" s="1"/>
  <c r="AB4" i="17" s="1"/>
  <c r="Q5" i="17"/>
  <c r="AC5" i="17" s="1"/>
  <c r="AB5" i="17" s="1"/>
  <c r="Q6" i="17"/>
  <c r="AC6" i="17" s="1"/>
  <c r="AB6" i="17" s="1"/>
  <c r="Q7" i="17"/>
  <c r="AC7" i="17" s="1"/>
  <c r="AB7" i="17" s="1"/>
  <c r="X7" i="17"/>
  <c r="Q8" i="17"/>
  <c r="AC8" i="17" s="1"/>
  <c r="AB8" i="17" s="1"/>
  <c r="Q9" i="17"/>
  <c r="AC9" i="17" s="1"/>
  <c r="AB9" i="17" s="1"/>
  <c r="Q10" i="17"/>
  <c r="AC10" i="17" s="1"/>
  <c r="AB10" i="17" s="1"/>
  <c r="Q11" i="17"/>
  <c r="AC11" i="17" s="1"/>
  <c r="AB11" i="17" s="1"/>
  <c r="Q12" i="17"/>
  <c r="AC12" i="17" s="1"/>
  <c r="AB12" i="17" s="1"/>
  <c r="Q13" i="17"/>
  <c r="AC13" i="17" s="1"/>
  <c r="AB13" i="17" s="1"/>
  <c r="X13" i="17"/>
  <c r="Q14" i="17"/>
  <c r="AC14" i="17" s="1"/>
  <c r="AB14" i="17" s="1"/>
  <c r="X14" i="17"/>
  <c r="Q15" i="17"/>
  <c r="AC15" i="17" s="1"/>
  <c r="AB15" i="17" s="1"/>
  <c r="X15" i="17"/>
  <c r="Q16" i="17"/>
  <c r="AC16" i="17" s="1"/>
  <c r="AB16" i="17" s="1"/>
  <c r="Q17" i="17"/>
  <c r="AC17" i="17" s="1"/>
  <c r="AB17" i="17" s="1"/>
  <c r="X17" i="17"/>
  <c r="Q18" i="17"/>
  <c r="AC18" i="17" s="1"/>
  <c r="AB18" i="17" s="1"/>
  <c r="Q19" i="17"/>
  <c r="AC19" i="17" s="1"/>
  <c r="AB19" i="17" s="1"/>
  <c r="Q20" i="17"/>
  <c r="AC20" i="17" s="1"/>
  <c r="AB20" i="17" s="1"/>
  <c r="Q21" i="17"/>
  <c r="AC21" i="17" s="1"/>
  <c r="AB21" i="17" s="1"/>
  <c r="X21" i="17"/>
  <c r="Q22" i="17"/>
  <c r="AC22" i="17" s="1"/>
  <c r="AB22" i="17" s="1"/>
  <c r="X22" i="17"/>
  <c r="Q23" i="17"/>
  <c r="AC23" i="17" s="1"/>
  <c r="AB23" i="17" s="1"/>
  <c r="X23" i="17"/>
  <c r="Q24" i="17"/>
  <c r="AC24" i="17" s="1"/>
  <c r="AB24" i="17" s="1"/>
  <c r="Q25" i="17"/>
  <c r="AC25" i="17" s="1"/>
  <c r="AB25" i="17" s="1"/>
  <c r="Q26" i="17"/>
  <c r="AC26" i="17" s="1"/>
  <c r="AB26" i="17" s="1"/>
  <c r="Q27" i="17"/>
  <c r="AC27" i="17" s="1"/>
  <c r="AB27" i="17" s="1"/>
  <c r="Q28" i="17"/>
  <c r="AC28" i="17" s="1"/>
  <c r="AB28" i="17" s="1"/>
  <c r="Q29" i="17"/>
  <c r="AC29" i="17" s="1"/>
  <c r="AB29" i="17" s="1"/>
  <c r="X29" i="17"/>
  <c r="Q30" i="17"/>
  <c r="AC30" i="17" s="1"/>
  <c r="AB30" i="17" s="1"/>
  <c r="X30" i="17"/>
  <c r="Q31" i="17"/>
  <c r="AC31" i="17" s="1"/>
  <c r="AB31" i="17" s="1"/>
  <c r="X31" i="17"/>
  <c r="Q32" i="17"/>
  <c r="AC32" i="17" s="1"/>
  <c r="AB32" i="17" s="1"/>
  <c r="Q33" i="17"/>
  <c r="AC33" i="17" s="1"/>
  <c r="AB33" i="17" s="1"/>
  <c r="X33" i="17"/>
  <c r="Q34" i="17"/>
  <c r="AC34" i="17" s="1"/>
  <c r="AB34" i="17" s="1"/>
  <c r="Q35" i="17"/>
  <c r="AC35" i="17" s="1"/>
  <c r="AB35" i="17" s="1"/>
  <c r="Q36" i="17"/>
  <c r="AC36" i="17" s="1"/>
  <c r="AB36" i="17" s="1"/>
  <c r="X36" i="17"/>
  <c r="Q37" i="17"/>
  <c r="AC37" i="17" s="1"/>
  <c r="AB37" i="17" s="1"/>
  <c r="X37" i="17"/>
  <c r="Q38" i="17"/>
  <c r="AC38" i="17" s="1"/>
  <c r="AB38" i="17" s="1"/>
  <c r="X38" i="17"/>
  <c r="Q39" i="17"/>
  <c r="AC39" i="17" s="1"/>
  <c r="AB39" i="17" s="1"/>
  <c r="X39" i="17"/>
  <c r="Q40" i="17"/>
  <c r="AC40" i="17" s="1"/>
  <c r="AB40" i="17" s="1"/>
  <c r="Q41" i="17"/>
  <c r="AC41" i="17" s="1"/>
  <c r="AB41" i="17" s="1"/>
  <c r="Q42" i="17"/>
  <c r="AC42" i="17" s="1"/>
  <c r="AB42" i="17" s="1"/>
  <c r="Q43" i="17"/>
  <c r="AC43" i="17" s="1"/>
  <c r="AB43" i="17" s="1"/>
  <c r="Q44" i="17"/>
  <c r="AC44" i="17" s="1"/>
  <c r="AB44" i="17" s="1"/>
  <c r="Q45" i="17"/>
  <c r="AC45" i="17" s="1"/>
  <c r="AB45" i="17" s="1"/>
  <c r="X45" i="17"/>
  <c r="Q46" i="17"/>
  <c r="AC46" i="17" s="1"/>
  <c r="AB46" i="17" s="1"/>
  <c r="X46" i="17"/>
  <c r="Q47" i="17"/>
  <c r="AC47" i="17" s="1"/>
  <c r="AB47" i="17" s="1"/>
  <c r="X47" i="17"/>
  <c r="Q48" i="17"/>
  <c r="AC48" i="17" s="1"/>
  <c r="AB48" i="17" s="1"/>
  <c r="Q49" i="17"/>
  <c r="AC49" i="17" s="1"/>
  <c r="AB49" i="17" s="1"/>
  <c r="Q50" i="17"/>
  <c r="AC50" i="17" s="1"/>
  <c r="AB50" i="17" s="1"/>
  <c r="Q51" i="17"/>
  <c r="AC51" i="17" s="1"/>
  <c r="AB51" i="17" s="1"/>
  <c r="Q52" i="17"/>
  <c r="AC52" i="17" s="1"/>
  <c r="AB52" i="17" s="1"/>
  <c r="Q53" i="17"/>
  <c r="AC53" i="17" s="1"/>
  <c r="AB53" i="17" s="1"/>
  <c r="X53" i="17"/>
  <c r="Q54" i="17"/>
  <c r="AC54" i="17" s="1"/>
  <c r="AB54" i="17" s="1"/>
  <c r="X54" i="17"/>
  <c r="Q55" i="17"/>
  <c r="AC55" i="17" s="1"/>
  <c r="AB55" i="17" s="1"/>
  <c r="X55" i="17"/>
  <c r="Q56" i="17"/>
  <c r="AC56" i="17" s="1"/>
  <c r="AB56" i="17" s="1"/>
  <c r="Q57" i="17"/>
  <c r="AC57" i="17" s="1"/>
  <c r="AB57" i="17" s="1"/>
  <c r="Q58" i="17"/>
  <c r="AC58" i="17" s="1"/>
  <c r="AB58" i="17" s="1"/>
  <c r="Q59" i="17"/>
  <c r="AC59" i="17" s="1"/>
  <c r="AB59" i="17" s="1"/>
  <c r="Q60" i="17"/>
  <c r="AC60" i="17" s="1"/>
  <c r="AB60" i="17" s="1"/>
  <c r="Q61" i="17"/>
  <c r="AC61" i="17" s="1"/>
  <c r="AB61" i="17" s="1"/>
  <c r="X61" i="17"/>
  <c r="Q62" i="17"/>
  <c r="AC62" i="17" s="1"/>
  <c r="AB62" i="17" s="1"/>
  <c r="X62" i="17"/>
  <c r="Q63" i="17"/>
  <c r="AC63" i="17" s="1"/>
  <c r="AB63" i="17" s="1"/>
  <c r="X63" i="17"/>
  <c r="Q64" i="17"/>
  <c r="AC64" i="17" s="1"/>
  <c r="AB64" i="17" s="1"/>
  <c r="Q65" i="17"/>
  <c r="AC65" i="17" s="1"/>
  <c r="AB65" i="17" s="1"/>
  <c r="Q66" i="17"/>
  <c r="AC66" i="17" s="1"/>
  <c r="AB66" i="17" s="1"/>
  <c r="Q67" i="17"/>
  <c r="AC67" i="17" s="1"/>
  <c r="AB67" i="17" s="1"/>
  <c r="Q68" i="17"/>
  <c r="AC68" i="17" s="1"/>
  <c r="AB68" i="17" s="1"/>
  <c r="Q69" i="17"/>
  <c r="AC69" i="17" s="1"/>
  <c r="AB69" i="17" s="1"/>
  <c r="X69" i="17"/>
  <c r="Q70" i="17"/>
  <c r="AC70" i="17" s="1"/>
  <c r="AB70" i="17" s="1"/>
  <c r="X70" i="17"/>
  <c r="Q71" i="17"/>
  <c r="AC71" i="17" s="1"/>
  <c r="AB71" i="17" s="1"/>
  <c r="X71" i="17"/>
  <c r="Q72" i="17"/>
  <c r="AC72" i="17" s="1"/>
  <c r="AB72" i="17" s="1"/>
  <c r="Q73" i="17"/>
  <c r="AC73" i="17" s="1"/>
  <c r="AB73" i="17" s="1"/>
  <c r="Q74" i="17"/>
  <c r="AC74" i="17" s="1"/>
  <c r="AB74" i="17" s="1"/>
  <c r="Q75" i="17"/>
  <c r="AC75" i="17" s="1"/>
  <c r="AB75" i="17" s="1"/>
  <c r="Q76" i="17"/>
  <c r="AC76" i="17" s="1"/>
  <c r="AB76" i="17" s="1"/>
  <c r="Q77" i="17"/>
  <c r="AC77" i="17" s="1"/>
  <c r="AB77" i="17" s="1"/>
  <c r="X77" i="17"/>
  <c r="Q78" i="17"/>
  <c r="AC78" i="17" s="1"/>
  <c r="AB78" i="17" s="1"/>
  <c r="X78" i="17"/>
  <c r="Q79" i="17"/>
  <c r="AC79" i="17" s="1"/>
  <c r="AB79" i="17" s="1"/>
  <c r="X79" i="17"/>
  <c r="Q80" i="17"/>
  <c r="AC80" i="17" s="1"/>
  <c r="AB80" i="17" s="1"/>
  <c r="Q81" i="17"/>
  <c r="AC81" i="17" s="1"/>
  <c r="AB81" i="17" s="1"/>
  <c r="Q82" i="17"/>
  <c r="AC82" i="17" s="1"/>
  <c r="AB82" i="17" s="1"/>
  <c r="Q83" i="17"/>
  <c r="AC83" i="17" s="1"/>
  <c r="AB83" i="17" s="1"/>
  <c r="Q84" i="17"/>
  <c r="AC84" i="17" s="1"/>
  <c r="AB84" i="17" s="1"/>
  <c r="Q85" i="17"/>
  <c r="AC85" i="17" s="1"/>
  <c r="AB85" i="17" s="1"/>
  <c r="X85" i="17"/>
  <c r="Q86" i="17"/>
  <c r="AC86" i="17" s="1"/>
  <c r="AB86" i="17" s="1"/>
  <c r="X86" i="17"/>
  <c r="Q87" i="17"/>
  <c r="AC87" i="17" s="1"/>
  <c r="AB87" i="17" s="1"/>
  <c r="X87" i="17"/>
  <c r="Q88" i="17"/>
  <c r="AC88" i="17" s="1"/>
  <c r="AB88" i="17" s="1"/>
  <c r="Q89" i="17"/>
  <c r="AC89" i="17" s="1"/>
  <c r="AB89" i="17" s="1"/>
  <c r="X89" i="17"/>
  <c r="Q90" i="17"/>
  <c r="AC90" i="17" s="1"/>
  <c r="AB90" i="17" s="1"/>
  <c r="X90" i="17"/>
  <c r="Q91" i="17"/>
  <c r="AC91" i="17" s="1"/>
  <c r="AB91" i="17" s="1"/>
  <c r="Q92" i="17"/>
  <c r="AC92" i="17" s="1"/>
  <c r="AB92" i="17" s="1"/>
  <c r="Q93" i="17"/>
  <c r="AC93" i="17" s="1"/>
  <c r="AB93" i="17" s="1"/>
  <c r="X93" i="17"/>
  <c r="Q94" i="17"/>
  <c r="AC94" i="17" s="1"/>
  <c r="AB94" i="17" s="1"/>
  <c r="X94" i="17"/>
  <c r="Q95" i="17"/>
  <c r="AC95" i="17" s="1"/>
  <c r="AB95" i="17" s="1"/>
  <c r="X95" i="17"/>
  <c r="Q96" i="17"/>
  <c r="AC96" i="17" s="1"/>
  <c r="AB96" i="17" s="1"/>
  <c r="Q97" i="17"/>
  <c r="AC97" i="17" s="1"/>
  <c r="AB97" i="17" s="1"/>
  <c r="Q98" i="17"/>
  <c r="AC98" i="17" s="1"/>
  <c r="AB98" i="17" s="1"/>
  <c r="Q99" i="17"/>
  <c r="AC99" i="17" s="1"/>
  <c r="AB99" i="17" s="1"/>
  <c r="X99" i="17"/>
  <c r="Q100" i="17"/>
  <c r="AC100" i="17" s="1"/>
  <c r="AB100" i="17" s="1"/>
  <c r="Q101" i="17"/>
  <c r="AC101" i="17" s="1"/>
  <c r="AB101" i="17" s="1"/>
  <c r="X101" i="17"/>
  <c r="Q102" i="17"/>
  <c r="AC102" i="17" s="1"/>
  <c r="AB102" i="17" s="1"/>
  <c r="X102" i="17"/>
  <c r="Q103" i="17"/>
  <c r="AC103" i="17" s="1"/>
  <c r="AB103" i="17" s="1"/>
  <c r="X103" i="17"/>
  <c r="Q104" i="17"/>
  <c r="AC104" i="17" s="1"/>
  <c r="AB104" i="17" s="1"/>
  <c r="Q105" i="17"/>
  <c r="AC105" i="17" s="1"/>
  <c r="AB105" i="17" s="1"/>
  <c r="Q106" i="17"/>
  <c r="AC106" i="17" s="1"/>
  <c r="AB106" i="17" s="1"/>
  <c r="X106" i="17"/>
  <c r="Q107" i="17"/>
  <c r="AC107" i="17" s="1"/>
  <c r="AB107" i="17" s="1"/>
  <c r="Q108" i="17"/>
  <c r="AC108" i="17" s="1"/>
  <c r="AB108" i="17" s="1"/>
  <c r="X108" i="17"/>
  <c r="Q109" i="17"/>
  <c r="AC109" i="17" s="1"/>
  <c r="AB109" i="17" s="1"/>
  <c r="X109" i="17"/>
  <c r="Q110" i="17"/>
  <c r="AC110" i="17" s="1"/>
  <c r="AB110" i="17" s="1"/>
  <c r="X110" i="17"/>
  <c r="Q111" i="17"/>
  <c r="AC111" i="17" s="1"/>
  <c r="AB111" i="17" s="1"/>
  <c r="X111" i="17"/>
  <c r="Q112" i="17"/>
  <c r="AC112" i="17" s="1"/>
  <c r="AB112" i="17" s="1"/>
  <c r="Q113" i="17"/>
  <c r="AC113" i="17" s="1"/>
  <c r="AB113" i="17" s="1"/>
  <c r="X113" i="17"/>
  <c r="Q114" i="17"/>
  <c r="AC114" i="17" s="1"/>
  <c r="AB114" i="17" s="1"/>
  <c r="Q115" i="17"/>
  <c r="AC115" i="17" s="1"/>
  <c r="AB115" i="17" s="1"/>
  <c r="Q116" i="17"/>
  <c r="AC116" i="17" s="1"/>
  <c r="AB116" i="17" s="1"/>
  <c r="Q117" i="17"/>
  <c r="AC117" i="17" s="1"/>
  <c r="AB117" i="17" s="1"/>
  <c r="X117" i="17"/>
  <c r="Q118" i="17"/>
  <c r="AC118" i="17" s="1"/>
  <c r="AB118" i="17" s="1"/>
  <c r="X118" i="17"/>
  <c r="Q119" i="17"/>
  <c r="AC119" i="17" s="1"/>
  <c r="AB119" i="17" s="1"/>
  <c r="X119" i="17"/>
  <c r="Q120" i="17"/>
  <c r="AC120" i="17" s="1"/>
  <c r="AB120" i="17" s="1"/>
  <c r="Q121" i="17"/>
  <c r="AC121" i="17" s="1"/>
  <c r="AB121" i="17" s="1"/>
  <c r="Q122" i="17"/>
  <c r="AC122" i="17" s="1"/>
  <c r="AB122" i="17" s="1"/>
  <c r="Q123" i="17"/>
  <c r="AC123" i="17" s="1"/>
  <c r="AB123" i="17" s="1"/>
  <c r="Q124" i="17"/>
  <c r="AC124" i="17" s="1"/>
  <c r="AB124" i="17" s="1"/>
  <c r="Q125" i="17"/>
  <c r="AC125" i="17" s="1"/>
  <c r="AB125" i="17" s="1"/>
  <c r="X125" i="17"/>
  <c r="Q126" i="17"/>
  <c r="AC126" i="17" s="1"/>
  <c r="AB126" i="17" s="1"/>
  <c r="X126" i="17"/>
  <c r="Q127" i="17"/>
  <c r="AC127" i="17" s="1"/>
  <c r="AB127" i="17" s="1"/>
  <c r="X127" i="17"/>
  <c r="Q128" i="17"/>
  <c r="AC128" i="17" s="1"/>
  <c r="AB128" i="17" s="1"/>
  <c r="Q129" i="17"/>
  <c r="AC129" i="17" s="1"/>
  <c r="AB129" i="17" s="1"/>
  <c r="X129" i="17"/>
  <c r="Q130" i="17"/>
  <c r="AC130" i="17" s="1"/>
  <c r="AB130" i="17" s="1"/>
  <c r="Q131" i="17"/>
  <c r="AC131" i="17" s="1"/>
  <c r="AB131" i="17" s="1"/>
  <c r="Q132" i="17"/>
  <c r="AC132" i="17" s="1"/>
  <c r="AB132" i="17" s="1"/>
  <c r="Q133" i="17"/>
  <c r="AC133" i="17" s="1"/>
  <c r="AB133" i="17" s="1"/>
  <c r="X133" i="17"/>
  <c r="Q134" i="17"/>
  <c r="AC134" i="17" s="1"/>
  <c r="AB134" i="17" s="1"/>
  <c r="X134" i="17"/>
  <c r="Q135" i="17"/>
  <c r="AC135" i="17" s="1"/>
  <c r="AB135" i="17" s="1"/>
  <c r="X135" i="17"/>
  <c r="Q136" i="17"/>
  <c r="AC136" i="17" s="1"/>
  <c r="AB136" i="17" s="1"/>
  <c r="Q137" i="17"/>
  <c r="AC137" i="17" s="1"/>
  <c r="AB137" i="17" s="1"/>
  <c r="Q138" i="17"/>
  <c r="AC138" i="17" s="1"/>
  <c r="AB138" i="17" s="1"/>
  <c r="Q139" i="17"/>
  <c r="AC139" i="17" s="1"/>
  <c r="AB139" i="17" s="1"/>
  <c r="Q140" i="17"/>
  <c r="AC140" i="17" s="1"/>
  <c r="AB140" i="17" s="1"/>
  <c r="Q141" i="17"/>
  <c r="AC141" i="17" s="1"/>
  <c r="AB141" i="17" s="1"/>
  <c r="X141" i="17"/>
  <c r="Q142" i="17"/>
  <c r="AC142" i="17" s="1"/>
  <c r="AB142" i="17" s="1"/>
  <c r="X142" i="17"/>
  <c r="Q143" i="17"/>
  <c r="AC143" i="17" s="1"/>
  <c r="AB143" i="17" s="1"/>
  <c r="X143" i="17"/>
  <c r="Q144" i="17"/>
  <c r="AC144" i="17" s="1"/>
  <c r="AB144" i="17" s="1"/>
  <c r="Q145" i="17"/>
  <c r="AC145" i="17" s="1"/>
  <c r="AB145" i="17" s="1"/>
  <c r="X145" i="17"/>
  <c r="Q146" i="17"/>
  <c r="AC146" i="17" s="1"/>
  <c r="AB146" i="17" s="1"/>
  <c r="X146" i="17"/>
  <c r="Q147" i="17"/>
  <c r="AC147" i="17" s="1"/>
  <c r="AB147" i="17" s="1"/>
  <c r="X147" i="17"/>
  <c r="Q149" i="17"/>
  <c r="AC149" i="17" s="1"/>
  <c r="AB149" i="17" s="1"/>
  <c r="X149" i="17"/>
  <c r="Q150" i="17"/>
  <c r="AC150" i="17" s="1"/>
  <c r="AB150" i="17" s="1"/>
  <c r="X150" i="17"/>
  <c r="Z23" i="13"/>
  <c r="AA151" i="17"/>
  <c r="U151" i="17"/>
  <c r="AA2" i="17"/>
  <c r="X2" i="17"/>
  <c r="U2" i="17"/>
  <c r="R2" i="17"/>
  <c r="Q2" i="17"/>
  <c r="K23" i="13" l="1"/>
  <c r="Q151" i="17" l="1"/>
  <c r="R148" i="17" s="1"/>
  <c r="O23" i="13"/>
  <c r="R149" i="17" l="1"/>
  <c r="R41" i="17"/>
  <c r="R65" i="17"/>
  <c r="R73" i="17"/>
  <c r="R89" i="17"/>
  <c r="R97" i="17"/>
  <c r="R101" i="17"/>
  <c r="R125" i="17"/>
  <c r="R141" i="17"/>
  <c r="R150" i="17"/>
  <c r="R28" i="17"/>
  <c r="R32" i="17"/>
  <c r="R36" i="17"/>
  <c r="R40" i="17"/>
  <c r="R44" i="17"/>
  <c r="R48" i="17"/>
  <c r="R52" i="17"/>
  <c r="R56" i="17"/>
  <c r="R60" i="17"/>
  <c r="R64" i="17"/>
  <c r="R68" i="17"/>
  <c r="R72" i="17"/>
  <c r="R76" i="17"/>
  <c r="R80" i="17"/>
  <c r="R84" i="17"/>
  <c r="R88" i="17"/>
  <c r="R92" i="17"/>
  <c r="R96" i="17"/>
  <c r="R100" i="17"/>
  <c r="R104" i="17"/>
  <c r="R108" i="17"/>
  <c r="R112" i="17"/>
  <c r="R116" i="17"/>
  <c r="R120" i="17"/>
  <c r="R124" i="17"/>
  <c r="R128" i="17"/>
  <c r="R132" i="17"/>
  <c r="R136" i="17"/>
  <c r="R140" i="17"/>
  <c r="R144" i="17"/>
  <c r="R13" i="17"/>
  <c r="R33" i="17"/>
  <c r="R49" i="17"/>
  <c r="R85" i="17"/>
  <c r="R137" i="17"/>
  <c r="R135" i="17"/>
  <c r="R139" i="17"/>
  <c r="R21" i="17"/>
  <c r="R81" i="17"/>
  <c r="R105" i="17"/>
  <c r="R7" i="17"/>
  <c r="R11" i="17"/>
  <c r="R15" i="17"/>
  <c r="R19" i="17"/>
  <c r="R23" i="17"/>
  <c r="R27" i="17"/>
  <c r="R31" i="17"/>
  <c r="R35" i="17"/>
  <c r="R39" i="17"/>
  <c r="R43" i="17"/>
  <c r="R47" i="17"/>
  <c r="R51" i="17"/>
  <c r="R55" i="17"/>
  <c r="R59" i="17"/>
  <c r="R63" i="17"/>
  <c r="R67" i="17"/>
  <c r="R71" i="17"/>
  <c r="R75" i="17"/>
  <c r="R79" i="17"/>
  <c r="R83" i="17"/>
  <c r="R87" i="17"/>
  <c r="R91" i="17"/>
  <c r="R95" i="17"/>
  <c r="R99" i="17"/>
  <c r="R103" i="17"/>
  <c r="R107" i="17"/>
  <c r="R111" i="17"/>
  <c r="R115" i="17"/>
  <c r="R119" i="17"/>
  <c r="R123" i="17"/>
  <c r="R127" i="17"/>
  <c r="R131" i="17"/>
  <c r="R143" i="17"/>
  <c r="R147" i="17"/>
  <c r="R9" i="17"/>
  <c r="R29" i="17"/>
  <c r="R37" i="17"/>
  <c r="R57" i="17"/>
  <c r="R138" i="17"/>
  <c r="R146" i="17"/>
  <c r="R45" i="17"/>
  <c r="R61" i="17"/>
  <c r="R121" i="17"/>
  <c r="R129" i="17"/>
  <c r="R145" i="17"/>
  <c r="R6" i="17"/>
  <c r="R10" i="17"/>
  <c r="R14" i="17"/>
  <c r="R18" i="17"/>
  <c r="R22" i="17"/>
  <c r="R26" i="17"/>
  <c r="R30" i="17"/>
  <c r="R34" i="17"/>
  <c r="R38" i="17"/>
  <c r="R42" i="17"/>
  <c r="R46" i="17"/>
  <c r="R50" i="17"/>
  <c r="R54" i="17"/>
  <c r="R58" i="17"/>
  <c r="R62" i="17"/>
  <c r="R66" i="17"/>
  <c r="R70" i="17"/>
  <c r="R74" i="17"/>
  <c r="R78" i="17"/>
  <c r="R82" i="17"/>
  <c r="R86" i="17"/>
  <c r="R90" i="17"/>
  <c r="R94" i="17"/>
  <c r="R98" i="17"/>
  <c r="R102" i="17"/>
  <c r="R106" i="17"/>
  <c r="R110" i="17"/>
  <c r="R114" i="17"/>
  <c r="R118" i="17"/>
  <c r="R122" i="17"/>
  <c r="R126" i="17"/>
  <c r="R130" i="17"/>
  <c r="R134" i="17"/>
  <c r="R142" i="17"/>
  <c r="R17" i="17"/>
  <c r="R25" i="17"/>
  <c r="R53" i="17"/>
  <c r="R93" i="17"/>
  <c r="R109" i="17"/>
  <c r="R113" i="17"/>
  <c r="R5" i="17"/>
  <c r="R69" i="17"/>
  <c r="R77" i="17"/>
  <c r="R117" i="17"/>
  <c r="R133" i="17"/>
  <c r="R12" i="17"/>
  <c r="R24" i="17"/>
  <c r="R4" i="17"/>
  <c r="R16" i="17"/>
  <c r="R8" i="17"/>
  <c r="R20" i="17"/>
  <c r="AB20" i="13"/>
  <c r="AB21" i="13"/>
  <c r="P23" i="13" l="1"/>
  <c r="AB9" i="13" l="1"/>
  <c r="AB15" i="13" l="1"/>
  <c r="W11" i="13" l="1"/>
  <c r="W18" i="13"/>
  <c r="W19" i="13"/>
  <c r="W10" i="13"/>
  <c r="W17" i="13"/>
  <c r="W13" i="13"/>
  <c r="W6" i="13"/>
  <c r="W14" i="13"/>
  <c r="W21" i="13"/>
  <c r="W12" i="13"/>
  <c r="W4" i="13"/>
  <c r="W15" i="13"/>
  <c r="W9" i="13"/>
  <c r="W16" i="13"/>
  <c r="W7" i="13"/>
  <c r="W5" i="13"/>
  <c r="W20" i="13"/>
  <c r="W8" i="13"/>
  <c r="AB4" i="13" l="1"/>
  <c r="AA4" i="13" s="1"/>
  <c r="AB14" i="13"/>
  <c r="AA14" i="13" s="1"/>
  <c r="AB12" i="13"/>
  <c r="AA12" i="13" s="1"/>
  <c r="AB11" i="13"/>
  <c r="AA11" i="13" s="1"/>
  <c r="AB19" i="13"/>
  <c r="AA19" i="13" s="1"/>
  <c r="AB10" i="13"/>
  <c r="AA10" i="13" s="1"/>
  <c r="AB13" i="13"/>
  <c r="AA13" i="13" s="1"/>
  <c r="AB17" i="13"/>
  <c r="AA17" i="13" s="1"/>
  <c r="AA9" i="13"/>
  <c r="AB5" i="13"/>
  <c r="AA5" i="13" s="1"/>
  <c r="AA15" i="13"/>
  <c r="AB16" i="13"/>
  <c r="AA16" i="13" s="1"/>
  <c r="AB8" i="13"/>
  <c r="AA8" i="13" s="1"/>
  <c r="AA20" i="13"/>
  <c r="AB7" i="13"/>
  <c r="AA7" i="13" s="1"/>
  <c r="AB18" i="13"/>
  <c r="AA18" i="13" s="1"/>
  <c r="AA21" i="13"/>
  <c r="AB6" i="13"/>
  <c r="AA6" i="13" s="1"/>
  <c r="N23" i="13" l="1"/>
  <c r="P151" i="17"/>
  <c r="O151" i="17"/>
  <c r="L23" i="13" l="1"/>
  <c r="M23" i="13"/>
  <c r="AC151" i="17"/>
  <c r="M151" i="17"/>
  <c r="N151" i="17"/>
  <c r="L151" i="17" l="1"/>
  <c r="J23" i="13" l="1"/>
  <c r="I23" i="13"/>
  <c r="H23" i="13"/>
  <c r="G23" i="13"/>
  <c r="F23" i="13"/>
  <c r="Y23" i="13" l="1"/>
  <c r="T23" i="13"/>
  <c r="R23" i="13"/>
  <c r="E23" i="13"/>
  <c r="D23" i="13"/>
  <c r="W23" i="13" l="1"/>
  <c r="U23" i="13"/>
  <c r="F151" i="17" l="1"/>
  <c r="K151" i="17"/>
  <c r="J151" i="17"/>
  <c r="I151" i="17"/>
  <c r="H151" i="17"/>
  <c r="G151" i="17"/>
  <c r="E151" i="17" l="1"/>
  <c r="X151" i="17" l="1"/>
  <c r="V151" i="17"/>
  <c r="Q15" i="13"/>
  <c r="Q8" i="13"/>
  <c r="Q7" i="13"/>
  <c r="Q11" i="13"/>
  <c r="Q18" i="13"/>
  <c r="Q12" i="13"/>
  <c r="Q10" i="13"/>
  <c r="Q4" i="13"/>
  <c r="Q5" i="13"/>
  <c r="Q9" i="13"/>
  <c r="Q17" i="13"/>
  <c r="Q16" i="13"/>
  <c r="Q14" i="13"/>
  <c r="Q19" i="13"/>
  <c r="Q21" i="13"/>
  <c r="Q20" i="13"/>
  <c r="Q13" i="13"/>
  <c r="Q6" i="13"/>
  <c r="AB23" i="13"/>
  <c r="AA23" i="13" s="1"/>
  <c r="Q23" i="13" l="1"/>
  <c r="AB151" i="17" l="1"/>
  <c r="R151" i="17" l="1"/>
</calcChain>
</file>

<file path=xl/sharedStrings.xml><?xml version="1.0" encoding="utf-8"?>
<sst xmlns="http://schemas.openxmlformats.org/spreadsheetml/2006/main" count="341" uniqueCount="143">
  <si>
    <t>Ruedas y sus partes</t>
  </si>
  <si>
    <t>Total</t>
  </si>
  <si>
    <t>Productos de caucho</t>
  </si>
  <si>
    <t>Sistema de suspensión</t>
  </si>
  <si>
    <t>Partes de Motor</t>
  </si>
  <si>
    <t>Partes eléctricas</t>
  </si>
  <si>
    <t>Accesorios</t>
  </si>
  <si>
    <t>Baterías</t>
  </si>
  <si>
    <t>Sistema de frenos</t>
  </si>
  <si>
    <t>Sistema de transmisión</t>
  </si>
  <si>
    <t>Sistema de dirección</t>
  </si>
  <si>
    <t>Sistema de enfriamiento</t>
  </si>
  <si>
    <t>Sistema de escape</t>
  </si>
  <si>
    <t>Ejes y diferencial</t>
  </si>
  <si>
    <t>Partes de carrocería</t>
  </si>
  <si>
    <t>Elaboración y Diseño : Asociación Automotriz del Perú AAP.</t>
  </si>
  <si>
    <t>Lubricantes</t>
  </si>
  <si>
    <t>Filtros</t>
  </si>
  <si>
    <t>PARTIDA</t>
  </si>
  <si>
    <t>TOTAL</t>
  </si>
  <si>
    <t>N°</t>
  </si>
  <si>
    <t>Estructura</t>
  </si>
  <si>
    <t>N</t>
  </si>
  <si>
    <t>Partida</t>
  </si>
  <si>
    <t>Fuente: ADUANAS - SUNAT</t>
  </si>
  <si>
    <t>TIPO DE SUMINISTRO</t>
  </si>
  <si>
    <t>Otros consumibles</t>
  </si>
  <si>
    <t>Neumáticos</t>
  </si>
  <si>
    <t>IMPORTACION DE SUMINISTROS (Valor FOB US$)</t>
  </si>
  <si>
    <t>DESCRIPCION</t>
  </si>
  <si>
    <t>NUEVO</t>
  </si>
  <si>
    <t>USADO</t>
  </si>
  <si>
    <t>Total general</t>
  </si>
  <si>
    <t>Var %</t>
  </si>
  <si>
    <t>UNITED STATES</t>
  </si>
  <si>
    <t>CHINA</t>
  </si>
  <si>
    <t>JAPAN</t>
  </si>
  <si>
    <t>BRAZIL</t>
  </si>
  <si>
    <t>GERMANY</t>
  </si>
  <si>
    <t>KOREA, REPUBLIC OF</t>
  </si>
  <si>
    <t>MEXICO</t>
  </si>
  <si>
    <t>INDIA</t>
  </si>
  <si>
    <t>ITALY</t>
  </si>
  <si>
    <t>FRANCE</t>
  </si>
  <si>
    <t>THAILAND</t>
  </si>
  <si>
    <t>COLOMBIA</t>
  </si>
  <si>
    <t>SPAIN</t>
  </si>
  <si>
    <t>TAIWAN</t>
  </si>
  <si>
    <t>SWEDEN</t>
  </si>
  <si>
    <t>UNITED KINGDOM</t>
  </si>
  <si>
    <t>TURKEY</t>
  </si>
  <si>
    <t>ECUADOR</t>
  </si>
  <si>
    <t>INDONESIA</t>
  </si>
  <si>
    <t>SINGAPORE</t>
  </si>
  <si>
    <t>BELGIUM</t>
  </si>
  <si>
    <t>POLAND</t>
  </si>
  <si>
    <t>CANADA</t>
  </si>
  <si>
    <t>CZECH REPUBLIC</t>
  </si>
  <si>
    <t>VIET NAM</t>
  </si>
  <si>
    <t>CHILE</t>
  </si>
  <si>
    <t>ARGENTINA</t>
  </si>
  <si>
    <t>AUSTRIA</t>
  </si>
  <si>
    <t>ROMANIA</t>
  </si>
  <si>
    <t>FINLAND</t>
  </si>
  <si>
    <t>SWITZERLAND</t>
  </si>
  <si>
    <t>UNITED ARAB EMIRATES</t>
  </si>
  <si>
    <t>MALAYSIA</t>
  </si>
  <si>
    <t>NETHERLANDS</t>
  </si>
  <si>
    <t>SLOVAKIA</t>
  </si>
  <si>
    <t>EL SALVADOR</t>
  </si>
  <si>
    <t>DENMARK</t>
  </si>
  <si>
    <t>SOUTH AFRICA</t>
  </si>
  <si>
    <t>HUNGARY</t>
  </si>
  <si>
    <t>AUSTRALIA</t>
  </si>
  <si>
    <t>TUNISIA</t>
  </si>
  <si>
    <t>PHILIPPINES</t>
  </si>
  <si>
    <t>COSTA RICA</t>
  </si>
  <si>
    <t>PAIS DE ORIGEN</t>
  </si>
  <si>
    <t>OTROS</t>
  </si>
  <si>
    <t>% PART</t>
  </si>
  <si>
    <t>VAR %</t>
  </si>
  <si>
    <t>BRIDGESTONE MINING SOLUTIONS PERU S.A.C.</t>
  </si>
  <si>
    <t>TERPEL COMERCIAL DEL PERU S.R.L.</t>
  </si>
  <si>
    <t>MICHELIN DEL PERU S.A.</t>
  </si>
  <si>
    <t>J.CH.COMERCIAL S.A.</t>
  </si>
  <si>
    <t>DISTRIBUIDORA CUMMINS PERU S.A.C</t>
  </si>
  <si>
    <t>CORPORACION PRIMAX S.A.</t>
  </si>
  <si>
    <t>KOMATSU-MITSUI MAQUINARIAS PERU S.A.</t>
  </si>
  <si>
    <t>TIRE SOL S.A.C.</t>
  </si>
  <si>
    <t>TOYOTA DEL PERU S A</t>
  </si>
  <si>
    <t>PROMOTORA GENESIS S.A.C.</t>
  </si>
  <si>
    <t>M &amp; M REPUESTOS Y SERVICIOS S.A.</t>
  </si>
  <si>
    <t>IMPORTADOR</t>
  </si>
  <si>
    <t>LITHUANIA</t>
  </si>
  <si>
    <t>FERREYROS SOCIEDAD ANONIMA</t>
  </si>
  <si>
    <t>DESCRIPCION PARTIDA</t>
  </si>
  <si>
    <t>Neumaticos - radiales</t>
  </si>
  <si>
    <t>Los demas - Neumáticos de caucho</t>
  </si>
  <si>
    <t>Los demas - Neumáticos  de caucho</t>
  </si>
  <si>
    <t>Neumáticos  utilizados en motocicletas</t>
  </si>
  <si>
    <t>Neumáticos para máquinas agrícolas o forestales</t>
  </si>
  <si>
    <t>Neumáticos  para minería y construcción</t>
  </si>
  <si>
    <t>Neumáticos (llantas neumáticas) recauchutados o usados, de caucho; de los tipos utilizados en autobuses o camiones</t>
  </si>
  <si>
    <t>Neumáticos (llantas neumáticas) recauchutados o usados,bandajes. Los demás</t>
  </si>
  <si>
    <t>Neumáticos (llantas neumáticas) recauchutados o usados,bandajes (llantas macizos)</t>
  </si>
  <si>
    <t>Neumáticos (llantas neumáticas) recauchutados o usados,bandajes (llantas huecas)</t>
  </si>
  <si>
    <t>Cámaras de caucho para neumáticos,de los tipos utilizados en automóviles de turismo (incluidos los del tipo familiar («break» o «station
wagon») y los de carreras), en autobuses o camiones</t>
  </si>
  <si>
    <t>Cámaras de caucho para neumáticos - Las Demás</t>
  </si>
  <si>
    <t>Parches para reparar cámaras de aire y neumáticos (llantas neumáticas)</t>
  </si>
  <si>
    <t>Grasas lubricantes</t>
  </si>
  <si>
    <t>Aceites base para lubricantes</t>
  </si>
  <si>
    <t>Aceites para transmisiones hidráulicas</t>
  </si>
  <si>
    <t>Otros aceites lubricantes</t>
  </si>
  <si>
    <t>Las demás,preparaciones lubricantes</t>
  </si>
  <si>
    <t>Para filtrar lubricantes o carburantes en los motores de encendido por chispa o compresión</t>
  </si>
  <si>
    <t>Los demás, aparatos para filtrar o depurar líquidos</t>
  </si>
  <si>
    <t>Filtros de entrada de aire para motores de encendido por chispa o compresión</t>
  </si>
  <si>
    <t>Los demás, aparatos para filtrar o depurar gases</t>
  </si>
  <si>
    <t>Elementos filtrantes, del tipo de los utilizados en filtros para motores</t>
  </si>
  <si>
    <t>Acumuladores eléctricos de plomo, de los tipos utilizados para arranque de motores de émbolo (pistón)</t>
  </si>
  <si>
    <t>SRI LANKA</t>
  </si>
  <si>
    <t>Var %
ACUM 25/24</t>
  </si>
  <si>
    <t>BULGARIA</t>
  </si>
  <si>
    <t>SOLTRAK S.A.</t>
  </si>
  <si>
    <t>Feb-24</t>
  </si>
  <si>
    <t>Feb-23</t>
  </si>
  <si>
    <t>Var % Feb 25 vs Ene 25</t>
  </si>
  <si>
    <t>Var % Feb 25 vs Feb 24</t>
  </si>
  <si>
    <t>ACUMULADO 
feb  2025</t>
  </si>
  <si>
    <t>% Part ACUM 
 feb 2025</t>
  </si>
  <si>
    <t>ACUMULADO 
feb 2024</t>
  </si>
  <si>
    <t>IMPORTACION DE SUMINISTROS ACUMULADO ENE-FEB  (Valor FOB US$)</t>
  </si>
  <si>
    <t>TAIWAN, PROVINCE OF CHINA</t>
  </si>
  <si>
    <t>SLOVENIA</t>
  </si>
  <si>
    <t>PANAMA</t>
  </si>
  <si>
    <t>PORTUGAL</t>
  </si>
  <si>
    <t>VISTONY COMPAÐIA INDUSTRIAL DEL PERU SOC</t>
  </si>
  <si>
    <t>COMERCIO &amp; CIA S.A.</t>
  </si>
  <si>
    <t>IMPORTACION DE SUMINISTROS POR DESCRIPCION DE PARTIDA - ACUMULADO ENE-FEB (Valor FOB US$)</t>
  </si>
  <si>
    <t>IMPORTACION DE SUMINISTROS POR DESCRIPCION DE PARTIDA -  ACUMULADO ENE-FEB (Valor FOB US$)</t>
  </si>
  <si>
    <t>IMPORTACION DE SUMINISTROS POR IMPORTADOR - ACUMULADO ENE-FEB (Valor FOB US$)</t>
  </si>
  <si>
    <t>IMPORTACION DE SUMINISTROS ACUMULADO ENE-FEB (Valor FOB US$)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</si>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</sst>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4">
    <numFmt numFmtId="164" formatCode="_ * #,##0.00_ ;_ * \-#,##0.00_ ;_ * &quot;-&quot;??_ ;_ @_ "/>
    <numFmt numFmtId="165" formatCode="&quot;@ &quot;#,###&quot; rpm&quot;"/>
    <numFmt numFmtId="166" formatCode="##&quot;°&quot;"/>
    <numFmt numFmtId="167" formatCode="#,###&quot; cc&quot;"/>
    <numFmt numFmtId="168" formatCode="__@"/>
    <numFmt numFmtId="169" formatCode="_(@_)"/>
    <numFmt numFmtId="170" formatCode="_([$€]* #,##0.00_);_([$€]* \(#,##0.00\);_([$€]* &quot;-&quot;??_);_(@_)"/>
    <numFmt numFmtId="171" formatCode="0#"/>
    <numFmt numFmtId="172" formatCode="#,###&quot; Kg.&quot;"/>
    <numFmt numFmtId="173" formatCode="#,###&quot; Kg./m³&quot;"/>
    <numFmt numFmtId="174" formatCode="#,###&quot; Kg-m&quot;"/>
    <numFmt numFmtId="175" formatCode="#.00&quot; Km/gal&quot;"/>
    <numFmt numFmtId="176" formatCode="#.00&quot; Km/hr&quot;"/>
    <numFmt numFmtId="177" formatCode="#.00&quot; l/hr&quot;"/>
    <numFmt numFmtId="178" formatCode="#&quot; litros&quot;"/>
    <numFmt numFmtId="179" formatCode="#.00&quot; m&quot;"/>
    <numFmt numFmtId="180" formatCode="#.0&quot; m/m&quot;"/>
    <numFmt numFmtId="181" formatCode="#.00&quot; m²&quot;"/>
    <numFmt numFmtId="182" formatCode="#.0&quot; m³&quot;"/>
    <numFmt numFmtId="183" formatCode="###,###\ &quot;mm&quot;"/>
    <numFmt numFmtId="184" formatCode="_(* #,##0.00_);_(* \(#,##0.00\);_(* &quot;-&quot;??_);_(@_)"/>
    <numFmt numFmtId="185" formatCode="###,###.00"/>
    <numFmt numFmtId="186" formatCode="_(&quot;US$ &quot;#,##0.00_);_(&quot;US$ &quot;\ \(#,##0.00\);_(* &quot;-&quot;_);_(@_)"/>
    <numFmt numFmtId="187" formatCode="####&quot;.&quot;##&quot;.&quot;##&quot;.&quot;##"/>
    <numFmt numFmtId="188" formatCode="##.0&quot; PS&quot;"/>
    <numFmt numFmtId="189" formatCode="##.0\ &quot;: 1&quot;"/>
    <numFmt numFmtId="190" formatCode="#,###&quot; rpm&quot;"/>
    <numFmt numFmtId="191" formatCode="_(&quot;S/. &quot;#,##0.00_);_(&quot;S/. &quot;\(#,##0.00\);_(&quot;S/. &quot;\ &quot;-&quot;??_);_(@_)"/>
    <numFmt numFmtId="192" formatCode="###\-\ ####"/>
    <numFmt numFmtId="193" formatCode="#,###&quot; Ton.&quot;"/>
    <numFmt numFmtId="194" formatCode="0.0%"/>
    <numFmt numFmtId="195" formatCode="_ * #,##0_ ;_ * \-#,##0_ ;_ * &quot;-&quot;??_ ;_ @_ "/>
    <numFmt numFmtId="196" formatCode="_(* #,##0_);_(* \(#,##0\);_(* &quot;-&quot;??_);_(@_)"/>
    <numFmt numFmtId="197" formatCode="#,##0_ ;\-#,##0\ 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8"/>
      <name val="Arial"/>
      <family val="2"/>
    </font>
    <font>
      <sz val="11"/>
      <color indexed="8"/>
      <name val="Calibri"/>
      <family val="2"/>
    </font>
    <font>
      <sz val="11"/>
      <color indexed="63"/>
      <name val="Calibri"/>
      <family val="2"/>
    </font>
    <font>
      <sz val="11"/>
      <color indexed="9"/>
      <name val="Calibri"/>
      <family val="2"/>
    </font>
    <font>
      <b/>
      <sz val="10"/>
      <name val="Arial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49"/>
      <name val="Calibri"/>
      <family val="2"/>
    </font>
    <font>
      <b/>
      <sz val="11"/>
      <color indexed="56"/>
      <name val="Calibri"/>
      <family val="2"/>
    </font>
    <font>
      <sz val="11"/>
      <color indexed="54"/>
      <name val="Calibri"/>
      <family val="2"/>
    </font>
    <font>
      <sz val="11"/>
      <color indexed="62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7"/>
      <name val="Arial"/>
      <family val="2"/>
    </font>
    <font>
      <b/>
      <sz val="8"/>
      <color indexed="10"/>
      <name val="Arial"/>
      <family val="2"/>
    </font>
    <font>
      <sz val="10"/>
      <name val="MS Sans Serif"/>
      <family val="2"/>
    </font>
    <font>
      <sz val="11"/>
      <color indexed="60"/>
      <name val="Calibri"/>
      <family val="2"/>
    </font>
    <font>
      <sz val="6"/>
      <name val="Arial"/>
      <family val="2"/>
    </font>
    <font>
      <sz val="5"/>
      <name val="Arial"/>
      <family val="2"/>
    </font>
    <font>
      <sz val="11"/>
      <color indexed="10"/>
      <name val="Calibri"/>
      <family val="2"/>
    </font>
    <font>
      <i/>
      <sz val="11"/>
      <color indexed="61"/>
      <name val="Calibri"/>
      <family val="2"/>
    </font>
    <font>
      <i/>
      <sz val="11"/>
      <color indexed="23"/>
      <name val="Calibri"/>
      <family val="2"/>
    </font>
    <font>
      <b/>
      <sz val="15"/>
      <color indexed="49"/>
      <name val="Calibri"/>
      <family val="2"/>
    </font>
    <font>
      <b/>
      <sz val="15"/>
      <color indexed="56"/>
      <name val="Calibri"/>
      <family val="2"/>
    </font>
    <font>
      <b/>
      <sz val="13"/>
      <color indexed="49"/>
      <name val="Calibri"/>
      <family val="2"/>
    </font>
    <font>
      <b/>
      <sz val="13"/>
      <color indexed="56"/>
      <name val="Calibri"/>
      <family val="2"/>
    </font>
    <font>
      <b/>
      <sz val="18"/>
      <color indexed="49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돋움"/>
      <family val="3"/>
      <charset val="129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8"/>
      <color theme="0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63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62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60497A"/>
        <bgColor theme="4" tint="0.79998168889431442"/>
      </patternFill>
    </fill>
    <fill>
      <patternFill patternType="solid">
        <fgColor rgb="FF60497A"/>
        <bgColor indexed="64"/>
      </patternFill>
    </fill>
    <fill>
      <patternFill patternType="solid">
        <fgColor rgb="FFFFFFFF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60497A"/>
        <bgColor theme="4" tint="0.79995117038483843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9"/>
      </left>
      <right style="double">
        <color indexed="9"/>
      </right>
      <top style="double">
        <color indexed="9"/>
      </top>
      <bottom style="double">
        <color indexed="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40">
    <xf numFmtId="0" fontId="0" fillId="0" borderId="0"/>
    <xf numFmtId="0" fontId="2" fillId="0" borderId="0"/>
    <xf numFmtId="165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0" applyNumberFormat="0" applyBorder="0" applyAlignment="0" applyProtection="0"/>
    <xf numFmtId="0" fontId="7" fillId="17" borderId="0" applyNumberFormat="0" applyBorder="0" applyAlignment="0" applyProtection="0"/>
    <xf numFmtId="0" fontId="6" fillId="12" borderId="0" applyNumberFormat="0" applyBorder="0" applyAlignment="0" applyProtection="0"/>
    <xf numFmtId="0" fontId="7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6" fillId="18" borderId="0" applyNumberFormat="0" applyBorder="0" applyAlignment="0" applyProtection="0"/>
    <xf numFmtId="0" fontId="7" fillId="19" borderId="0" applyNumberFormat="0" applyBorder="0" applyAlignment="0" applyProtection="0"/>
    <xf numFmtId="0" fontId="6" fillId="16" borderId="0" applyNumberFormat="0" applyBorder="0" applyAlignment="0" applyProtection="0"/>
    <xf numFmtId="0" fontId="7" fillId="16" borderId="0" applyNumberFormat="0" applyBorder="0" applyAlignment="0" applyProtection="0"/>
    <xf numFmtId="0" fontId="6" fillId="4" borderId="0" applyNumberFormat="0" applyBorder="0" applyAlignment="0" applyProtection="0"/>
    <xf numFmtId="0" fontId="7" fillId="20" borderId="0" applyNumberFormat="0" applyBorder="0" applyAlignment="0" applyProtection="0"/>
    <xf numFmtId="166" fontId="8" fillId="0" borderId="0" applyFont="0" applyFill="0" applyBorder="0" applyAlignment="0" applyProtection="0">
      <alignment horizontal="center" vertical="center"/>
    </xf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0" fillId="2" borderId="2" applyNumberFormat="0" applyAlignment="0" applyProtection="0"/>
    <xf numFmtId="0" fontId="10" fillId="10" borderId="3" applyNumberFormat="0" applyAlignment="0" applyProtection="0"/>
    <xf numFmtId="167" fontId="4" fillId="0" borderId="0" applyFont="0" applyFill="0" applyBorder="0" applyAlignment="0" applyProtection="0">
      <alignment horizontal="center" vertical="center"/>
    </xf>
    <xf numFmtId="0" fontId="11" fillId="18" borderId="4" applyNumberFormat="0" applyAlignment="0" applyProtection="0"/>
    <xf numFmtId="0" fontId="12" fillId="21" borderId="5" applyNumberFormat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168" fontId="4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" fillId="16" borderId="0" applyNumberFormat="0" applyBorder="0" applyAlignment="0" applyProtection="0"/>
    <xf numFmtId="0" fontId="7" fillId="18" borderId="0" applyNumberFormat="0" applyBorder="0" applyAlignment="0" applyProtection="0"/>
    <xf numFmtId="0" fontId="6" fillId="22" borderId="0" applyNumberFormat="0" applyBorder="0" applyAlignment="0" applyProtection="0"/>
    <xf numFmtId="0" fontId="7" fillId="22" borderId="0" applyNumberFormat="0" applyBorder="0" applyAlignment="0" applyProtection="0"/>
    <xf numFmtId="0" fontId="6" fillId="23" borderId="0" applyNumberFormat="0" applyBorder="0" applyAlignment="0" applyProtection="0"/>
    <xf numFmtId="0" fontId="7" fillId="23" borderId="0" applyNumberFormat="0" applyBorder="0" applyAlignment="0" applyProtection="0"/>
    <xf numFmtId="0" fontId="6" fillId="24" borderId="0" applyNumberFormat="0" applyBorder="0" applyAlignment="0" applyProtection="0"/>
    <xf numFmtId="0" fontId="7" fillId="19" borderId="0" applyNumberFormat="0" applyBorder="0" applyAlignment="0" applyProtection="0"/>
    <xf numFmtId="0" fontId="6" fillId="16" borderId="0" applyNumberFormat="0" applyBorder="0" applyAlignment="0" applyProtection="0"/>
    <xf numFmtId="0" fontId="7" fillId="16" borderId="0" applyNumberFormat="0" applyBorder="0" applyAlignment="0" applyProtection="0"/>
    <xf numFmtId="0" fontId="6" fillId="25" borderId="0" applyNumberFormat="0" applyBorder="0" applyAlignment="0" applyProtection="0"/>
    <xf numFmtId="0" fontId="7" fillId="25" borderId="0" applyNumberFormat="0" applyBorder="0" applyAlignment="0" applyProtection="0"/>
    <xf numFmtId="0" fontId="16" fillId="4" borderId="2" applyNumberFormat="0" applyAlignment="0" applyProtection="0"/>
    <xf numFmtId="0" fontId="17" fillId="4" borderId="3" applyNumberFormat="0" applyAlignment="0" applyProtection="0"/>
    <xf numFmtId="169" fontId="4" fillId="0" borderId="0" applyFont="0" applyFill="0" applyBorder="0" applyAlignment="0" applyProtection="0">
      <alignment vertical="center"/>
    </xf>
    <xf numFmtId="170" fontId="3" fillId="0" borderId="0" applyFont="0" applyFill="0" applyBorder="0" applyAlignment="0" applyProtection="0"/>
    <xf numFmtId="171" fontId="18" fillId="0" borderId="0" applyFont="0" applyFill="0" applyBorder="0" applyProtection="0">
      <alignment horizontal="center" vertical="center"/>
    </xf>
    <xf numFmtId="14" fontId="19" fillId="0" borderId="0" applyFont="0" applyFill="0" applyBorder="0" applyAlignment="0" applyProtection="0">
      <alignment vertical="center"/>
    </xf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172" fontId="18" fillId="0" borderId="0" applyFont="0" applyFill="0" applyBorder="0" applyAlignment="0" applyProtection="0">
      <alignment horizontal="center" vertical="center"/>
    </xf>
    <xf numFmtId="173" fontId="21" fillId="0" borderId="7" applyFont="0" applyFill="0" applyBorder="0" applyAlignment="0" applyProtection="0">
      <alignment horizontal="right" vertical="center"/>
    </xf>
    <xf numFmtId="174" fontId="18" fillId="0" borderId="0" applyFont="0" applyFill="0" applyBorder="0" applyAlignment="0" applyProtection="0">
      <alignment vertical="center"/>
    </xf>
    <xf numFmtId="172" fontId="18" fillId="0" borderId="0" applyFont="0" applyFill="0" applyBorder="0" applyAlignment="0" applyProtection="0"/>
    <xf numFmtId="175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/>
    <xf numFmtId="177" fontId="18" fillId="0" borderId="0" applyFont="0" applyFill="0" applyBorder="0" applyProtection="0">
      <alignment horizontal="right" vertical="center"/>
    </xf>
    <xf numFmtId="178" fontId="22" fillId="0" borderId="0" applyFont="0" applyFill="0" applyBorder="0" applyAlignment="0" applyProtection="0">
      <alignment horizontal="center" vertical="center"/>
    </xf>
    <xf numFmtId="179" fontId="18" fillId="0" borderId="0" applyFont="0" applyFill="0" applyBorder="0" applyAlignment="0" applyProtection="0"/>
    <xf numFmtId="180" fontId="4" fillId="0" borderId="0" applyFont="0" applyFill="0" applyBorder="0" applyAlignment="0" applyProtection="0">
      <alignment horizontal="center" vertical="center"/>
    </xf>
    <xf numFmtId="181" fontId="18" fillId="0" borderId="0" applyFont="0" applyFill="0" applyBorder="0" applyProtection="0">
      <alignment horizontal="right" vertical="center"/>
    </xf>
    <xf numFmtId="182" fontId="18" fillId="0" borderId="0" applyFont="0" applyFill="0" applyBorder="0" applyProtection="0">
      <alignment horizontal="right" vertical="center"/>
    </xf>
    <xf numFmtId="183" fontId="18" fillId="0" borderId="0" applyFont="0" applyFill="0" applyBorder="0" applyAlignment="0" applyProtection="0">
      <alignment horizontal="left" vertical="center"/>
    </xf>
    <xf numFmtId="184" fontId="3" fillId="0" borderId="0" applyFont="0" applyFill="0" applyBorder="0" applyAlignment="0" applyProtection="0"/>
    <xf numFmtId="164" fontId="23" fillId="0" borderId="0" applyFont="0" applyFill="0" applyBorder="0" applyAlignment="0" applyProtection="0"/>
    <xf numFmtId="184" fontId="19" fillId="0" borderId="0" applyFont="0" applyFill="0" applyBorder="0" applyAlignment="0" applyProtection="0"/>
    <xf numFmtId="185" fontId="18" fillId="0" borderId="0" applyFont="0" applyFill="0" applyBorder="0" applyAlignment="0" applyProtection="0">
      <alignment horizontal="center" vertical="center"/>
    </xf>
    <xf numFmtId="3" fontId="18" fillId="0" borderId="0" applyFont="0" applyFill="0" applyBorder="0" applyAlignment="0" applyProtection="0">
      <alignment vertical="center"/>
    </xf>
    <xf numFmtId="186" fontId="18" fillId="0" borderId="0" applyFont="0" applyFill="0" applyBorder="0" applyAlignment="0" applyProtection="0">
      <alignment vertical="center"/>
    </xf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9" fillId="6" borderId="8" applyNumberFormat="0" applyFont="0" applyAlignment="0" applyProtection="0"/>
    <xf numFmtId="0" fontId="5" fillId="6" borderId="9" applyNumberFormat="0" applyFont="0" applyAlignment="0" applyProtection="0"/>
    <xf numFmtId="187" fontId="18" fillId="0" borderId="0" applyFont="0" applyFill="0" applyBorder="0" applyAlignment="0" applyProtection="0">
      <alignment vertical="center"/>
    </xf>
    <xf numFmtId="188" fontId="4" fillId="0" borderId="0" applyFont="0" applyFill="0" applyBorder="0" applyAlignment="0" applyProtection="0">
      <alignment vertical="center"/>
    </xf>
    <xf numFmtId="189" fontId="4" fillId="0" borderId="0" applyFont="0" applyFill="0" applyBorder="0" applyAlignment="0" applyProtection="0">
      <alignment vertical="center"/>
    </xf>
    <xf numFmtId="190" fontId="18" fillId="0" borderId="0" applyFont="0" applyFill="0" applyBorder="0" applyAlignment="0" applyProtection="0"/>
    <xf numFmtId="0" fontId="12" fillId="2" borderId="10" applyNumberFormat="0" applyAlignment="0" applyProtection="0"/>
    <xf numFmtId="0" fontId="11" fillId="10" borderId="11" applyNumberFormat="0" applyAlignment="0" applyProtection="0"/>
    <xf numFmtId="0" fontId="25" fillId="0" borderId="0" applyNumberFormat="0" applyFill="0" applyBorder="0" applyAlignment="0" applyProtection="0">
      <alignment vertical="center"/>
    </xf>
    <xf numFmtId="191" fontId="19" fillId="0" borderId="0" applyFont="0" applyFill="0" applyBorder="0" applyProtection="0">
      <alignment horizontal="right" vertical="center"/>
    </xf>
    <xf numFmtId="49" fontId="26" fillId="0" borderId="0" applyFill="0" applyBorder="0" applyProtection="0"/>
    <xf numFmtId="49" fontId="26" fillId="0" borderId="0" applyFill="0" applyBorder="0" applyProtection="0">
      <alignment vertical="top"/>
    </xf>
    <xf numFmtId="192" fontId="8" fillId="0" borderId="0" applyFont="0" applyFill="0" applyBorder="0" applyAlignment="0" applyProtection="0">
      <alignment vertical="center"/>
    </xf>
    <xf numFmtId="49" fontId="18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8" fontId="25" fillId="0" borderId="0" applyFont="0" applyFill="0" applyBorder="0" applyAlignment="0" applyProtection="0">
      <alignment horizontal="center" vertical="center"/>
    </xf>
    <xf numFmtId="49" fontId="8" fillId="26" borderId="1" applyProtection="0">
      <alignment horizontal="center" vertical="center"/>
    </xf>
    <xf numFmtId="0" fontId="30" fillId="0" borderId="12" applyNumberFormat="0" applyFill="0" applyAlignment="0" applyProtection="0"/>
    <xf numFmtId="0" fontId="31" fillId="0" borderId="13" applyNumberFormat="0" applyFill="0" applyAlignment="0" applyProtection="0"/>
    <xf numFmtId="0" fontId="32" fillId="0" borderId="14" applyNumberFormat="0" applyFill="0" applyAlignment="0" applyProtection="0"/>
    <xf numFmtId="0" fontId="33" fillId="0" borderId="14" applyNumberFormat="0" applyFill="0" applyAlignment="0" applyProtection="0"/>
    <xf numFmtId="0" fontId="14" fillId="0" borderId="15" applyNumberFormat="0" applyFill="0" applyAlignment="0" applyProtection="0"/>
    <xf numFmtId="0" fontId="15" fillId="0" borderId="16" applyNumberFormat="0" applyFill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93" fontId="18" fillId="0" borderId="17" applyFont="0" applyFill="0" applyBorder="0" applyAlignment="0" applyProtection="0">
      <alignment horizontal="center" vertical="center"/>
    </xf>
    <xf numFmtId="0" fontId="36" fillId="0" borderId="18" applyNumberFormat="0" applyFill="0" applyAlignment="0" applyProtection="0"/>
    <xf numFmtId="0" fontId="36" fillId="0" borderId="19" applyNumberFormat="0" applyFill="0" applyAlignment="0" applyProtection="0"/>
    <xf numFmtId="49" fontId="4" fillId="26" borderId="1" applyFill="0" applyBorder="0" applyProtection="0">
      <alignment vertical="center" wrapText="1"/>
    </xf>
    <xf numFmtId="0" fontId="37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0" fontId="5" fillId="0" borderId="0"/>
    <xf numFmtId="0" fontId="19" fillId="0" borderId="0"/>
    <xf numFmtId="9" fontId="19" fillId="0" borderId="0" applyFont="0" applyFill="0" applyBorder="0" applyAlignment="0" applyProtection="0"/>
  </cellStyleXfs>
  <cellXfs count="142">
    <xf numFmtId="0" fontId="0" fillId="0" borderId="0" xfId="0"/>
    <xf numFmtId="3" fontId="38" fillId="27" borderId="0" xfId="0" applyNumberFormat="1" applyFont="1" applyFill="1" applyAlignment="1">
      <alignment horizontal="right" vertical="center" wrapText="1"/>
    </xf>
    <xf numFmtId="0" fontId="40" fillId="27" borderId="0" xfId="0" applyFont="1" applyFill="1" applyAlignment="1">
      <alignment vertical="center"/>
    </xf>
    <xf numFmtId="0" fontId="41" fillId="27" borderId="0" xfId="0" applyFont="1" applyFill="1" applyAlignment="1">
      <alignment horizontal="center"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horizontal="center" vertical="center"/>
    </xf>
    <xf numFmtId="0" fontId="41" fillId="27" borderId="0" xfId="93" applyFont="1" applyFill="1" applyAlignment="1">
      <alignment horizontal="left" vertical="center"/>
    </xf>
    <xf numFmtId="195" fontId="41" fillId="0" borderId="25" xfId="135" applyNumberFormat="1" applyFont="1" applyFill="1" applyBorder="1" applyAlignment="1">
      <alignment horizontal="right" vertical="center"/>
    </xf>
    <xf numFmtId="195" fontId="41" fillId="0" borderId="0" xfId="135" applyNumberFormat="1" applyFont="1" applyFill="1" applyBorder="1" applyAlignment="1">
      <alignment horizontal="right" vertical="center"/>
    </xf>
    <xf numFmtId="195" fontId="41" fillId="0" borderId="27" xfId="135" applyNumberFormat="1" applyFont="1" applyFill="1" applyBorder="1" applyAlignment="1">
      <alignment horizontal="right" vertical="center"/>
    </xf>
    <xf numFmtId="2" fontId="41" fillId="0" borderId="26" xfId="0" applyNumberFormat="1" applyFont="1" applyBorder="1" applyAlignment="1">
      <alignment horizontal="left" vertical="center"/>
    </xf>
    <xf numFmtId="195" fontId="41" fillId="0" borderId="24" xfId="135" applyNumberFormat="1" applyFont="1" applyFill="1" applyBorder="1" applyAlignment="1">
      <alignment horizontal="right" vertical="center"/>
    </xf>
    <xf numFmtId="2" fontId="41" fillId="0" borderId="17" xfId="0" applyNumberFormat="1" applyFont="1" applyBorder="1" applyAlignment="1">
      <alignment horizontal="left" vertical="center"/>
    </xf>
    <xf numFmtId="196" fontId="41" fillId="0" borderId="25" xfId="85" applyNumberFormat="1" applyFont="1" applyFill="1" applyBorder="1" applyAlignment="1">
      <alignment horizontal="center" vertical="center"/>
    </xf>
    <xf numFmtId="194" fontId="41" fillId="0" borderId="26" xfId="139" applyNumberFormat="1" applyFont="1" applyFill="1" applyBorder="1" applyAlignment="1">
      <alignment vertical="center"/>
    </xf>
    <xf numFmtId="196" fontId="41" fillId="0" borderId="0" xfId="85" applyNumberFormat="1" applyFont="1" applyFill="1" applyBorder="1" applyAlignment="1">
      <alignment horizontal="center" vertical="center"/>
    </xf>
    <xf numFmtId="194" fontId="41" fillId="0" borderId="17" xfId="139" applyNumberFormat="1" applyFont="1" applyFill="1" applyBorder="1" applyAlignment="1">
      <alignment vertical="center"/>
    </xf>
    <xf numFmtId="196" fontId="41" fillId="0" borderId="7" xfId="85" applyNumberFormat="1" applyFont="1" applyFill="1" applyBorder="1" applyAlignment="1">
      <alignment horizontal="center" vertical="center"/>
    </xf>
    <xf numFmtId="194" fontId="41" fillId="0" borderId="29" xfId="139" applyNumberFormat="1" applyFont="1" applyFill="1" applyBorder="1" applyAlignment="1">
      <alignment vertical="center"/>
    </xf>
    <xf numFmtId="196" fontId="41" fillId="0" borderId="22" xfId="85" applyNumberFormat="1" applyFont="1" applyFill="1" applyBorder="1" applyAlignment="1">
      <alignment horizontal="center" vertical="center"/>
    </xf>
    <xf numFmtId="194" fontId="41" fillId="0" borderId="23" xfId="139" applyNumberFormat="1" applyFont="1" applyFill="1" applyBorder="1" applyAlignment="1">
      <alignment vertical="center"/>
    </xf>
    <xf numFmtId="0" fontId="0" fillId="27" borderId="0" xfId="0" applyFill="1" applyAlignment="1">
      <alignment horizontal="center" vertical="center"/>
    </xf>
    <xf numFmtId="0" fontId="43" fillId="27" borderId="0" xfId="0" applyFont="1" applyFill="1" applyAlignment="1">
      <alignment vertical="center"/>
    </xf>
    <xf numFmtId="0" fontId="43" fillId="0" borderId="0" xfId="0" applyFont="1" applyAlignment="1">
      <alignment vertical="center"/>
    </xf>
    <xf numFmtId="0" fontId="44" fillId="27" borderId="0" xfId="0" applyFont="1" applyFill="1" applyAlignment="1">
      <alignment vertical="center"/>
    </xf>
    <xf numFmtId="0" fontId="0" fillId="27" borderId="0" xfId="0" applyFill="1" applyAlignment="1">
      <alignment vertical="center"/>
    </xf>
    <xf numFmtId="2" fontId="38" fillId="28" borderId="21" xfId="0" applyNumberFormat="1" applyFont="1" applyFill="1" applyBorder="1" applyAlignment="1">
      <alignment horizontal="center" vertical="center" wrapText="1"/>
    </xf>
    <xf numFmtId="2" fontId="38" fillId="28" borderId="23" xfId="0" applyNumberFormat="1" applyFont="1" applyFill="1" applyBorder="1" applyAlignment="1">
      <alignment horizontal="center" vertical="center" wrapText="1"/>
    </xf>
    <xf numFmtId="3" fontId="38" fillId="0" borderId="0" xfId="0" applyNumberFormat="1" applyFont="1" applyAlignment="1">
      <alignment horizontal="center" vertical="center" wrapText="1"/>
    </xf>
    <xf numFmtId="17" fontId="38" fillId="28" borderId="21" xfId="0" applyNumberFormat="1" applyFont="1" applyFill="1" applyBorder="1" applyAlignment="1">
      <alignment horizontal="center" vertical="center" wrapText="1"/>
    </xf>
    <xf numFmtId="3" fontId="38" fillId="0" borderId="30" xfId="0" applyNumberFormat="1" applyFont="1" applyBorder="1" applyAlignment="1">
      <alignment horizontal="center" vertical="center" wrapText="1"/>
    </xf>
    <xf numFmtId="17" fontId="38" fillId="28" borderId="22" xfId="0" quotePrefix="1" applyNumberFormat="1" applyFont="1" applyFill="1" applyBorder="1" applyAlignment="1">
      <alignment horizontal="center" vertical="center" wrapText="1"/>
    </xf>
    <xf numFmtId="0" fontId="38" fillId="28" borderId="21" xfId="136" applyFont="1" applyFill="1" applyBorder="1" applyAlignment="1">
      <alignment horizontal="center" vertical="center" wrapText="1"/>
    </xf>
    <xf numFmtId="0" fontId="44" fillId="27" borderId="0" xfId="0" applyFont="1" applyFill="1" applyAlignment="1">
      <alignment horizontal="center" vertical="center"/>
    </xf>
    <xf numFmtId="2" fontId="38" fillId="27" borderId="0" xfId="0" applyNumberFormat="1" applyFont="1" applyFill="1" applyAlignment="1">
      <alignment horizontal="center" vertical="center" wrapText="1"/>
    </xf>
    <xf numFmtId="2" fontId="38" fillId="0" borderId="0" xfId="0" applyNumberFormat="1" applyFont="1" applyAlignment="1">
      <alignment horizontal="center" vertical="center" wrapText="1"/>
    </xf>
    <xf numFmtId="1" fontId="41" fillId="0" borderId="24" xfId="0" applyNumberFormat="1" applyFont="1" applyBorder="1" applyAlignment="1">
      <alignment horizontal="center" vertical="center"/>
    </xf>
    <xf numFmtId="3" fontId="41" fillId="0" borderId="0" xfId="0" applyNumberFormat="1" applyFont="1" applyAlignment="1">
      <alignment horizontal="right" vertical="center"/>
    </xf>
    <xf numFmtId="194" fontId="42" fillId="0" borderId="26" xfId="134" applyNumberFormat="1" applyFont="1" applyFill="1" applyBorder="1" applyAlignment="1">
      <alignment horizontal="right" vertical="center"/>
    </xf>
    <xf numFmtId="3" fontId="41" fillId="0" borderId="27" xfId="0" applyNumberFormat="1" applyFont="1" applyBorder="1" applyAlignment="1">
      <alignment horizontal="right" vertical="center"/>
    </xf>
    <xf numFmtId="0" fontId="41" fillId="27" borderId="0" xfId="0" applyFont="1" applyFill="1" applyAlignment="1">
      <alignment vertical="center"/>
    </xf>
    <xf numFmtId="1" fontId="41" fillId="0" borderId="27" xfId="0" applyNumberFormat="1" applyFont="1" applyBorder="1" applyAlignment="1">
      <alignment horizontal="center" vertical="center"/>
    </xf>
    <xf numFmtId="194" fontId="42" fillId="0" borderId="17" xfId="134" applyNumberFormat="1" applyFont="1" applyFill="1" applyBorder="1" applyAlignment="1">
      <alignment horizontal="right" vertical="center"/>
    </xf>
    <xf numFmtId="2" fontId="38" fillId="0" borderId="0" xfId="0" applyNumberFormat="1" applyFont="1" applyAlignment="1">
      <alignment horizontal="center" vertical="center"/>
    </xf>
    <xf numFmtId="2" fontId="38" fillId="28" borderId="21" xfId="0" applyNumberFormat="1" applyFont="1" applyFill="1" applyBorder="1" applyAlignment="1">
      <alignment horizontal="center" vertical="center"/>
    </xf>
    <xf numFmtId="2" fontId="38" fillId="28" borderId="23" xfId="0" applyNumberFormat="1" applyFont="1" applyFill="1" applyBorder="1" applyAlignment="1">
      <alignment horizontal="left" vertical="center" wrapText="1"/>
    </xf>
    <xf numFmtId="195" fontId="38" fillId="28" borderId="21" xfId="135" applyNumberFormat="1" applyFont="1" applyFill="1" applyBorder="1" applyAlignment="1">
      <alignment horizontal="center" vertical="center" wrapText="1"/>
    </xf>
    <xf numFmtId="195" fontId="38" fillId="28" borderId="22" xfId="135" applyNumberFormat="1" applyFont="1" applyFill="1" applyBorder="1" applyAlignment="1">
      <alignment horizontal="center" vertical="center" wrapText="1"/>
    </xf>
    <xf numFmtId="3" fontId="38" fillId="28" borderId="22" xfId="0" applyNumberFormat="1" applyFont="1" applyFill="1" applyBorder="1" applyAlignment="1">
      <alignment horizontal="center" vertical="center" wrapText="1"/>
    </xf>
    <xf numFmtId="194" fontId="38" fillId="28" borderId="23" xfId="134" applyNumberFormat="1" applyFont="1" applyFill="1" applyBorder="1" applyAlignment="1">
      <alignment horizontal="center" vertical="center" wrapText="1"/>
    </xf>
    <xf numFmtId="195" fontId="38" fillId="28" borderId="21" xfId="135" applyNumberFormat="1" applyFont="1" applyFill="1" applyBorder="1" applyAlignment="1">
      <alignment vertical="center"/>
    </xf>
    <xf numFmtId="4" fontId="0" fillId="0" borderId="0" xfId="0" applyNumberFormat="1" applyAlignment="1">
      <alignment vertical="center"/>
    </xf>
    <xf numFmtId="3" fontId="0" fillId="27" borderId="0" xfId="0" applyNumberFormat="1" applyFill="1" applyAlignment="1">
      <alignment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3" fontId="0" fillId="27" borderId="0" xfId="0" applyNumberFormat="1" applyFill="1" applyAlignment="1">
      <alignment horizontal="right" vertical="center"/>
    </xf>
    <xf numFmtId="0" fontId="43" fillId="27" borderId="20" xfId="0" applyFont="1" applyFill="1" applyBorder="1" applyAlignment="1">
      <alignment vertical="center"/>
    </xf>
    <xf numFmtId="0" fontId="42" fillId="27" borderId="0" xfId="0" applyFont="1" applyFill="1" applyAlignment="1">
      <alignment horizontal="center" vertical="center"/>
    </xf>
    <xf numFmtId="3" fontId="38" fillId="28" borderId="1" xfId="0" applyNumberFormat="1" applyFont="1" applyFill="1" applyBorder="1" applyAlignment="1">
      <alignment horizontal="center" vertical="center" wrapText="1"/>
    </xf>
    <xf numFmtId="3" fontId="38" fillId="0" borderId="20" xfId="0" applyNumberFormat="1" applyFont="1" applyBorder="1" applyAlignment="1">
      <alignment horizontal="center" vertical="center" wrapText="1"/>
    </xf>
    <xf numFmtId="0" fontId="43" fillId="27" borderId="0" xfId="0" applyFont="1" applyFill="1" applyAlignment="1">
      <alignment horizontal="center" vertical="center"/>
    </xf>
    <xf numFmtId="0" fontId="39" fillId="27" borderId="0" xfId="0" applyFont="1" applyFill="1" applyAlignment="1">
      <alignment vertical="center"/>
    </xf>
    <xf numFmtId="0" fontId="0" fillId="0" borderId="3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95" fontId="0" fillId="0" borderId="24" xfId="135" applyNumberFormat="1" applyFont="1" applyFill="1" applyBorder="1" applyAlignment="1">
      <alignment horizontal="right" vertical="center"/>
    </xf>
    <xf numFmtId="195" fontId="0" fillId="0" borderId="25" xfId="135" applyNumberFormat="1" applyFont="1" applyFill="1" applyBorder="1" applyAlignment="1">
      <alignment horizontal="right" vertical="center"/>
    </xf>
    <xf numFmtId="194" fontId="43" fillId="0" borderId="26" xfId="134" applyNumberFormat="1" applyFont="1" applyFill="1" applyBorder="1" applyAlignment="1">
      <alignment horizontal="right" vertical="center"/>
    </xf>
    <xf numFmtId="195" fontId="0" fillId="0" borderId="24" xfId="135" applyNumberFormat="1" applyFont="1" applyFill="1" applyBorder="1" applyAlignment="1">
      <alignment vertical="center"/>
    </xf>
    <xf numFmtId="0" fontId="0" fillId="0" borderId="30" xfId="0" applyBorder="1" applyAlignment="1">
      <alignment horizontal="left" vertical="center"/>
    </xf>
    <xf numFmtId="195" fontId="0" fillId="0" borderId="27" xfId="135" applyNumberFormat="1" applyFont="1" applyFill="1" applyBorder="1" applyAlignment="1">
      <alignment horizontal="right" vertical="center"/>
    </xf>
    <xf numFmtId="195" fontId="0" fillId="0" borderId="0" xfId="135" applyNumberFormat="1" applyFont="1" applyFill="1" applyBorder="1" applyAlignment="1">
      <alignment horizontal="right" vertical="center"/>
    </xf>
    <xf numFmtId="194" fontId="43" fillId="0" borderId="17" xfId="134" applyNumberFormat="1" applyFont="1" applyFill="1" applyBorder="1" applyAlignment="1">
      <alignment horizontal="right" vertical="center"/>
    </xf>
    <xf numFmtId="195" fontId="0" fillId="0" borderId="27" xfId="135" applyNumberFormat="1" applyFont="1" applyFill="1" applyBorder="1" applyAlignment="1">
      <alignment vertical="center"/>
    </xf>
    <xf numFmtId="0" fontId="0" fillId="0" borderId="32" xfId="0" applyBorder="1" applyAlignment="1">
      <alignment horizontal="left" vertical="center"/>
    </xf>
    <xf numFmtId="195" fontId="0" fillId="0" borderId="28" xfId="135" applyNumberFormat="1" applyFont="1" applyFill="1" applyBorder="1" applyAlignment="1">
      <alignment horizontal="right" vertical="center"/>
    </xf>
    <xf numFmtId="195" fontId="0" fillId="0" borderId="7" xfId="135" applyNumberFormat="1" applyFont="1" applyFill="1" applyBorder="1" applyAlignment="1">
      <alignment horizontal="right" vertical="center"/>
    </xf>
    <xf numFmtId="194" fontId="43" fillId="0" borderId="29" xfId="134" applyNumberFormat="1" applyFont="1" applyFill="1" applyBorder="1" applyAlignment="1">
      <alignment horizontal="right" vertical="center"/>
    </xf>
    <xf numFmtId="195" fontId="0" fillId="0" borderId="28" xfId="135" applyNumberFormat="1" applyFont="1" applyFill="1" applyBorder="1" applyAlignment="1">
      <alignment vertical="center"/>
    </xf>
    <xf numFmtId="195" fontId="38" fillId="27" borderId="0" xfId="135" applyNumberFormat="1" applyFont="1" applyFill="1" applyAlignment="1">
      <alignment horizontal="right" vertical="center" wrapText="1"/>
    </xf>
    <xf numFmtId="194" fontId="38" fillId="27" borderId="0" xfId="134" applyNumberFormat="1" applyFont="1" applyFill="1" applyAlignment="1">
      <alignment horizontal="right" vertical="center" wrapText="1"/>
    </xf>
    <xf numFmtId="194" fontId="43" fillId="27" borderId="0" xfId="134" applyNumberFormat="1" applyFont="1" applyFill="1" applyAlignment="1">
      <alignment vertical="center"/>
    </xf>
    <xf numFmtId="3" fontId="38" fillId="0" borderId="33" xfId="0" applyNumberFormat="1" applyFont="1" applyBorder="1" applyAlignment="1">
      <alignment horizontal="center" vertical="center" wrapText="1"/>
    </xf>
    <xf numFmtId="195" fontId="38" fillId="28" borderId="21" xfId="135" applyNumberFormat="1" applyFont="1" applyFill="1" applyBorder="1" applyAlignment="1">
      <alignment horizontal="right" vertical="center" wrapText="1"/>
    </xf>
    <xf numFmtId="195" fontId="38" fillId="28" borderId="22" xfId="135" applyNumberFormat="1" applyFont="1" applyFill="1" applyBorder="1" applyAlignment="1">
      <alignment horizontal="right" vertical="center" wrapText="1"/>
    </xf>
    <xf numFmtId="194" fontId="38" fillId="28" borderId="23" xfId="134" applyNumberFormat="1" applyFont="1" applyFill="1" applyBorder="1" applyAlignment="1">
      <alignment horizontal="right" vertical="center" wrapText="1"/>
    </xf>
    <xf numFmtId="0" fontId="45" fillId="27" borderId="0" xfId="0" applyFont="1" applyFill="1" applyAlignment="1">
      <alignment vertical="center"/>
    </xf>
    <xf numFmtId="195" fontId="46" fillId="27" borderId="0" xfId="135" applyNumberFormat="1" applyFont="1" applyFill="1" applyAlignment="1">
      <alignment horizontal="right" vertical="center"/>
    </xf>
    <xf numFmtId="195" fontId="46" fillId="27" borderId="0" xfId="135" applyNumberFormat="1" applyFont="1" applyFill="1" applyAlignment="1">
      <alignment vertical="center"/>
    </xf>
    <xf numFmtId="0" fontId="38" fillId="28" borderId="22" xfId="136" applyFont="1" applyFill="1" applyBorder="1" applyAlignment="1">
      <alignment horizontal="center" vertical="center" wrapText="1"/>
    </xf>
    <xf numFmtId="0" fontId="38" fillId="28" borderId="23" xfId="136" applyFont="1" applyFill="1" applyBorder="1" applyAlignment="1">
      <alignment horizontal="center" vertical="center" wrapText="1"/>
    </xf>
    <xf numFmtId="195" fontId="47" fillId="27" borderId="0" xfId="135" applyNumberFormat="1" applyFont="1" applyFill="1" applyAlignment="1">
      <alignment horizontal="right" vertical="center"/>
    </xf>
    <xf numFmtId="3" fontId="46" fillId="27" borderId="0" xfId="0" applyNumberFormat="1" applyFont="1" applyFill="1" applyAlignment="1">
      <alignment vertical="center"/>
    </xf>
    <xf numFmtId="194" fontId="0" fillId="0" borderId="0" xfId="134" applyNumberFormat="1" applyFont="1" applyFill="1" applyAlignment="1">
      <alignment vertical="center"/>
    </xf>
    <xf numFmtId="3" fontId="43" fillId="0" borderId="0" xfId="0" applyNumberFormat="1" applyFont="1"/>
    <xf numFmtId="9" fontId="0" fillId="27" borderId="0" xfId="134" applyFont="1" applyFill="1" applyAlignment="1">
      <alignment vertical="center"/>
    </xf>
    <xf numFmtId="3" fontId="48" fillId="27" borderId="0" xfId="0" applyNumberFormat="1" applyFont="1" applyFill="1" applyAlignment="1">
      <alignment horizontal="right" vertical="center" wrapText="1"/>
    </xf>
    <xf numFmtId="197" fontId="47" fillId="27" borderId="0" xfId="135" applyNumberFormat="1" applyFont="1" applyFill="1" applyAlignment="1">
      <alignment horizontal="right" vertical="center"/>
    </xf>
    <xf numFmtId="4" fontId="0" fillId="27" borderId="0" xfId="0" applyNumberFormat="1" applyFill="1" applyAlignment="1">
      <alignment horizontal="right" vertical="center"/>
    </xf>
    <xf numFmtId="0" fontId="0" fillId="0" borderId="0" xfId="0" applyAlignment="1">
      <alignment horizontal="left"/>
    </xf>
    <xf numFmtId="3" fontId="0" fillId="0" borderId="0" xfId="0" applyNumberFormat="1"/>
    <xf numFmtId="194" fontId="0" fillId="0" borderId="0" xfId="134" applyNumberFormat="1" applyFont="1" applyAlignment="1">
      <alignment horizontal="center"/>
    </xf>
    <xf numFmtId="0" fontId="38" fillId="29" borderId="0" xfId="0" applyFont="1" applyFill="1"/>
    <xf numFmtId="0" fontId="38" fillId="29" borderId="0" xfId="0" applyFont="1" applyFill="1" applyAlignment="1">
      <alignment horizontal="centerContinuous" vertical="center"/>
    </xf>
    <xf numFmtId="0" fontId="38" fillId="29" borderId="34" xfId="0" applyFont="1" applyFill="1" applyBorder="1"/>
    <xf numFmtId="0" fontId="38" fillId="29" borderId="34" xfId="0" applyFont="1" applyFill="1" applyBorder="1" applyAlignment="1">
      <alignment horizontal="center"/>
    </xf>
    <xf numFmtId="0" fontId="38" fillId="29" borderId="35" xfId="0" applyFont="1" applyFill="1" applyBorder="1" applyAlignment="1">
      <alignment horizontal="left"/>
    </xf>
    <xf numFmtId="3" fontId="38" fillId="29" borderId="35" xfId="0" applyNumberFormat="1" applyFont="1" applyFill="1" applyBorder="1"/>
    <xf numFmtId="194" fontId="38" fillId="29" borderId="35" xfId="134" applyNumberFormat="1" applyFont="1" applyFill="1" applyBorder="1" applyAlignment="1">
      <alignment horizontal="center"/>
    </xf>
    <xf numFmtId="2" fontId="38" fillId="30" borderId="0" xfId="0" applyNumberFormat="1" applyFont="1" applyFill="1" applyAlignment="1">
      <alignment horizontal="centerContinuous" vertical="center" wrapText="1"/>
    </xf>
    <xf numFmtId="0" fontId="38" fillId="31" borderId="0" xfId="0" applyFont="1" applyFill="1"/>
    <xf numFmtId="0" fontId="38" fillId="31" borderId="0" xfId="0" applyFont="1" applyFill="1" applyAlignment="1">
      <alignment horizontal="center"/>
    </xf>
    <xf numFmtId="194" fontId="0" fillId="32" borderId="0" xfId="134" applyNumberFormat="1" applyFont="1" applyFill="1" applyBorder="1" applyAlignment="1">
      <alignment horizontal="center"/>
    </xf>
    <xf numFmtId="194" fontId="38" fillId="31" borderId="0" xfId="134" applyNumberFormat="1" applyFont="1" applyFill="1" applyBorder="1" applyAlignment="1">
      <alignment horizontal="center"/>
    </xf>
    <xf numFmtId="0" fontId="38" fillId="33" borderId="35" xfId="0" applyFont="1" applyFill="1" applyBorder="1" applyAlignment="1">
      <alignment horizontal="left"/>
    </xf>
    <xf numFmtId="3" fontId="38" fillId="33" borderId="35" xfId="0" applyNumberFormat="1" applyFont="1" applyFill="1" applyBorder="1"/>
    <xf numFmtId="9" fontId="38" fillId="33" borderId="35" xfId="134" applyFont="1" applyFill="1" applyBorder="1" applyAlignment="1">
      <alignment horizontal="center"/>
    </xf>
    <xf numFmtId="194" fontId="38" fillId="33" borderId="35" xfId="134" applyNumberFormat="1" applyFont="1" applyFill="1" applyBorder="1" applyAlignment="1">
      <alignment horizontal="center"/>
    </xf>
    <xf numFmtId="0" fontId="49" fillId="0" borderId="0" xfId="0" applyFont="1"/>
    <xf numFmtId="194" fontId="41" fillId="0" borderId="17" xfId="139" applyNumberFormat="1" applyFont="1" applyFill="1" applyBorder="1" applyAlignment="1">
      <alignment horizontal="center" vertical="center"/>
    </xf>
    <xf numFmtId="0" fontId="38" fillId="33" borderId="22" xfId="0" applyFont="1" applyFill="1" applyBorder="1" applyAlignment="1">
      <alignment horizontal="center" vertical="center"/>
    </xf>
    <xf numFmtId="0" fontId="50" fillId="27" borderId="0" xfId="0" applyFont="1" applyFill="1" applyAlignment="1">
      <alignment vertical="center"/>
    </xf>
    <xf numFmtId="0" fontId="52" fillId="33" borderId="34" xfId="0" applyFont="1" applyFill="1" applyBorder="1" applyAlignment="1">
      <alignment vertical="center"/>
    </xf>
    <xf numFmtId="0" fontId="52" fillId="33" borderId="34" xfId="0" applyFont="1" applyFill="1" applyBorder="1" applyAlignment="1">
      <alignment horizontal="center" vertical="center"/>
    </xf>
    <xf numFmtId="0" fontId="51" fillId="0" borderId="0" xfId="0" applyFont="1" applyAlignment="1">
      <alignment horizontal="left"/>
    </xf>
    <xf numFmtId="3" fontId="51" fillId="0" borderId="0" xfId="0" applyNumberFormat="1" applyFont="1"/>
    <xf numFmtId="194" fontId="51" fillId="0" borderId="0" xfId="134" applyNumberFormat="1" applyFont="1" applyAlignment="1">
      <alignment horizontal="center"/>
    </xf>
    <xf numFmtId="194" fontId="53" fillId="0" borderId="17" xfId="139" applyNumberFormat="1" applyFont="1" applyFill="1" applyBorder="1" applyAlignment="1">
      <alignment horizontal="center" vertical="center"/>
    </xf>
    <xf numFmtId="0" fontId="54" fillId="30" borderId="22" xfId="0" applyFont="1" applyFill="1" applyBorder="1" applyAlignment="1">
      <alignment horizontal="left"/>
    </xf>
    <xf numFmtId="3" fontId="54" fillId="30" borderId="22" xfId="0" applyNumberFormat="1" applyFont="1" applyFill="1" applyBorder="1"/>
    <xf numFmtId="9" fontId="54" fillId="30" borderId="22" xfId="134" applyFont="1" applyFill="1" applyBorder="1" applyAlignment="1">
      <alignment horizontal="center"/>
    </xf>
    <xf numFmtId="194" fontId="54" fillId="30" borderId="22" xfId="134" applyNumberFormat="1" applyFont="1" applyFill="1" applyBorder="1" applyAlignment="1">
      <alignment horizontal="center"/>
    </xf>
    <xf numFmtId="0" fontId="51" fillId="0" borderId="0" xfId="0" applyFont="1" applyAlignment="1">
      <alignment horizontal="center"/>
    </xf>
    <xf numFmtId="0" fontId="51" fillId="0" borderId="0" xfId="0" applyFont="1" applyAlignment="1">
      <alignment horizontal="center" vertical="center"/>
    </xf>
    <xf numFmtId="3" fontId="51" fillId="0" borderId="0" xfId="0" applyNumberFormat="1" applyFont="1" applyAlignment="1">
      <alignment vertical="center"/>
    </xf>
    <xf numFmtId="194" fontId="51" fillId="0" borderId="0" xfId="134" applyNumberFormat="1" applyFont="1" applyAlignment="1">
      <alignment horizontal="center" vertical="center"/>
    </xf>
    <xf numFmtId="0" fontId="51" fillId="0" borderId="0" xfId="0" applyFont="1" applyAlignment="1">
      <alignment horizontal="left" vertical="center" wrapText="1"/>
    </xf>
    <xf numFmtId="17" fontId="38" fillId="28" borderId="22" xfId="137" applyNumberFormat="1" applyFont="1" applyFill="1" applyBorder="1" applyAlignment="1">
      <alignment horizontal="center" vertical="center" wrapText="1"/>
    </xf>
    <xf numFmtId="17" fontId="38" fillId="28" borderId="23" xfId="137" applyNumberFormat="1" applyFont="1" applyFill="1" applyBorder="1" applyAlignment="1">
      <alignment horizontal="center" vertical="center" wrapText="1"/>
    </xf>
    <xf numFmtId="0" fontId="50" fillId="27" borderId="7" xfId="0" applyFont="1" applyFill="1" applyBorder="1" applyAlignment="1">
      <alignment horizontal="left" vertical="center"/>
    </xf>
    <xf numFmtId="0" fontId="50" fillId="27" borderId="7" xfId="0" applyFont="1" applyFill="1" applyBorder="1" applyAlignment="1">
      <alignment horizontal="center" vertical="center"/>
    </xf>
    <xf numFmtId="0" fontId="51" fillId="0" borderId="0" xfId="0" applyFont="1" applyAlignment="1">
      <alignment horizontal="center"/>
    </xf>
  </cellXfs>
  <cellStyles count="140">
    <cellStyle name="@ .....rpm" xfId="2" xr:uid="{00000000-0005-0000-0000-000000000000}"/>
    <cellStyle name="20% - Énfasis1 2" xfId="3" xr:uid="{00000000-0005-0000-0000-000001000000}"/>
    <cellStyle name="20% - Énfasis1 2 2" xfId="4" xr:uid="{00000000-0005-0000-0000-000002000000}"/>
    <cellStyle name="20% - Énfasis2 2" xfId="5" xr:uid="{00000000-0005-0000-0000-000003000000}"/>
    <cellStyle name="20% - Énfasis2 2 2" xfId="6" xr:uid="{00000000-0005-0000-0000-000004000000}"/>
    <cellStyle name="20% - Énfasis3 2" xfId="7" xr:uid="{00000000-0005-0000-0000-000005000000}"/>
    <cellStyle name="20% - Énfasis3 2 2" xfId="8" xr:uid="{00000000-0005-0000-0000-000006000000}"/>
    <cellStyle name="20% - Énfasis4 2" xfId="9" xr:uid="{00000000-0005-0000-0000-000007000000}"/>
    <cellStyle name="20% - Énfasis4 2 2" xfId="10" xr:uid="{00000000-0005-0000-0000-000008000000}"/>
    <cellStyle name="20% - Énfasis5 2" xfId="11" xr:uid="{00000000-0005-0000-0000-000009000000}"/>
    <cellStyle name="20% - Énfasis5 2 2" xfId="12" xr:uid="{00000000-0005-0000-0000-00000A000000}"/>
    <cellStyle name="20% - Énfasis6 2" xfId="13" xr:uid="{00000000-0005-0000-0000-00000B000000}"/>
    <cellStyle name="20% - Énfasis6 2 2" xfId="14" xr:uid="{00000000-0005-0000-0000-00000C000000}"/>
    <cellStyle name="40% - Énfasis1 2" xfId="15" xr:uid="{00000000-0005-0000-0000-00000D000000}"/>
    <cellStyle name="40% - Énfasis1 2 2" xfId="16" xr:uid="{00000000-0005-0000-0000-00000E000000}"/>
    <cellStyle name="40% - Énfasis2 2" xfId="17" xr:uid="{00000000-0005-0000-0000-00000F000000}"/>
    <cellStyle name="40% - Énfasis2 2 2" xfId="18" xr:uid="{00000000-0005-0000-0000-000010000000}"/>
    <cellStyle name="40% - Énfasis3 2" xfId="19" xr:uid="{00000000-0005-0000-0000-000011000000}"/>
    <cellStyle name="40% - Énfasis3 2 2" xfId="20" xr:uid="{00000000-0005-0000-0000-000012000000}"/>
    <cellStyle name="40% - Énfasis4 2" xfId="21" xr:uid="{00000000-0005-0000-0000-000013000000}"/>
    <cellStyle name="40% - Énfasis4 2 2" xfId="22" xr:uid="{00000000-0005-0000-0000-000014000000}"/>
    <cellStyle name="40% - Énfasis5 2" xfId="23" xr:uid="{00000000-0005-0000-0000-000015000000}"/>
    <cellStyle name="40% - Énfasis5 2 2" xfId="24" xr:uid="{00000000-0005-0000-0000-000016000000}"/>
    <cellStyle name="40% - Énfasis6 2" xfId="25" xr:uid="{00000000-0005-0000-0000-000017000000}"/>
    <cellStyle name="40% - Énfasis6 2 2" xfId="26" xr:uid="{00000000-0005-0000-0000-000018000000}"/>
    <cellStyle name="60% - Énfasis1 2" xfId="27" xr:uid="{00000000-0005-0000-0000-000019000000}"/>
    <cellStyle name="60% - Énfasis1 2 2" xfId="28" xr:uid="{00000000-0005-0000-0000-00001A000000}"/>
    <cellStyle name="60% - Énfasis2 2" xfId="29" xr:uid="{00000000-0005-0000-0000-00001B000000}"/>
    <cellStyle name="60% - Énfasis2 2 2" xfId="30" xr:uid="{00000000-0005-0000-0000-00001C000000}"/>
    <cellStyle name="60% - Énfasis3 2" xfId="31" xr:uid="{00000000-0005-0000-0000-00001D000000}"/>
    <cellStyle name="60% - Énfasis3 2 2" xfId="32" xr:uid="{00000000-0005-0000-0000-00001E000000}"/>
    <cellStyle name="60% - Énfasis4 2" xfId="33" xr:uid="{00000000-0005-0000-0000-00001F000000}"/>
    <cellStyle name="60% - Énfasis4 2 2" xfId="34" xr:uid="{00000000-0005-0000-0000-000020000000}"/>
    <cellStyle name="60% - Énfasis5 2" xfId="35" xr:uid="{00000000-0005-0000-0000-000021000000}"/>
    <cellStyle name="60% - Énfasis5 2 2" xfId="36" xr:uid="{00000000-0005-0000-0000-000022000000}"/>
    <cellStyle name="60% - Énfasis6 2" xfId="37" xr:uid="{00000000-0005-0000-0000-000023000000}"/>
    <cellStyle name="60% - Énfasis6 2 2" xfId="38" xr:uid="{00000000-0005-0000-0000-000024000000}"/>
    <cellStyle name="Angulo" xfId="39" xr:uid="{00000000-0005-0000-0000-000025000000}"/>
    <cellStyle name="Buena 2" xfId="40" xr:uid="{00000000-0005-0000-0000-000026000000}"/>
    <cellStyle name="Buena 2 2" xfId="41" xr:uid="{00000000-0005-0000-0000-000027000000}"/>
    <cellStyle name="Cálculo 2" xfId="42" xr:uid="{00000000-0005-0000-0000-000028000000}"/>
    <cellStyle name="Cálculo 2 2" xfId="43" xr:uid="{00000000-0005-0000-0000-000029000000}"/>
    <cellStyle name="cc" xfId="44" xr:uid="{00000000-0005-0000-0000-00002A000000}"/>
    <cellStyle name="Celda de comprobación 2" xfId="45" xr:uid="{00000000-0005-0000-0000-00002B000000}"/>
    <cellStyle name="Celda de comprobación 2 2" xfId="46" xr:uid="{00000000-0005-0000-0000-00002C000000}"/>
    <cellStyle name="Celda vinculada 2" xfId="47" xr:uid="{00000000-0005-0000-0000-00002D000000}"/>
    <cellStyle name="Celda vinculada 2 2" xfId="48" xr:uid="{00000000-0005-0000-0000-00002E000000}"/>
    <cellStyle name="DobleEspacio" xfId="49" xr:uid="{00000000-0005-0000-0000-00002F000000}"/>
    <cellStyle name="Encabezado 4 2" xfId="50" xr:uid="{00000000-0005-0000-0000-000030000000}"/>
    <cellStyle name="Encabezado 4 2 2" xfId="51" xr:uid="{00000000-0005-0000-0000-000031000000}"/>
    <cellStyle name="Énfasis1 2" xfId="52" xr:uid="{00000000-0005-0000-0000-000032000000}"/>
    <cellStyle name="Énfasis1 2 2" xfId="53" xr:uid="{00000000-0005-0000-0000-000033000000}"/>
    <cellStyle name="Énfasis2 2" xfId="54" xr:uid="{00000000-0005-0000-0000-000034000000}"/>
    <cellStyle name="Énfasis2 2 2" xfId="55" xr:uid="{00000000-0005-0000-0000-000035000000}"/>
    <cellStyle name="Énfasis3 2" xfId="56" xr:uid="{00000000-0005-0000-0000-000036000000}"/>
    <cellStyle name="Énfasis3 2 2" xfId="57" xr:uid="{00000000-0005-0000-0000-000037000000}"/>
    <cellStyle name="Énfasis4 2" xfId="58" xr:uid="{00000000-0005-0000-0000-000038000000}"/>
    <cellStyle name="Énfasis4 2 2" xfId="59" xr:uid="{00000000-0005-0000-0000-000039000000}"/>
    <cellStyle name="Énfasis5 2" xfId="60" xr:uid="{00000000-0005-0000-0000-00003A000000}"/>
    <cellStyle name="Énfasis5 2 2" xfId="61" xr:uid="{00000000-0005-0000-0000-00003B000000}"/>
    <cellStyle name="Énfasis6 2" xfId="62" xr:uid="{00000000-0005-0000-0000-00003C000000}"/>
    <cellStyle name="Énfasis6 2 2" xfId="63" xr:uid="{00000000-0005-0000-0000-00003D000000}"/>
    <cellStyle name="Entrada 2" xfId="64" xr:uid="{00000000-0005-0000-0000-00003E000000}"/>
    <cellStyle name="Entrada 2 2" xfId="65" xr:uid="{00000000-0005-0000-0000-00003F000000}"/>
    <cellStyle name="Espacio" xfId="66" xr:uid="{00000000-0005-0000-0000-000040000000}"/>
    <cellStyle name="Euro" xfId="67" xr:uid="{00000000-0005-0000-0000-000041000000}"/>
    <cellStyle name="Evaluación" xfId="68" xr:uid="{00000000-0005-0000-0000-000042000000}"/>
    <cellStyle name="Fecha" xfId="69" xr:uid="{00000000-0005-0000-0000-000043000000}"/>
    <cellStyle name="Incorrecto 2" xfId="70" xr:uid="{00000000-0005-0000-0000-000044000000}"/>
    <cellStyle name="Incorrecto 2 2" xfId="71" xr:uid="{00000000-0005-0000-0000-000045000000}"/>
    <cellStyle name="Kg." xfId="72" xr:uid="{00000000-0005-0000-0000-000046000000}"/>
    <cellStyle name="Kg./m³" xfId="73" xr:uid="{00000000-0005-0000-0000-000047000000}"/>
    <cellStyle name="Kg-m" xfId="74" xr:uid="{00000000-0005-0000-0000-000048000000}"/>
    <cellStyle name="Kilos" xfId="75" xr:uid="{00000000-0005-0000-0000-000049000000}"/>
    <cellStyle name="Km/gal" xfId="76" xr:uid="{00000000-0005-0000-0000-00004A000000}"/>
    <cellStyle name="Km/hr" xfId="77" xr:uid="{00000000-0005-0000-0000-00004B000000}"/>
    <cellStyle name="l/hr" xfId="78" xr:uid="{00000000-0005-0000-0000-00004C000000}"/>
    <cellStyle name="Litros" xfId="79" xr:uid="{00000000-0005-0000-0000-00004D000000}"/>
    <cellStyle name="m" xfId="80" xr:uid="{00000000-0005-0000-0000-00004E000000}"/>
    <cellStyle name="m/m" xfId="81" xr:uid="{00000000-0005-0000-0000-00004F000000}"/>
    <cellStyle name="m²" xfId="82" xr:uid="{00000000-0005-0000-0000-000050000000}"/>
    <cellStyle name="m³" xfId="83" xr:uid="{00000000-0005-0000-0000-000051000000}"/>
    <cellStyle name="Milimetros" xfId="84" xr:uid="{00000000-0005-0000-0000-000052000000}"/>
    <cellStyle name="Millares" xfId="135" builtinId="3"/>
    <cellStyle name="Millares 2" xfId="85" xr:uid="{00000000-0005-0000-0000-000054000000}"/>
    <cellStyle name="Millares 2 2" xfId="86" xr:uid="{00000000-0005-0000-0000-000055000000}"/>
    <cellStyle name="Millares 3" xfId="87" xr:uid="{00000000-0005-0000-0000-000056000000}"/>
    <cellStyle name="Millones" xfId="88" xr:uid="{00000000-0005-0000-0000-000057000000}"/>
    <cellStyle name="Millones (0)" xfId="89" xr:uid="{00000000-0005-0000-0000-000058000000}"/>
    <cellStyle name="Moneda centrado" xfId="90" xr:uid="{00000000-0005-0000-0000-000059000000}"/>
    <cellStyle name="Neutral 2" xfId="91" xr:uid="{00000000-0005-0000-0000-00005A000000}"/>
    <cellStyle name="Neutral 2 2" xfId="92" xr:uid="{00000000-0005-0000-0000-00005B000000}"/>
    <cellStyle name="Normal" xfId="0" builtinId="0"/>
    <cellStyle name="Normal 2" xfId="93" xr:uid="{00000000-0005-0000-0000-00005D000000}"/>
    <cellStyle name="Normal 2 2" xfId="94" xr:uid="{00000000-0005-0000-0000-00005E000000}"/>
    <cellStyle name="Normal 2 3 2" xfId="138" xr:uid="{00000000-0005-0000-0000-00005F000000}"/>
    <cellStyle name="Normal 2_Autom" xfId="95" xr:uid="{00000000-0005-0000-0000-000060000000}"/>
    <cellStyle name="Normal 3" xfId="1" xr:uid="{00000000-0005-0000-0000-000061000000}"/>
    <cellStyle name="Normal 4" xfId="96" xr:uid="{00000000-0005-0000-0000-000062000000}"/>
    <cellStyle name="Normal 5" xfId="97" xr:uid="{00000000-0005-0000-0000-000063000000}"/>
    <cellStyle name="Normal 6" xfId="98" xr:uid="{00000000-0005-0000-0000-000064000000}"/>
    <cellStyle name="Normal 7" xfId="99" xr:uid="{00000000-0005-0000-0000-000065000000}"/>
    <cellStyle name="Normal 8" xfId="100" xr:uid="{00000000-0005-0000-0000-000066000000}"/>
    <cellStyle name="Normal_Hoja1 2" xfId="137" xr:uid="{00000000-0005-0000-0000-000067000000}"/>
    <cellStyle name="Normal_Hoja2 2" xfId="136" xr:uid="{00000000-0005-0000-0000-000068000000}"/>
    <cellStyle name="Notas 2" xfId="101" xr:uid="{00000000-0005-0000-0000-000069000000}"/>
    <cellStyle name="Notas 2 2" xfId="102" xr:uid="{00000000-0005-0000-0000-00006A000000}"/>
    <cellStyle name="Partida" xfId="103" xr:uid="{00000000-0005-0000-0000-00006B000000}"/>
    <cellStyle name="Porcentaje" xfId="134" builtinId="5"/>
    <cellStyle name="Porcentaje 2" xfId="139" xr:uid="{00000000-0005-0000-0000-00006D000000}"/>
    <cellStyle name="PS" xfId="104" xr:uid="{00000000-0005-0000-0000-00006E000000}"/>
    <cellStyle name="Relación" xfId="105" xr:uid="{00000000-0005-0000-0000-00006F000000}"/>
    <cellStyle name="rpm" xfId="106" xr:uid="{00000000-0005-0000-0000-000070000000}"/>
    <cellStyle name="Salida 2" xfId="107" xr:uid="{00000000-0005-0000-0000-000071000000}"/>
    <cellStyle name="Salida 2 2" xfId="108" xr:uid="{00000000-0005-0000-0000-000072000000}"/>
    <cellStyle name="Small 6" xfId="109" xr:uid="{00000000-0005-0000-0000-000073000000}"/>
    <cellStyle name="Soles" xfId="110" xr:uid="{00000000-0005-0000-0000-000074000000}"/>
    <cellStyle name="Subscript" xfId="111" xr:uid="{00000000-0005-0000-0000-000075000000}"/>
    <cellStyle name="Superscript" xfId="112" xr:uid="{00000000-0005-0000-0000-000076000000}"/>
    <cellStyle name="Teléfono" xfId="113" xr:uid="{00000000-0005-0000-0000-000077000000}"/>
    <cellStyle name="Text" xfId="114" xr:uid="{00000000-0005-0000-0000-000078000000}"/>
    <cellStyle name="Texto de advertencia 2" xfId="115" xr:uid="{00000000-0005-0000-0000-000079000000}"/>
    <cellStyle name="Texto de advertencia 2 2" xfId="116" xr:uid="{00000000-0005-0000-0000-00007A000000}"/>
    <cellStyle name="Texto explicativo 2" xfId="117" xr:uid="{00000000-0005-0000-0000-00007B000000}"/>
    <cellStyle name="Texto explicativo 2 2" xfId="118" xr:uid="{00000000-0005-0000-0000-00007C000000}"/>
    <cellStyle name="Time" xfId="119" xr:uid="{00000000-0005-0000-0000-00007D000000}"/>
    <cellStyle name="Title 10" xfId="120" xr:uid="{00000000-0005-0000-0000-00007E000000}"/>
    <cellStyle name="Título 1 2" xfId="121" xr:uid="{00000000-0005-0000-0000-00007F000000}"/>
    <cellStyle name="Título 1 2 2" xfId="122" xr:uid="{00000000-0005-0000-0000-000080000000}"/>
    <cellStyle name="Título 2 2" xfId="123" xr:uid="{00000000-0005-0000-0000-000081000000}"/>
    <cellStyle name="Título 2 2 2" xfId="124" xr:uid="{00000000-0005-0000-0000-000082000000}"/>
    <cellStyle name="Título 3 2" xfId="125" xr:uid="{00000000-0005-0000-0000-000083000000}"/>
    <cellStyle name="Título 3 2 2" xfId="126" xr:uid="{00000000-0005-0000-0000-000084000000}"/>
    <cellStyle name="Título 4" xfId="127" xr:uid="{00000000-0005-0000-0000-000085000000}"/>
    <cellStyle name="Título 4 2" xfId="128" xr:uid="{00000000-0005-0000-0000-000086000000}"/>
    <cellStyle name="Ton" xfId="129" xr:uid="{00000000-0005-0000-0000-000087000000}"/>
    <cellStyle name="Total 2" xfId="130" xr:uid="{00000000-0005-0000-0000-000088000000}"/>
    <cellStyle name="Total 2 2" xfId="131" xr:uid="{00000000-0005-0000-0000-000089000000}"/>
    <cellStyle name="Wrap Text 8" xfId="132" xr:uid="{00000000-0005-0000-0000-00008A000000}"/>
    <cellStyle name="표준_RA-210426(5월오더)" xfId="133" xr:uid="{00000000-0005-0000-0000-00008B000000}"/>
  </cellStyles>
  <dxfs count="33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E9AAE0C-2E73-4A8D-926D-8D1A6ABAEC73}">
      <tableStyleElement type="wholeTable" dxfId="32"/>
      <tableStyleElement type="headerRow" dxfId="31"/>
    </tableStyle>
  </tableStyles>
  <colors>
    <mruColors>
      <color rgb="FF60497A"/>
      <color rgb="FFFF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file:///C:\Users\everde\Desktop\09-%202014%20-%20Reporte%20-%20Setiembre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F:\01.%20AAP\01.%20Gerencia%20de%20Placas\1.3.%20Estad&#237;sticas\01.%20Inmatriculaciones%20e%20Importaciones\2014\11.%20Noviembre\Suministros_Work_Noviembre-2014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"/>
  <sheetViews>
    <sheetView showGridLines="0" tabSelected="1" zoomScale="80" zoomScaleNormal="80" workbookViewId="0">
      <pane xSplit="3" ySplit="3" topLeftCell="D13" activePane="bottomRight" state="frozen"/>
      <selection pane="topRight" activeCell="D1" sqref="D1"/>
      <selection pane="bottomLeft" activeCell="A4" sqref="A4"/>
      <selection pane="bottomRight" activeCell="AB23" sqref="AB23"/>
    </sheetView>
  </sheetViews>
  <sheetFormatPr baseColWidth="10" defaultRowHeight="15" outlineLevelCol="1" x14ac:dyDescent="0.25"/>
  <cols>
    <col min="1" max="1" width="4.42578125" style="3" customWidth="1"/>
    <col min="2" max="2" width="25.28515625" style="26" customWidth="1"/>
    <col min="3" max="3" width="1" style="55" customWidth="1"/>
    <col min="4" max="4" width="13" style="56" bestFit="1" customWidth="1"/>
    <col min="5" max="5" width="14" style="56" customWidth="1"/>
    <col min="6" max="14" width="8.85546875" style="56" hidden="1" customWidth="1" outlineLevel="1"/>
    <col min="15" max="15" width="10.28515625" style="56" hidden="1" customWidth="1" outlineLevel="1"/>
    <col min="16" max="16" width="16.5703125" style="56" bestFit="1" customWidth="1" collapsed="1"/>
    <col min="17" max="17" width="13" style="56" bestFit="1" customWidth="1"/>
    <col min="18" max="18" width="1.140625" style="26" customWidth="1"/>
    <col min="19" max="19" width="13" style="26" bestFit="1" customWidth="1"/>
    <col min="20" max="20" width="13.7109375" style="26" customWidth="1"/>
    <col min="21" max="21" width="6.28515625" style="26" customWidth="1"/>
    <col min="22" max="22" width="9.5703125" style="26" customWidth="1"/>
    <col min="23" max="23" width="6.28515625" style="26" customWidth="1"/>
    <col min="24" max="24" width="8.5703125" style="26" customWidth="1"/>
    <col min="25" max="25" width="1.140625" style="26" customWidth="1"/>
    <col min="26" max="26" width="14.5703125" style="26" bestFit="1" customWidth="1"/>
    <col min="27" max="27" width="6.28515625" style="26" customWidth="1"/>
    <col min="28" max="28" width="8.5703125" style="26" bestFit="1" customWidth="1"/>
    <col min="29" max="16384" width="11.42578125" style="26"/>
  </cols>
  <sheetData>
    <row r="1" spans="1:29" ht="36" customHeight="1" x14ac:dyDescent="0.25">
      <c r="B1" s="86" t="s">
        <v>28</v>
      </c>
      <c r="C1" s="57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81"/>
      <c r="Q1" s="23"/>
    </row>
    <row r="2" spans="1:29" s="61" customFormat="1" ht="38.1" customHeight="1" x14ac:dyDescent="0.25">
      <c r="A2" s="58" t="s">
        <v>20</v>
      </c>
      <c r="B2" s="59" t="s">
        <v>25</v>
      </c>
      <c r="C2" s="60"/>
      <c r="D2" s="30">
        <v>45658</v>
      </c>
      <c r="E2" s="30">
        <v>45689</v>
      </c>
      <c r="F2" s="30">
        <v>45717</v>
      </c>
      <c r="G2" s="30">
        <v>45748</v>
      </c>
      <c r="H2" s="30">
        <v>45778</v>
      </c>
      <c r="I2" s="30">
        <v>45809</v>
      </c>
      <c r="J2" s="30">
        <v>45839</v>
      </c>
      <c r="K2" s="30">
        <v>45870</v>
      </c>
      <c r="L2" s="30">
        <v>45901</v>
      </c>
      <c r="M2" s="30">
        <v>45931</v>
      </c>
      <c r="N2" s="30">
        <v>45962</v>
      </c>
      <c r="O2" s="30">
        <v>45992</v>
      </c>
      <c r="P2" s="89" t="s">
        <v>128</v>
      </c>
      <c r="Q2" s="90" t="s">
        <v>129</v>
      </c>
      <c r="R2" s="31"/>
      <c r="S2" s="32" t="s">
        <v>125</v>
      </c>
      <c r="T2" s="32" t="s">
        <v>124</v>
      </c>
      <c r="U2" s="137" t="s">
        <v>126</v>
      </c>
      <c r="V2" s="138"/>
      <c r="W2" s="137" t="s">
        <v>127</v>
      </c>
      <c r="X2" s="138"/>
      <c r="Y2" s="29"/>
      <c r="Z2" s="33" t="s">
        <v>130</v>
      </c>
      <c r="AA2" s="137" t="s">
        <v>121</v>
      </c>
      <c r="AB2" s="138"/>
    </row>
    <row r="3" spans="1:29" ht="6" customHeight="1" x14ac:dyDescent="0.25">
      <c r="B3" s="62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29" s="55" customFormat="1" x14ac:dyDescent="0.25">
      <c r="A4" s="6">
        <v>1</v>
      </c>
      <c r="B4" s="63" t="s">
        <v>27</v>
      </c>
      <c r="C4" s="64"/>
      <c r="D4" s="65">
        <v>52094664.970999941</v>
      </c>
      <c r="E4" s="66">
        <v>39339572.623999998</v>
      </c>
      <c r="F4" s="66"/>
      <c r="G4" s="66"/>
      <c r="H4" s="66"/>
      <c r="I4" s="66"/>
      <c r="J4" s="66"/>
      <c r="K4" s="66"/>
      <c r="L4" s="66"/>
      <c r="M4" s="66"/>
      <c r="N4" s="66"/>
      <c r="O4" s="66"/>
      <c r="P4" s="66">
        <f t="shared" ref="P4:P21" si="0">+SUM(D4:O4)</f>
        <v>91434237.594999939</v>
      </c>
      <c r="Q4" s="67">
        <f t="shared" ref="Q4:Q21" si="1">+P4/$P$23</f>
        <v>0.24371035430640084</v>
      </c>
      <c r="S4" s="68">
        <v>36030114.29299999</v>
      </c>
      <c r="T4" s="68">
        <v>40321531.020000011</v>
      </c>
      <c r="U4" s="14">
        <f t="shared" ref="U4:U21" si="2">+V4</f>
        <v>-0.2448445028699282</v>
      </c>
      <c r="V4" s="17">
        <f>IFERROR((E4-D4)/D4,0)</f>
        <v>-0.2448445028699282</v>
      </c>
      <c r="W4" s="14">
        <f t="shared" ref="W4:W21" si="3">+X4</f>
        <v>-2.4353202151796975E-2</v>
      </c>
      <c r="X4" s="17">
        <f>IFERROR((E4-T4)/T4,0)</f>
        <v>-2.4353202151796975E-2</v>
      </c>
      <c r="Z4" s="68">
        <v>82157270.732000053</v>
      </c>
      <c r="AA4" s="14">
        <f t="shared" ref="AA4:AA21" si="4">+AB4</f>
        <v>0.11291717434555103</v>
      </c>
      <c r="AB4" s="15">
        <f t="shared" ref="AB4:AB21" si="5">IFERROR((P4-Z4)/Z4,0)</f>
        <v>0.11291717434555103</v>
      </c>
      <c r="AC4" s="93"/>
    </row>
    <row r="5" spans="1:29" s="55" customFormat="1" x14ac:dyDescent="0.25">
      <c r="A5" s="6">
        <v>2</v>
      </c>
      <c r="B5" s="69" t="s">
        <v>4</v>
      </c>
      <c r="C5" s="64"/>
      <c r="D5" s="70">
        <v>34454854.216999941</v>
      </c>
      <c r="E5" s="71">
        <v>32219997.275999937</v>
      </c>
      <c r="F5" s="71"/>
      <c r="G5" s="71"/>
      <c r="H5" s="71"/>
      <c r="I5" s="71"/>
      <c r="J5" s="71"/>
      <c r="K5" s="71"/>
      <c r="L5" s="71"/>
      <c r="M5" s="71"/>
      <c r="N5" s="71"/>
      <c r="O5" s="71"/>
      <c r="P5" s="71">
        <f t="shared" si="0"/>
        <v>66674851.492999882</v>
      </c>
      <c r="Q5" s="72">
        <f t="shared" si="1"/>
        <v>0.17771627027351353</v>
      </c>
      <c r="S5" s="73">
        <v>25703428.619000018</v>
      </c>
      <c r="T5" s="73">
        <v>34135053.628000081</v>
      </c>
      <c r="U5" s="16">
        <f t="shared" si="2"/>
        <v>-6.4863340501302436E-2</v>
      </c>
      <c r="V5" s="17">
        <f t="shared" ref="V5:V23" si="6">IFERROR((E5-D5)/D5,0)</f>
        <v>-6.4863340501302436E-2</v>
      </c>
      <c r="W5" s="16">
        <f t="shared" si="3"/>
        <v>-5.6102339046254592E-2</v>
      </c>
      <c r="X5" s="17">
        <f t="shared" ref="X5:X23" si="7">IFERROR((E5-T5)/T5,0)</f>
        <v>-5.6102339046254592E-2</v>
      </c>
      <c r="Z5" s="73">
        <v>67096438.165000096</v>
      </c>
      <c r="AA5" s="16">
        <f t="shared" si="4"/>
        <v>-6.2832943674814793E-3</v>
      </c>
      <c r="AB5" s="17">
        <f t="shared" si="5"/>
        <v>-6.2832943674814793E-3</v>
      </c>
      <c r="AC5" s="93"/>
    </row>
    <row r="6" spans="1:29" s="55" customFormat="1" x14ac:dyDescent="0.25">
      <c r="A6" s="6">
        <v>3</v>
      </c>
      <c r="B6" s="69" t="s">
        <v>16</v>
      </c>
      <c r="C6" s="64"/>
      <c r="D6" s="70">
        <v>27943760.794000018</v>
      </c>
      <c r="E6" s="71">
        <v>31800627.27</v>
      </c>
      <c r="F6" s="71"/>
      <c r="G6" s="71"/>
      <c r="H6" s="71"/>
      <c r="I6" s="71"/>
      <c r="J6" s="71"/>
      <c r="K6" s="71"/>
      <c r="L6" s="71"/>
      <c r="M6" s="71"/>
      <c r="N6" s="71"/>
      <c r="O6" s="71"/>
      <c r="P6" s="71">
        <f t="shared" si="0"/>
        <v>59744388.064000018</v>
      </c>
      <c r="Q6" s="72">
        <f t="shared" si="1"/>
        <v>0.1592436965176027</v>
      </c>
      <c r="S6" s="73">
        <v>34512694.701999985</v>
      </c>
      <c r="T6" s="73">
        <v>47426878.221999966</v>
      </c>
      <c r="U6" s="16">
        <f t="shared" si="2"/>
        <v>0.1380224553320723</v>
      </c>
      <c r="V6" s="17">
        <f t="shared" si="6"/>
        <v>0.1380224553320723</v>
      </c>
      <c r="W6" s="16">
        <f t="shared" si="3"/>
        <v>-0.32948090909241834</v>
      </c>
      <c r="X6" s="17">
        <f t="shared" si="7"/>
        <v>-0.32948090909241834</v>
      </c>
      <c r="Z6" s="73">
        <v>77435776.643999979</v>
      </c>
      <c r="AA6" s="16">
        <f t="shared" si="4"/>
        <v>-0.22846530824290193</v>
      </c>
      <c r="AB6" s="17">
        <f t="shared" si="5"/>
        <v>-0.22846530824290193</v>
      </c>
      <c r="AC6" s="93"/>
    </row>
    <row r="7" spans="1:29" s="55" customFormat="1" x14ac:dyDescent="0.25">
      <c r="A7" s="6">
        <v>4</v>
      </c>
      <c r="B7" s="69" t="s">
        <v>17</v>
      </c>
      <c r="C7" s="64"/>
      <c r="D7" s="70">
        <v>19477212.154000014</v>
      </c>
      <c r="E7" s="71">
        <v>13936691.326000005</v>
      </c>
      <c r="F7" s="71"/>
      <c r="G7" s="71"/>
      <c r="H7" s="71"/>
      <c r="I7" s="71"/>
      <c r="J7" s="71"/>
      <c r="K7" s="71"/>
      <c r="L7" s="71"/>
      <c r="M7" s="71"/>
      <c r="N7" s="71"/>
      <c r="O7" s="71"/>
      <c r="P7" s="71">
        <f t="shared" si="0"/>
        <v>33413903.480000019</v>
      </c>
      <c r="Q7" s="72">
        <f t="shared" si="1"/>
        <v>8.9061980173562469E-2</v>
      </c>
      <c r="S7" s="73">
        <v>13548607.497999994</v>
      </c>
      <c r="T7" s="73">
        <v>15857775.846999986</v>
      </c>
      <c r="U7" s="16">
        <f t="shared" si="2"/>
        <v>-0.28446169730005011</v>
      </c>
      <c r="V7" s="17">
        <f t="shared" si="6"/>
        <v>-0.28446169730005011</v>
      </c>
      <c r="W7" s="16">
        <f t="shared" si="3"/>
        <v>-0.1211446384117869</v>
      </c>
      <c r="X7" s="17">
        <f t="shared" si="7"/>
        <v>-0.1211446384117869</v>
      </c>
      <c r="Z7" s="73">
        <v>31950162.196999997</v>
      </c>
      <c r="AA7" s="16">
        <f t="shared" si="4"/>
        <v>4.5813266110350519E-2</v>
      </c>
      <c r="AB7" s="17">
        <f t="shared" si="5"/>
        <v>4.5813266110350519E-2</v>
      </c>
      <c r="AC7" s="93"/>
    </row>
    <row r="8" spans="1:29" s="55" customFormat="1" x14ac:dyDescent="0.25">
      <c r="A8" s="6">
        <v>5</v>
      </c>
      <c r="B8" s="69" t="s">
        <v>26</v>
      </c>
      <c r="C8" s="64"/>
      <c r="D8" s="70">
        <v>13669003.880000012</v>
      </c>
      <c r="E8" s="71">
        <v>9973753.3950000033</v>
      </c>
      <c r="F8" s="71"/>
      <c r="G8" s="71"/>
      <c r="H8" s="71"/>
      <c r="I8" s="71"/>
      <c r="J8" s="71"/>
      <c r="K8" s="71"/>
      <c r="L8" s="71"/>
      <c r="M8" s="71"/>
      <c r="N8" s="71"/>
      <c r="O8" s="71"/>
      <c r="P8" s="71">
        <f t="shared" si="0"/>
        <v>23642757.275000013</v>
      </c>
      <c r="Q8" s="72">
        <f t="shared" si="1"/>
        <v>6.3017802781849652E-2</v>
      </c>
      <c r="S8" s="73">
        <v>8190042.7809999976</v>
      </c>
      <c r="T8" s="73">
        <v>10439660.931000015</v>
      </c>
      <c r="U8" s="16">
        <f t="shared" si="2"/>
        <v>-0.27033794981994003</v>
      </c>
      <c r="V8" s="17">
        <f t="shared" si="6"/>
        <v>-0.27033794981994003</v>
      </c>
      <c r="W8" s="16">
        <f t="shared" si="3"/>
        <v>-4.4628608062980663E-2</v>
      </c>
      <c r="X8" s="17">
        <f t="shared" si="7"/>
        <v>-4.4628608062980663E-2</v>
      </c>
      <c r="Z8" s="73">
        <v>19769167.491000008</v>
      </c>
      <c r="AA8" s="16">
        <f t="shared" si="4"/>
        <v>0.19594096644501963</v>
      </c>
      <c r="AB8" s="17">
        <f t="shared" si="5"/>
        <v>0.19594096644501963</v>
      </c>
      <c r="AC8" s="93"/>
    </row>
    <row r="9" spans="1:29" s="55" customFormat="1" x14ac:dyDescent="0.25">
      <c r="A9" s="6">
        <v>6</v>
      </c>
      <c r="B9" s="69" t="s">
        <v>9</v>
      </c>
      <c r="C9" s="64"/>
      <c r="D9" s="70">
        <v>9063246.6989999842</v>
      </c>
      <c r="E9" s="71">
        <v>7274917.1059999997</v>
      </c>
      <c r="F9" s="71"/>
      <c r="G9" s="71"/>
      <c r="H9" s="71"/>
      <c r="I9" s="71"/>
      <c r="J9" s="71"/>
      <c r="K9" s="71"/>
      <c r="L9" s="71"/>
      <c r="M9" s="71"/>
      <c r="N9" s="71"/>
      <c r="O9" s="71"/>
      <c r="P9" s="71">
        <f t="shared" si="0"/>
        <v>16338163.804999985</v>
      </c>
      <c r="Q9" s="72">
        <f t="shared" si="1"/>
        <v>4.3548016523848647E-2</v>
      </c>
      <c r="S9" s="73">
        <v>8016228.5599999949</v>
      </c>
      <c r="T9" s="73">
        <v>7399787.9629999958</v>
      </c>
      <c r="U9" s="16">
        <f t="shared" si="2"/>
        <v>-0.197316662824295</v>
      </c>
      <c r="V9" s="17">
        <f t="shared" si="6"/>
        <v>-0.197316662824295</v>
      </c>
      <c r="W9" s="16">
        <f t="shared" si="3"/>
        <v>-1.6874923663268239E-2</v>
      </c>
      <c r="X9" s="17">
        <f t="shared" si="7"/>
        <v>-1.6874923663268239E-2</v>
      </c>
      <c r="Z9" s="73">
        <v>15294374.375000004</v>
      </c>
      <c r="AA9" s="16">
        <f t="shared" si="4"/>
        <v>6.8246624831293942E-2</v>
      </c>
      <c r="AB9" s="17">
        <f t="shared" si="5"/>
        <v>6.8246624831293942E-2</v>
      </c>
      <c r="AC9" s="93"/>
    </row>
    <row r="10" spans="1:29" s="55" customFormat="1" x14ac:dyDescent="0.25">
      <c r="A10" s="6">
        <v>7</v>
      </c>
      <c r="B10" s="69" t="s">
        <v>5</v>
      </c>
      <c r="C10" s="64"/>
      <c r="D10" s="70">
        <v>8541416.0850000028</v>
      </c>
      <c r="E10" s="71">
        <v>7730120.9019999932</v>
      </c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>
        <f t="shared" si="0"/>
        <v>16271536.986999996</v>
      </c>
      <c r="Q10" s="72">
        <f t="shared" si="1"/>
        <v>4.3370428282855061E-2</v>
      </c>
      <c r="S10" s="73">
        <v>6735350.0519999824</v>
      </c>
      <c r="T10" s="73">
        <v>6578513.7000000011</v>
      </c>
      <c r="U10" s="16">
        <f t="shared" si="2"/>
        <v>-9.4983685951649702E-2</v>
      </c>
      <c r="V10" s="17">
        <f t="shared" si="6"/>
        <v>-9.4983685951649702E-2</v>
      </c>
      <c r="W10" s="16">
        <f t="shared" si="3"/>
        <v>0.17505583396443972</v>
      </c>
      <c r="X10" s="17">
        <f t="shared" si="7"/>
        <v>0.17505583396443972</v>
      </c>
      <c r="Z10" s="73">
        <v>14240479.538999997</v>
      </c>
      <c r="AA10" s="16">
        <f t="shared" si="4"/>
        <v>0.14262563577564924</v>
      </c>
      <c r="AB10" s="17">
        <f t="shared" si="5"/>
        <v>0.14262563577564924</v>
      </c>
      <c r="AC10" s="93"/>
    </row>
    <row r="11" spans="1:29" s="55" customFormat="1" x14ac:dyDescent="0.25">
      <c r="A11" s="6">
        <v>8</v>
      </c>
      <c r="B11" s="69" t="s">
        <v>14</v>
      </c>
      <c r="C11" s="64"/>
      <c r="D11" s="70">
        <v>6967813.6639999924</v>
      </c>
      <c r="E11" s="71">
        <v>5804304.6290000053</v>
      </c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>
        <f t="shared" si="0"/>
        <v>12772118.292999998</v>
      </c>
      <c r="Q11" s="72">
        <f t="shared" si="1"/>
        <v>3.4043018854903316E-2</v>
      </c>
      <c r="S11" s="73">
        <v>8265817.0729999971</v>
      </c>
      <c r="T11" s="73">
        <v>6254745.3090000032</v>
      </c>
      <c r="U11" s="16">
        <f t="shared" si="2"/>
        <v>-0.16698337399741181</v>
      </c>
      <c r="V11" s="17">
        <f t="shared" si="6"/>
        <v>-0.16698337399741181</v>
      </c>
      <c r="W11" s="16">
        <f t="shared" si="3"/>
        <v>-7.201583082077781E-2</v>
      </c>
      <c r="X11" s="17">
        <f t="shared" si="7"/>
        <v>-7.201583082077781E-2</v>
      </c>
      <c r="Z11" s="73">
        <v>12825343.82599999</v>
      </c>
      <c r="AA11" s="16">
        <f t="shared" si="4"/>
        <v>-4.1500277670600679E-3</v>
      </c>
      <c r="AB11" s="17">
        <f t="shared" si="5"/>
        <v>-4.1500277670600679E-3</v>
      </c>
      <c r="AC11" s="93"/>
    </row>
    <row r="12" spans="1:29" s="55" customFormat="1" x14ac:dyDescent="0.25">
      <c r="A12" s="6">
        <v>9</v>
      </c>
      <c r="B12" s="69" t="s">
        <v>8</v>
      </c>
      <c r="C12" s="64"/>
      <c r="D12" s="70">
        <v>6040558.1719999928</v>
      </c>
      <c r="E12" s="71">
        <v>4520995.6640000055</v>
      </c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>
        <f t="shared" si="0"/>
        <v>10561553.835999999</v>
      </c>
      <c r="Q12" s="72">
        <f t="shared" si="1"/>
        <v>2.8150943181686715E-2</v>
      </c>
      <c r="S12" s="73">
        <v>3274804.1220000004</v>
      </c>
      <c r="T12" s="73">
        <v>5033333.9770000027</v>
      </c>
      <c r="U12" s="16">
        <f t="shared" si="2"/>
        <v>-0.25155994938409298</v>
      </c>
      <c r="V12" s="17">
        <f t="shared" si="6"/>
        <v>-0.25155994938409298</v>
      </c>
      <c r="W12" s="16">
        <f t="shared" si="3"/>
        <v>-0.10178905579108108</v>
      </c>
      <c r="X12" s="17">
        <f t="shared" si="7"/>
        <v>-0.10178905579108108</v>
      </c>
      <c r="Z12" s="73">
        <v>8939212.9729999993</v>
      </c>
      <c r="AA12" s="16">
        <f t="shared" si="4"/>
        <v>0.18148587217914133</v>
      </c>
      <c r="AB12" s="17">
        <f t="shared" si="5"/>
        <v>0.18148587217914133</v>
      </c>
      <c r="AC12" s="93"/>
    </row>
    <row r="13" spans="1:29" s="55" customFormat="1" x14ac:dyDescent="0.25">
      <c r="A13" s="6">
        <v>10</v>
      </c>
      <c r="B13" s="69" t="s">
        <v>3</v>
      </c>
      <c r="C13" s="64"/>
      <c r="D13" s="70">
        <v>4396901.3779999986</v>
      </c>
      <c r="E13" s="71">
        <v>3725779.515999997</v>
      </c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>
        <f t="shared" si="0"/>
        <v>8122680.8939999957</v>
      </c>
      <c r="Q13" s="72">
        <f t="shared" si="1"/>
        <v>2.1650330233658824E-2</v>
      </c>
      <c r="S13" s="73">
        <v>2652761.0989999943</v>
      </c>
      <c r="T13" s="73">
        <v>3048319.855</v>
      </c>
      <c r="U13" s="16">
        <f t="shared" si="2"/>
        <v>-0.15263518653340188</v>
      </c>
      <c r="V13" s="17">
        <f t="shared" si="6"/>
        <v>-0.15263518653340188</v>
      </c>
      <c r="W13" s="16">
        <f t="shared" si="3"/>
        <v>0.2222403465596943</v>
      </c>
      <c r="X13" s="17">
        <f t="shared" si="7"/>
        <v>0.2222403465596943</v>
      </c>
      <c r="Z13" s="73">
        <v>7357547.9530000035</v>
      </c>
      <c r="AA13" s="16">
        <f t="shared" si="4"/>
        <v>0.10399292616068008</v>
      </c>
      <c r="AB13" s="17">
        <f t="shared" si="5"/>
        <v>0.10399292616068008</v>
      </c>
      <c r="AC13" s="93"/>
    </row>
    <row r="14" spans="1:29" s="55" customFormat="1" x14ac:dyDescent="0.25">
      <c r="A14" s="6">
        <v>11</v>
      </c>
      <c r="B14" s="69" t="s">
        <v>7</v>
      </c>
      <c r="C14" s="64"/>
      <c r="D14" s="70">
        <v>4564700.9070000015</v>
      </c>
      <c r="E14" s="71">
        <v>2996768.2540000002</v>
      </c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>
        <f t="shared" si="0"/>
        <v>7561469.1610000022</v>
      </c>
      <c r="Q14" s="72">
        <f t="shared" si="1"/>
        <v>2.0154467044027801E-2</v>
      </c>
      <c r="S14" s="73">
        <v>2931872.3859999995</v>
      </c>
      <c r="T14" s="73">
        <v>2503453.7200000002</v>
      </c>
      <c r="U14" s="16">
        <f t="shared" si="2"/>
        <v>-0.34349077517774829</v>
      </c>
      <c r="V14" s="17">
        <f t="shared" si="6"/>
        <v>-0.34349077517774829</v>
      </c>
      <c r="W14" s="16">
        <f t="shared" si="3"/>
        <v>0.19705358643498308</v>
      </c>
      <c r="X14" s="17">
        <f t="shared" si="7"/>
        <v>0.19705358643498308</v>
      </c>
      <c r="Z14" s="73">
        <v>7428890.2839999981</v>
      </c>
      <c r="AA14" s="16">
        <f t="shared" si="4"/>
        <v>1.7846390501357428E-2</v>
      </c>
      <c r="AB14" s="17">
        <f t="shared" si="5"/>
        <v>1.7846390501357428E-2</v>
      </c>
      <c r="AC14" s="93"/>
    </row>
    <row r="15" spans="1:29" s="55" customFormat="1" x14ac:dyDescent="0.25">
      <c r="A15" s="6">
        <v>12</v>
      </c>
      <c r="B15" s="69" t="s">
        <v>6</v>
      </c>
      <c r="C15" s="64"/>
      <c r="D15" s="70">
        <v>4256361.2240000004</v>
      </c>
      <c r="E15" s="71">
        <v>1957682.0980000007</v>
      </c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>
        <f t="shared" si="0"/>
        <v>6214043.3220000006</v>
      </c>
      <c r="Q15" s="72">
        <f t="shared" si="1"/>
        <v>1.6563015556469846E-2</v>
      </c>
      <c r="S15" s="73">
        <v>1945827.0960000006</v>
      </c>
      <c r="T15" s="73">
        <v>2540745.3359999992</v>
      </c>
      <c r="U15" s="16">
        <f t="shared" si="2"/>
        <v>-0.54005734124223836</v>
      </c>
      <c r="V15" s="17">
        <f t="shared" si="6"/>
        <v>-0.54005734124223836</v>
      </c>
      <c r="W15" s="16">
        <f t="shared" si="3"/>
        <v>-0.22948511593764812</v>
      </c>
      <c r="X15" s="17">
        <f t="shared" si="7"/>
        <v>-0.22948511593764812</v>
      </c>
      <c r="Z15" s="73">
        <v>4671091.318</v>
      </c>
      <c r="AA15" s="16">
        <f t="shared" si="4"/>
        <v>0.33031938340709627</v>
      </c>
      <c r="AB15" s="17">
        <f t="shared" si="5"/>
        <v>0.33031938340709627</v>
      </c>
      <c r="AC15" s="93"/>
    </row>
    <row r="16" spans="1:29" s="55" customFormat="1" x14ac:dyDescent="0.25">
      <c r="A16" s="6">
        <v>13</v>
      </c>
      <c r="B16" s="69" t="s">
        <v>0</v>
      </c>
      <c r="C16" s="64"/>
      <c r="D16" s="70">
        <v>2940098.9809999987</v>
      </c>
      <c r="E16" s="71">
        <v>2598454.890000002</v>
      </c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>
        <f t="shared" si="0"/>
        <v>5538553.8710000012</v>
      </c>
      <c r="Q16" s="72">
        <f t="shared" si="1"/>
        <v>1.4762554615759291E-2</v>
      </c>
      <c r="S16" s="73">
        <v>1016508.2800000003</v>
      </c>
      <c r="T16" s="73">
        <v>1059859.7440000006</v>
      </c>
      <c r="U16" s="16">
        <f t="shared" si="2"/>
        <v>-0.11620156097050696</v>
      </c>
      <c r="V16" s="17">
        <f t="shared" si="6"/>
        <v>-0.11620156097050696</v>
      </c>
      <c r="W16" s="16">
        <f t="shared" si="3"/>
        <v>1.451696938873452</v>
      </c>
      <c r="X16" s="17">
        <f t="shared" si="7"/>
        <v>1.451696938873452</v>
      </c>
      <c r="Z16" s="73">
        <v>3088311.6860000007</v>
      </c>
      <c r="AA16" s="16">
        <f t="shared" si="4"/>
        <v>0.79339212946267368</v>
      </c>
      <c r="AB16" s="17">
        <f t="shared" si="5"/>
        <v>0.79339212946267368</v>
      </c>
      <c r="AC16" s="93"/>
    </row>
    <row r="17" spans="1:30" s="55" customFormat="1" x14ac:dyDescent="0.25">
      <c r="A17" s="6">
        <v>14</v>
      </c>
      <c r="B17" s="69" t="s">
        <v>2</v>
      </c>
      <c r="C17" s="64"/>
      <c r="D17" s="70">
        <v>2958691.9890000005</v>
      </c>
      <c r="E17" s="71">
        <v>2569014.645</v>
      </c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>
        <f t="shared" si="0"/>
        <v>5527706.6340000005</v>
      </c>
      <c r="Q17" s="72">
        <f t="shared" si="1"/>
        <v>1.473364220786866E-2</v>
      </c>
      <c r="S17" s="73">
        <v>1799666.5919999999</v>
      </c>
      <c r="T17" s="73">
        <v>2930122.3330000015</v>
      </c>
      <c r="U17" s="16">
        <f t="shared" si="2"/>
        <v>-0.1317059516329398</v>
      </c>
      <c r="V17" s="17">
        <f t="shared" si="6"/>
        <v>-0.1317059516329398</v>
      </c>
      <c r="W17" s="16">
        <f t="shared" si="3"/>
        <v>-0.12323979921694324</v>
      </c>
      <c r="X17" s="17">
        <f t="shared" si="7"/>
        <v>-0.12323979921694324</v>
      </c>
      <c r="Z17" s="73">
        <v>5560722.6240000026</v>
      </c>
      <c r="AA17" s="16">
        <f t="shared" si="4"/>
        <v>-5.9373560295033464E-3</v>
      </c>
      <c r="AB17" s="17">
        <f t="shared" si="5"/>
        <v>-5.9373560295033464E-3</v>
      </c>
      <c r="AC17" s="93"/>
    </row>
    <row r="18" spans="1:30" s="55" customFormat="1" x14ac:dyDescent="0.25">
      <c r="A18" s="6">
        <v>15</v>
      </c>
      <c r="B18" s="69" t="s">
        <v>10</v>
      </c>
      <c r="C18" s="64"/>
      <c r="D18" s="70">
        <v>2098049.9279999994</v>
      </c>
      <c r="E18" s="71">
        <v>1867087.0489999992</v>
      </c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>
        <f t="shared" si="0"/>
        <v>3965136.9769999986</v>
      </c>
      <c r="Q18" s="72">
        <f t="shared" si="1"/>
        <v>1.0568742770278484E-2</v>
      </c>
      <c r="S18" s="73">
        <v>1440440.304</v>
      </c>
      <c r="T18" s="73">
        <v>1816757.0060000014</v>
      </c>
      <c r="U18" s="16">
        <f t="shared" si="2"/>
        <v>-0.11008454847410107</v>
      </c>
      <c r="V18" s="17">
        <f t="shared" si="6"/>
        <v>-0.11008454847410107</v>
      </c>
      <c r="W18" s="16">
        <f t="shared" si="3"/>
        <v>2.7703233197273105E-2</v>
      </c>
      <c r="X18" s="17">
        <f t="shared" si="7"/>
        <v>2.7703233197273105E-2</v>
      </c>
      <c r="Z18" s="73">
        <v>4433822.4680000013</v>
      </c>
      <c r="AA18" s="16">
        <f t="shared" si="4"/>
        <v>-0.1057068690464317</v>
      </c>
      <c r="AB18" s="17">
        <f t="shared" si="5"/>
        <v>-0.1057068690464317</v>
      </c>
      <c r="AC18" s="93"/>
    </row>
    <row r="19" spans="1:30" s="55" customFormat="1" x14ac:dyDescent="0.25">
      <c r="A19" s="6">
        <v>16</v>
      </c>
      <c r="B19" s="69" t="s">
        <v>11</v>
      </c>
      <c r="C19" s="64"/>
      <c r="D19" s="70">
        <v>1602007.0160000001</v>
      </c>
      <c r="E19" s="71">
        <v>1780374.1130000006</v>
      </c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>
        <f t="shared" si="0"/>
        <v>3382381.1290000007</v>
      </c>
      <c r="Q19" s="72">
        <f t="shared" si="1"/>
        <v>9.015455534272996E-3</v>
      </c>
      <c r="S19" s="73">
        <v>836444.01199999976</v>
      </c>
      <c r="T19" s="73">
        <v>1899020.9509999994</v>
      </c>
      <c r="U19" s="16">
        <f t="shared" si="2"/>
        <v>0.11133977268424181</v>
      </c>
      <c r="V19" s="17">
        <f t="shared" si="6"/>
        <v>0.11133977268424181</v>
      </c>
      <c r="W19" s="16">
        <f t="shared" si="3"/>
        <v>-6.2477898381016264E-2</v>
      </c>
      <c r="X19" s="17">
        <f t="shared" si="7"/>
        <v>-6.2477898381016264E-2</v>
      </c>
      <c r="Z19" s="73">
        <v>3291796.4749999996</v>
      </c>
      <c r="AA19" s="16">
        <f t="shared" si="4"/>
        <v>2.7518303360477666E-2</v>
      </c>
      <c r="AB19" s="17">
        <f t="shared" si="5"/>
        <v>2.7518303360477666E-2</v>
      </c>
      <c r="AC19" s="93"/>
    </row>
    <row r="20" spans="1:30" s="55" customFormat="1" x14ac:dyDescent="0.25">
      <c r="A20" s="6">
        <v>17</v>
      </c>
      <c r="B20" s="69" t="s">
        <v>13</v>
      </c>
      <c r="C20" s="64"/>
      <c r="D20" s="70">
        <v>1576578.3890000002</v>
      </c>
      <c r="E20" s="71">
        <v>842381.7429999999</v>
      </c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>
        <f t="shared" si="0"/>
        <v>2418960.1320000002</v>
      </c>
      <c r="Q20" s="72">
        <f t="shared" si="1"/>
        <v>6.4475370094300025E-3</v>
      </c>
      <c r="S20" s="73">
        <v>1151109.1609999996</v>
      </c>
      <c r="T20" s="73">
        <v>1325881.8929999997</v>
      </c>
      <c r="U20" s="16">
        <f t="shared" si="2"/>
        <v>-0.4656899086798279</v>
      </c>
      <c r="V20" s="17">
        <f t="shared" si="6"/>
        <v>-0.4656899086798279</v>
      </c>
      <c r="W20" s="16">
        <f t="shared" si="3"/>
        <v>-0.36466306128218612</v>
      </c>
      <c r="X20" s="17">
        <f t="shared" si="7"/>
        <v>-0.36466306128218612</v>
      </c>
      <c r="Z20" s="73">
        <v>2188825.7349999999</v>
      </c>
      <c r="AA20" s="16">
        <f t="shared" si="4"/>
        <v>0.10514057529573059</v>
      </c>
      <c r="AB20" s="17">
        <f t="shared" si="5"/>
        <v>0.10514057529573059</v>
      </c>
      <c r="AC20" s="93"/>
    </row>
    <row r="21" spans="1:30" s="55" customFormat="1" x14ac:dyDescent="0.25">
      <c r="A21" s="6">
        <v>18</v>
      </c>
      <c r="B21" s="74" t="s">
        <v>12</v>
      </c>
      <c r="C21" s="64"/>
      <c r="D21" s="75">
        <v>1003205.9310000002</v>
      </c>
      <c r="E21" s="76">
        <v>588193.99899999995</v>
      </c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>
        <f t="shared" si="0"/>
        <v>1591399.9300000002</v>
      </c>
      <c r="Q21" s="77">
        <f t="shared" si="1"/>
        <v>4.2417441320109009E-3</v>
      </c>
      <c r="S21" s="78">
        <v>442032.86400000006</v>
      </c>
      <c r="T21" s="78">
        <v>928281.3459999999</v>
      </c>
      <c r="U21" s="18">
        <f t="shared" si="2"/>
        <v>-0.4136856842406369</v>
      </c>
      <c r="V21" s="19">
        <f t="shared" si="6"/>
        <v>-0.4136856842406369</v>
      </c>
      <c r="W21" s="18">
        <f t="shared" si="3"/>
        <v>-0.36636236251590043</v>
      </c>
      <c r="X21" s="19">
        <f t="shared" si="7"/>
        <v>-0.36636236251590043</v>
      </c>
      <c r="Z21" s="78">
        <v>1754011.1189999999</v>
      </c>
      <c r="AA21" s="18">
        <f t="shared" si="4"/>
        <v>-9.2708185962189327E-2</v>
      </c>
      <c r="AB21" s="19">
        <f t="shared" si="5"/>
        <v>-9.2708185962189327E-2</v>
      </c>
      <c r="AC21" s="93"/>
    </row>
    <row r="22" spans="1:30" ht="6" customHeight="1" x14ac:dyDescent="0.25">
      <c r="B22" s="62"/>
      <c r="C22" s="4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80"/>
      <c r="V22" s="81"/>
      <c r="X22" s="81"/>
      <c r="AB22" s="81"/>
    </row>
    <row r="23" spans="1:30" s="23" customFormat="1" x14ac:dyDescent="0.25">
      <c r="B23" s="59" t="s">
        <v>1</v>
      </c>
      <c r="C23" s="82"/>
      <c r="D23" s="83">
        <f>SUM(D4:D21)</f>
        <v>203649126.37899989</v>
      </c>
      <c r="E23" s="84">
        <f t="shared" ref="E23:Z23" si="8">SUM(E4:E21)</f>
        <v>171526716.49899998</v>
      </c>
      <c r="F23" s="84">
        <f t="shared" si="8"/>
        <v>0</v>
      </c>
      <c r="G23" s="84">
        <f t="shared" si="8"/>
        <v>0</v>
      </c>
      <c r="H23" s="84">
        <f t="shared" si="8"/>
        <v>0</v>
      </c>
      <c r="I23" s="84">
        <f t="shared" si="8"/>
        <v>0</v>
      </c>
      <c r="J23" s="84">
        <f t="shared" si="8"/>
        <v>0</v>
      </c>
      <c r="K23" s="84">
        <f t="shared" si="8"/>
        <v>0</v>
      </c>
      <c r="L23" s="84">
        <f t="shared" ref="L23:O23" si="9">SUM(L4:L21)</f>
        <v>0</v>
      </c>
      <c r="M23" s="84">
        <f t="shared" si="9"/>
        <v>0</v>
      </c>
      <c r="N23" s="84">
        <f t="shared" si="9"/>
        <v>0</v>
      </c>
      <c r="O23" s="84">
        <f t="shared" si="9"/>
        <v>0</v>
      </c>
      <c r="P23" s="84">
        <f>SUM(P4:P21)</f>
        <v>375175842.87799996</v>
      </c>
      <c r="Q23" s="85">
        <f t="shared" si="8"/>
        <v>0.99999999999999989</v>
      </c>
      <c r="R23" s="23">
        <f t="shared" si="8"/>
        <v>0</v>
      </c>
      <c r="S23" s="83">
        <f t="shared" ref="S23" si="10">SUM(S4:S21)</f>
        <v>158493749.49399996</v>
      </c>
      <c r="T23" s="83">
        <f t="shared" si="8"/>
        <v>191499722.78100005</v>
      </c>
      <c r="U23" s="20">
        <f t="shared" ref="U23" si="11">+V23</f>
        <v>-0.15773409123405077</v>
      </c>
      <c r="V23" s="21">
        <f t="shared" si="6"/>
        <v>-0.15773409123405077</v>
      </c>
      <c r="W23" s="20">
        <f t="shared" ref="W23" si="12">+X23</f>
        <v>-0.10429783391823123</v>
      </c>
      <c r="X23" s="21">
        <f t="shared" si="7"/>
        <v>-0.10429783391823123</v>
      </c>
      <c r="Y23" s="23">
        <f t="shared" si="8"/>
        <v>0</v>
      </c>
      <c r="Z23" s="83">
        <f t="shared" si="8"/>
        <v>369483245.60400015</v>
      </c>
      <c r="AA23" s="20">
        <f>+AB23</f>
        <v>1.5406915852690507E-2</v>
      </c>
      <c r="AB23" s="21">
        <f>IFERROR((P23-Z23)/Z23,0)</f>
        <v>1.5406915852690507E-2</v>
      </c>
      <c r="AD23" s="81"/>
    </row>
    <row r="24" spans="1:30" x14ac:dyDescent="0.25">
      <c r="B24" s="7" t="s">
        <v>24</v>
      </c>
      <c r="C24" s="4"/>
      <c r="D24" s="96"/>
      <c r="E24" s="96"/>
      <c r="F24" s="96"/>
      <c r="G24" s="96"/>
      <c r="H24" s="96"/>
      <c r="I24" s="96"/>
      <c r="J24" s="96"/>
      <c r="K24" s="96"/>
      <c r="L24" s="96"/>
      <c r="M24" s="1"/>
      <c r="N24" s="1"/>
      <c r="O24" s="1"/>
      <c r="P24" s="1"/>
      <c r="Q24" s="1"/>
    </row>
    <row r="25" spans="1:30" x14ac:dyDescent="0.25">
      <c r="B25" s="7" t="s">
        <v>15</v>
      </c>
    </row>
    <row r="27" spans="1:30" x14ac:dyDescent="0.25">
      <c r="B27" s="2"/>
      <c r="C27" s="5"/>
      <c r="D27" s="91"/>
      <c r="E27" s="91"/>
      <c r="F27" s="91"/>
      <c r="G27" s="91"/>
      <c r="H27" s="91"/>
      <c r="I27" s="91"/>
      <c r="J27" s="91"/>
      <c r="K27" s="91"/>
      <c r="L27" s="91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56"/>
      <c r="AB27" s="56"/>
    </row>
    <row r="28" spans="1:30" x14ac:dyDescent="0.25"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8"/>
      <c r="S28" s="88"/>
      <c r="T28" s="88"/>
      <c r="U28" s="88"/>
      <c r="V28" s="88"/>
      <c r="W28" s="88"/>
      <c r="X28" s="88"/>
      <c r="Y28" s="88"/>
      <c r="Z28" s="88"/>
    </row>
    <row r="29" spans="1:30" x14ac:dyDescent="0.25">
      <c r="D29" s="97"/>
      <c r="E29" s="97"/>
      <c r="F29" s="97"/>
      <c r="G29" s="97"/>
      <c r="H29" s="97"/>
      <c r="I29" s="97"/>
      <c r="J29" s="97"/>
      <c r="K29" s="97"/>
      <c r="L29" s="91"/>
      <c r="M29" s="91"/>
      <c r="N29" s="91"/>
      <c r="O29" s="87"/>
      <c r="P29" s="87"/>
      <c r="Q29" s="87"/>
      <c r="R29" s="88"/>
      <c r="S29" s="87"/>
      <c r="T29" s="87"/>
      <c r="U29" s="88"/>
      <c r="V29" s="88"/>
      <c r="W29" s="88"/>
      <c r="X29" s="88"/>
      <c r="Y29" s="88"/>
      <c r="Z29" s="87"/>
    </row>
    <row r="31" spans="1:30" x14ac:dyDescent="0.25">
      <c r="F31" s="98"/>
    </row>
    <row r="32" spans="1:30" x14ac:dyDescent="0.25">
      <c r="F32" s="98"/>
    </row>
  </sheetData>
  <autoFilter ref="B3:AB21" xr:uid="{00000000-0009-0000-0000-000000000000}">
    <sortState xmlns:xlrd2="http://schemas.microsoft.com/office/spreadsheetml/2017/richdata2" ref="B4:AB21">
      <sortCondition descending="1" ref="P3:P21"/>
    </sortState>
  </autoFilter>
  <sortState xmlns:xlrd2="http://schemas.microsoft.com/office/spreadsheetml/2017/richdata2" ref="B4:AB21">
    <sortCondition descending="1" ref="P4:P21"/>
  </sortState>
  <dataConsolidate>
    <dataRefs count="1">
      <dataRef ref="A4:G156" sheet="x" r:id="rId1"/>
    </dataRefs>
  </dataConsolidate>
  <mergeCells count="3">
    <mergeCell ref="W2:X2"/>
    <mergeCell ref="AA2:AB2"/>
    <mergeCell ref="U2:V2"/>
  </mergeCells>
  <conditionalFormatting sqref="V4:V21">
    <cfRule type="cellIs" dxfId="30" priority="4" operator="lessThan">
      <formula>0%</formula>
    </cfRule>
    <cfRule type="cellIs" dxfId="29" priority="5" operator="greaterThanOrEqual">
      <formula>1%</formula>
    </cfRule>
  </conditionalFormatting>
  <conditionalFormatting sqref="V23">
    <cfRule type="cellIs" dxfId="28" priority="1" operator="lessThan">
      <formula>0%</formula>
    </cfRule>
    <cfRule type="cellIs" dxfId="27" priority="2" operator="greaterThanOrEqual">
      <formula>1%</formula>
    </cfRule>
  </conditionalFormatting>
  <conditionalFormatting sqref="X4:X21">
    <cfRule type="cellIs" dxfId="26" priority="17" operator="lessThan">
      <formula>0%</formula>
    </cfRule>
    <cfRule type="cellIs" dxfId="25" priority="18" operator="greaterThanOrEqual">
      <formula>1%</formula>
    </cfRule>
  </conditionalFormatting>
  <conditionalFormatting sqref="X23">
    <cfRule type="cellIs" dxfId="24" priority="7" operator="lessThan">
      <formula>0%</formula>
    </cfRule>
    <cfRule type="cellIs" dxfId="23" priority="8" operator="greaterThanOrEqual">
      <formula>1%</formula>
    </cfRule>
  </conditionalFormatting>
  <conditionalFormatting sqref="AB4:AB21">
    <cfRule type="cellIs" dxfId="22" priority="21" operator="lessThan">
      <formula>0%</formula>
    </cfRule>
    <cfRule type="cellIs" dxfId="21" priority="22" operator="greaterThanOrEqual">
      <formula>1%</formula>
    </cfRule>
  </conditionalFormatting>
  <conditionalFormatting sqref="AB23">
    <cfRule type="cellIs" dxfId="20" priority="15" operator="lessThan">
      <formula>0%</formula>
    </cfRule>
    <cfRule type="cellIs" dxfId="19" priority="16" operator="greaterThanOrEqual">
      <formula>1%</formula>
    </cfRule>
  </conditionalFormatting>
  <pageMargins left="1.1023622047244095" right="0.70866141732283472" top="0.74803149606299213" bottom="0.74803149606299213" header="0.31496062992125984" footer="0.31496062992125984"/>
  <pageSetup paperSize="9" scale="70" orientation="landscape" verticalDpi="300" r:id="rId2"/>
  <ignoredErrors>
    <ignoredError sqref="V22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D937A2F6-0669-4313-AE55-B94C33E8C22B}">
            <x14:iconSet iconSet="3Arrow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U4:U21</xm:sqref>
        </x14:conditionalFormatting>
        <x14:conditionalFormatting xmlns:xm="http://schemas.microsoft.com/office/excel/2006/main">
          <x14:cfRule type="iconSet" priority="3" id="{6369AB89-88D7-4E95-A556-82792A624EE9}">
            <x14:iconSet iconSet="3Arrow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Arrows" iconId="0"/>
              <x14:cfIcon iconSet="NoIcons" iconId="0"/>
              <x14:cfIcon iconSet="3Arrows" iconId="2"/>
            </x14:iconSet>
          </x14:cfRule>
          <xm:sqref>U23</xm:sqref>
        </x14:conditionalFormatting>
        <x14:conditionalFormatting xmlns:xm="http://schemas.microsoft.com/office/excel/2006/main">
          <x14:cfRule type="iconSet" priority="19" id="{B2EA6C93-0F11-4024-835A-1D15284CFAE2}">
            <x14:iconSet iconSet="3Arrow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W4:W21</xm:sqref>
        </x14:conditionalFormatting>
        <x14:conditionalFormatting xmlns:xm="http://schemas.microsoft.com/office/excel/2006/main">
          <x14:cfRule type="iconSet" priority="13" id="{F07DE24D-11A5-4794-AC8C-A47A981BB607}">
            <x14:iconSet iconSet="3Arrow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Arrows" iconId="0"/>
              <x14:cfIcon iconSet="NoIcons" iconId="0"/>
              <x14:cfIcon iconSet="3Arrows" iconId="2"/>
            </x14:iconSet>
          </x14:cfRule>
          <xm:sqref>W23</xm:sqref>
        </x14:conditionalFormatting>
        <x14:conditionalFormatting xmlns:xm="http://schemas.microsoft.com/office/excel/2006/main">
          <x14:cfRule type="iconSet" priority="20" id="{D11BF96A-D414-42FD-AAB1-3AF9446FE4A9}">
            <x14:iconSet iconSet="3Arrow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AA4:AA21</xm:sqref>
        </x14:conditionalFormatting>
        <x14:conditionalFormatting xmlns:xm="http://schemas.microsoft.com/office/excel/2006/main">
          <x14:cfRule type="iconSet" priority="14" id="{BCF7175F-29CB-48EF-B4C6-A01DEEEA472B}">
            <x14:iconSet iconSet="3Arrow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Arrows" iconId="0"/>
              <x14:cfIcon iconSet="NoIcons" iconId="0"/>
              <x14:cfIcon iconSet="3Arrows" iconId="2"/>
            </x14:iconSet>
          </x14:cfRule>
          <xm:sqref>AA23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56"/>
  <sheetViews>
    <sheetView showGridLines="0" zoomScale="80" zoomScaleNormal="80" zoomScaleSheetLayoutView="80" workbookViewId="0">
      <pane xSplit="1" ySplit="3" topLeftCell="B145" activePane="bottomRight" state="frozen"/>
      <selection pane="topRight" activeCell="B1" sqref="B1"/>
      <selection pane="bottomLeft" activeCell="A4" sqref="A4"/>
      <selection pane="bottomRight" activeCell="Y4" sqref="Y4"/>
    </sheetView>
  </sheetViews>
  <sheetFormatPr baseColWidth="10" defaultRowHeight="15" outlineLevelCol="1" x14ac:dyDescent="0.25"/>
  <cols>
    <col min="1" max="1" width="5" style="22" customWidth="1"/>
    <col min="2" max="2" width="18.42578125" style="26" customWidth="1"/>
    <col min="3" max="3" width="21.140625" style="22" customWidth="1"/>
    <col min="4" max="4" width="1.28515625" style="54" customWidth="1"/>
    <col min="5" max="5" width="15" style="26" bestFit="1" customWidth="1"/>
    <col min="6" max="6" width="13" style="26" bestFit="1" customWidth="1"/>
    <col min="7" max="16" width="10.85546875" style="26" hidden="1" customWidth="1" outlineLevel="1"/>
    <col min="17" max="17" width="13.5703125" style="53" bestFit="1" customWidth="1" collapsed="1"/>
    <col min="18" max="18" width="14.42578125" style="53" customWidth="1"/>
    <col min="19" max="19" width="1.28515625" style="54" customWidth="1"/>
    <col min="20" max="20" width="13.7109375" style="26" customWidth="1"/>
    <col min="21" max="21" width="15.140625" style="26" customWidth="1"/>
    <col min="22" max="22" width="5.5703125" style="26" customWidth="1"/>
    <col min="23" max="23" width="8.85546875" style="26" customWidth="1"/>
    <col min="24" max="24" width="5.5703125" style="26" customWidth="1"/>
    <col min="25" max="25" width="8.85546875" style="26" customWidth="1"/>
    <col min="26" max="26" width="1.28515625" style="54" customWidth="1"/>
    <col min="27" max="27" width="16" style="26" customWidth="1"/>
    <col min="28" max="28" width="5.5703125" style="26" customWidth="1"/>
    <col min="29" max="29" width="10.7109375" style="26" customWidth="1"/>
    <col min="30" max="49" width="11.42578125" style="25"/>
    <col min="50" max="16384" width="11.42578125" style="26"/>
  </cols>
  <sheetData>
    <row r="1" spans="1:49" ht="33" customHeight="1" x14ac:dyDescent="0.25">
      <c r="B1" s="86" t="s">
        <v>28</v>
      </c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4"/>
      <c r="T1" s="23"/>
      <c r="U1" s="23"/>
      <c r="V1" s="23"/>
      <c r="W1" s="23"/>
      <c r="X1" s="23"/>
      <c r="Y1" s="23"/>
      <c r="Z1" s="24"/>
      <c r="AA1" s="23"/>
      <c r="AB1" s="23"/>
      <c r="AC1" s="23"/>
    </row>
    <row r="2" spans="1:49" s="22" customFormat="1" ht="39.950000000000003" customHeight="1" x14ac:dyDescent="0.25">
      <c r="B2" s="27" t="s">
        <v>18</v>
      </c>
      <c r="C2" s="28" t="s">
        <v>29</v>
      </c>
      <c r="D2" s="29"/>
      <c r="E2" s="30">
        <v>45658</v>
      </c>
      <c r="F2" s="30">
        <v>45689</v>
      </c>
      <c r="G2" s="30">
        <v>45717</v>
      </c>
      <c r="H2" s="30">
        <v>45748</v>
      </c>
      <c r="I2" s="30">
        <v>45778</v>
      </c>
      <c r="J2" s="30">
        <v>45809</v>
      </c>
      <c r="K2" s="30">
        <v>45839</v>
      </c>
      <c r="L2" s="30">
        <v>45870</v>
      </c>
      <c r="M2" s="30">
        <v>45901</v>
      </c>
      <c r="N2" s="30">
        <v>45931</v>
      </c>
      <c r="O2" s="30">
        <v>45962</v>
      </c>
      <c r="P2" s="30">
        <v>45992</v>
      </c>
      <c r="Q2" s="89" t="str">
        <f>Resumen!P2</f>
        <v>ACUMULADO 
feb  2025</v>
      </c>
      <c r="R2" s="90" t="str">
        <f>Resumen!Q2</f>
        <v>% Part ACUM 
 feb 2025</v>
      </c>
      <c r="S2" s="31"/>
      <c r="T2" s="32" t="str">
        <f>Resumen!S2</f>
        <v>Feb-23</v>
      </c>
      <c r="U2" s="32" t="str">
        <f>Resumen!T2</f>
        <v>Feb-24</v>
      </c>
      <c r="V2" s="137" t="str">
        <f>Resumen!U2</f>
        <v>Var % Feb 25 vs Ene 25</v>
      </c>
      <c r="W2" s="138"/>
      <c r="X2" s="137" t="str">
        <f>Resumen!W2</f>
        <v>Var % Feb 25 vs Feb 24</v>
      </c>
      <c r="Y2" s="138"/>
      <c r="Z2" s="29"/>
      <c r="AA2" s="33" t="str">
        <f>Resumen!Z2</f>
        <v>ACUMULADO 
feb 2024</v>
      </c>
      <c r="AB2" s="137" t="str">
        <f>Resumen!AA2</f>
        <v>Var %
ACUM 25/24</v>
      </c>
      <c r="AC2" s="138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</row>
    <row r="3" spans="1:49" ht="6" customHeight="1" x14ac:dyDescent="0.25">
      <c r="A3" s="35" t="s">
        <v>22</v>
      </c>
      <c r="B3" s="35" t="s">
        <v>23</v>
      </c>
      <c r="C3" s="35" t="s">
        <v>21</v>
      </c>
      <c r="D3" s="36"/>
      <c r="E3" s="35">
        <v>41640</v>
      </c>
      <c r="F3" s="35">
        <v>41671</v>
      </c>
      <c r="G3" s="35">
        <v>41699</v>
      </c>
      <c r="H3" s="35">
        <v>41730</v>
      </c>
      <c r="I3" s="35">
        <v>41760</v>
      </c>
      <c r="J3" s="35">
        <v>41791</v>
      </c>
      <c r="K3" s="35">
        <v>41821</v>
      </c>
      <c r="L3" s="35">
        <v>41821</v>
      </c>
      <c r="M3" s="35"/>
      <c r="N3" s="35"/>
      <c r="O3" s="35"/>
      <c r="P3" s="35"/>
      <c r="Q3" s="35">
        <v>7</v>
      </c>
      <c r="R3" s="35"/>
      <c r="S3" s="36"/>
      <c r="T3" s="35">
        <v>41821</v>
      </c>
      <c r="U3" s="35">
        <v>41821</v>
      </c>
      <c r="V3" s="35"/>
      <c r="W3" s="35"/>
      <c r="X3" s="35"/>
      <c r="Y3" s="35"/>
      <c r="Z3" s="36"/>
    </row>
    <row r="4" spans="1:49" s="41" customFormat="1" x14ac:dyDescent="0.25">
      <c r="A4" s="6">
        <v>1</v>
      </c>
      <c r="B4" s="37">
        <v>2710193400</v>
      </c>
      <c r="C4" s="11" t="s">
        <v>16</v>
      </c>
      <c r="D4" s="38"/>
      <c r="E4" s="12">
        <v>1232758.4780000004</v>
      </c>
      <c r="F4" s="8">
        <v>2365847.8809999996</v>
      </c>
      <c r="G4" s="8"/>
      <c r="H4" s="8"/>
      <c r="I4" s="8"/>
      <c r="J4" s="8"/>
      <c r="K4" s="8"/>
      <c r="L4" s="8"/>
      <c r="M4" s="8"/>
      <c r="N4" s="8"/>
      <c r="O4" s="8"/>
      <c r="P4" s="8"/>
      <c r="Q4" s="8">
        <f>SUM(E4:P4)</f>
        <v>3598606.3590000002</v>
      </c>
      <c r="R4" s="39">
        <f t="shared" ref="R4:R35" si="0">+Q4/$Q$151</f>
        <v>9.591785898033417E-3</v>
      </c>
      <c r="S4" s="40"/>
      <c r="T4" s="12">
        <v>1921397.753</v>
      </c>
      <c r="U4" s="12">
        <v>2503163.0610000002</v>
      </c>
      <c r="V4" s="14">
        <f t="shared" ref="V4:V67" si="1">+W4</f>
        <v>0.9191495521801627</v>
      </c>
      <c r="W4" s="15">
        <f>IFERROR((F4-E4)/E4,0)</f>
        <v>0.9191495521801627</v>
      </c>
      <c r="X4" s="14">
        <f t="shared" ref="X4:X35" si="2">+Y4</f>
        <v>-5.4856666007664701E-2</v>
      </c>
      <c r="Y4" s="15">
        <f>IFERROR((F4-U4)/U4,0)</f>
        <v>-5.4856666007664701E-2</v>
      </c>
      <c r="Z4" s="38"/>
      <c r="AA4" s="12">
        <v>4346057.3669999996</v>
      </c>
      <c r="AB4" s="14">
        <f t="shared" ref="AB4:AB35" si="3">+AC4</f>
        <v>-0.17198369576882749</v>
      </c>
      <c r="AC4" s="15">
        <f t="shared" ref="AC4:AC35" si="4">IFERROR((Q4-AA4)/AA4,0)</f>
        <v>-0.17198369576882749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</row>
    <row r="5" spans="1:49" s="41" customFormat="1" x14ac:dyDescent="0.25">
      <c r="A5" s="6">
        <v>2</v>
      </c>
      <c r="B5" s="42">
        <v>2710193500</v>
      </c>
      <c r="C5" s="13" t="s">
        <v>16</v>
      </c>
      <c r="D5" s="38"/>
      <c r="E5" s="10">
        <v>8912920.5179999992</v>
      </c>
      <c r="F5" s="9">
        <v>14507547.767999997</v>
      </c>
      <c r="G5" s="9"/>
      <c r="H5" s="9"/>
      <c r="I5" s="9"/>
      <c r="J5" s="9"/>
      <c r="K5" s="9"/>
      <c r="L5" s="9"/>
      <c r="M5" s="9"/>
      <c r="N5" s="9"/>
      <c r="O5" s="9"/>
      <c r="P5" s="9"/>
      <c r="Q5" s="9">
        <f t="shared" ref="Q5:Q68" si="5">SUM(E5:P5)</f>
        <v>23420468.285999998</v>
      </c>
      <c r="R5" s="43">
        <f t="shared" si="0"/>
        <v>6.2425309972891557E-2</v>
      </c>
      <c r="S5" s="40"/>
      <c r="T5" s="10">
        <v>15009101.49</v>
      </c>
      <c r="U5" s="10">
        <v>23007996.199999999</v>
      </c>
      <c r="V5" s="16">
        <f t="shared" si="1"/>
        <v>0.62769854602668396</v>
      </c>
      <c r="W5" s="17">
        <f t="shared" ref="W5:W68" si="6">IFERROR((F5-E5)/E5,0)</f>
        <v>0.62769854602668396</v>
      </c>
      <c r="X5" s="16">
        <f t="shared" si="2"/>
        <v>-0.36945626894705424</v>
      </c>
      <c r="Y5" s="17">
        <f t="shared" ref="Y5:Y68" si="7">IFERROR((F5-U5)/U5,0)</f>
        <v>-0.36945626894705424</v>
      </c>
      <c r="Z5" s="38"/>
      <c r="AA5" s="10">
        <v>33636220.371999994</v>
      </c>
      <c r="AB5" s="16">
        <f t="shared" si="3"/>
        <v>-0.30371284207972299</v>
      </c>
      <c r="AC5" s="17">
        <f t="shared" si="4"/>
        <v>-0.30371284207972299</v>
      </c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</row>
    <row r="6" spans="1:49" s="41" customFormat="1" x14ac:dyDescent="0.25">
      <c r="A6" s="6">
        <v>3</v>
      </c>
      <c r="B6" s="42">
        <v>2710193600</v>
      </c>
      <c r="C6" s="13" t="s">
        <v>16</v>
      </c>
      <c r="D6" s="38"/>
      <c r="E6" s="10">
        <v>1543195.5159999991</v>
      </c>
      <c r="F6" s="9">
        <v>1186253.037</v>
      </c>
      <c r="G6" s="9"/>
      <c r="H6" s="9"/>
      <c r="I6" s="9"/>
      <c r="J6" s="9"/>
      <c r="K6" s="9"/>
      <c r="L6" s="9"/>
      <c r="M6" s="9"/>
      <c r="N6" s="9"/>
      <c r="O6" s="9"/>
      <c r="P6" s="9"/>
      <c r="Q6" s="9">
        <f t="shared" si="5"/>
        <v>2729448.5529999994</v>
      </c>
      <c r="R6" s="43">
        <f t="shared" si="0"/>
        <v>7.2751180674699382E-3</v>
      </c>
      <c r="S6" s="40"/>
      <c r="T6" s="10">
        <v>1521627.2839999995</v>
      </c>
      <c r="U6" s="10">
        <v>3071798.3250000002</v>
      </c>
      <c r="V6" s="16">
        <f t="shared" si="1"/>
        <v>-0.23130087879285888</v>
      </c>
      <c r="W6" s="17">
        <f t="shared" si="6"/>
        <v>-0.23130087879285888</v>
      </c>
      <c r="X6" s="16">
        <f t="shared" si="2"/>
        <v>-0.61382457066090113</v>
      </c>
      <c r="Y6" s="17">
        <f t="shared" si="7"/>
        <v>-0.61382457066090113</v>
      </c>
      <c r="Z6" s="38"/>
      <c r="AA6" s="10">
        <v>4970852.2660000008</v>
      </c>
      <c r="AB6" s="16">
        <f t="shared" si="3"/>
        <v>-0.45090933969832869</v>
      </c>
      <c r="AC6" s="17">
        <f t="shared" si="4"/>
        <v>-0.45090933969832869</v>
      </c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</row>
    <row r="7" spans="1:49" s="41" customFormat="1" x14ac:dyDescent="0.25">
      <c r="A7" s="6">
        <v>4</v>
      </c>
      <c r="B7" s="42">
        <v>2710193800</v>
      </c>
      <c r="C7" s="13" t="s">
        <v>16</v>
      </c>
      <c r="D7" s="38"/>
      <c r="E7" s="10">
        <v>14020975.133000005</v>
      </c>
      <c r="F7" s="9">
        <v>11056283.268999998</v>
      </c>
      <c r="G7" s="9"/>
      <c r="H7" s="9"/>
      <c r="I7" s="9"/>
      <c r="J7" s="9"/>
      <c r="K7" s="9"/>
      <c r="L7" s="9"/>
      <c r="M7" s="9"/>
      <c r="N7" s="9"/>
      <c r="O7" s="9"/>
      <c r="P7" s="9"/>
      <c r="Q7" s="9">
        <f t="shared" si="5"/>
        <v>25077258.402000003</v>
      </c>
      <c r="R7" s="43">
        <f t="shared" si="0"/>
        <v>6.6841346206169938E-2</v>
      </c>
      <c r="S7" s="40"/>
      <c r="T7" s="10">
        <v>13075026.875000002</v>
      </c>
      <c r="U7" s="10">
        <v>15877464.641999997</v>
      </c>
      <c r="V7" s="16">
        <f t="shared" si="1"/>
        <v>-0.21144690978177819</v>
      </c>
      <c r="W7" s="17">
        <f t="shared" si="6"/>
        <v>-0.21144690978177819</v>
      </c>
      <c r="X7" s="16">
        <f t="shared" si="2"/>
        <v>-0.30364932196080785</v>
      </c>
      <c r="Y7" s="17">
        <f t="shared" si="7"/>
        <v>-0.30364932196080785</v>
      </c>
      <c r="Z7" s="38"/>
      <c r="AA7" s="10">
        <v>28519651.156999998</v>
      </c>
      <c r="AB7" s="16">
        <f t="shared" si="3"/>
        <v>-0.12070248461489608</v>
      </c>
      <c r="AC7" s="17">
        <f t="shared" si="4"/>
        <v>-0.12070248461489608</v>
      </c>
      <c r="AD7" s="25"/>
      <c r="AE7" s="16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</row>
    <row r="8" spans="1:49" s="41" customFormat="1" x14ac:dyDescent="0.25">
      <c r="A8" s="6">
        <v>5</v>
      </c>
      <c r="B8" s="42">
        <v>3403990000</v>
      </c>
      <c r="C8" s="13" t="s">
        <v>16</v>
      </c>
      <c r="D8" s="38"/>
      <c r="E8" s="10">
        <v>2233911.1490000007</v>
      </c>
      <c r="F8" s="9">
        <v>2684695.3149999999</v>
      </c>
      <c r="G8" s="9"/>
      <c r="H8" s="9"/>
      <c r="I8" s="9"/>
      <c r="J8" s="9"/>
      <c r="K8" s="9"/>
      <c r="L8" s="9"/>
      <c r="M8" s="9"/>
      <c r="N8" s="9"/>
      <c r="O8" s="9"/>
      <c r="P8" s="9"/>
      <c r="Q8" s="9">
        <f t="shared" si="5"/>
        <v>4918606.4640000006</v>
      </c>
      <c r="R8" s="43">
        <f t="shared" si="0"/>
        <v>1.3110136373037854E-2</v>
      </c>
      <c r="S8" s="40"/>
      <c r="T8" s="10">
        <v>2985541.2999999993</v>
      </c>
      <c r="U8" s="10">
        <v>2966455.9939999999</v>
      </c>
      <c r="V8" s="16">
        <f t="shared" si="1"/>
        <v>0.20179144824170406</v>
      </c>
      <c r="W8" s="17">
        <f t="shared" si="6"/>
        <v>0.20179144824170406</v>
      </c>
      <c r="X8" s="16">
        <f t="shared" si="2"/>
        <v>-9.4982254774685193E-2</v>
      </c>
      <c r="Y8" s="17">
        <f t="shared" si="7"/>
        <v>-9.4982254774685193E-2</v>
      </c>
      <c r="Z8" s="38"/>
      <c r="AA8" s="10">
        <v>5962995.4820000008</v>
      </c>
      <c r="AB8" s="16">
        <f t="shared" si="3"/>
        <v>-0.17514502923113234</v>
      </c>
      <c r="AC8" s="17">
        <f t="shared" si="4"/>
        <v>-0.17514502923113234</v>
      </c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</row>
    <row r="9" spans="1:49" s="41" customFormat="1" x14ac:dyDescent="0.25">
      <c r="A9" s="6">
        <v>6</v>
      </c>
      <c r="B9" s="42">
        <v>3819000000</v>
      </c>
      <c r="C9" s="13" t="s">
        <v>26</v>
      </c>
      <c r="D9" s="38"/>
      <c r="E9" s="10">
        <v>459802.77500000008</v>
      </c>
      <c r="F9" s="9">
        <v>363593.54399999988</v>
      </c>
      <c r="G9" s="9"/>
      <c r="H9" s="9"/>
      <c r="I9" s="9"/>
      <c r="J9" s="9"/>
      <c r="K9" s="9"/>
      <c r="L9" s="9"/>
      <c r="M9" s="9"/>
      <c r="N9" s="9"/>
      <c r="O9" s="9"/>
      <c r="P9" s="9"/>
      <c r="Q9" s="9">
        <f t="shared" si="5"/>
        <v>823396.3189999999</v>
      </c>
      <c r="R9" s="43">
        <f t="shared" si="0"/>
        <v>2.1946943936573043E-3</v>
      </c>
      <c r="S9" s="40"/>
      <c r="T9" s="10">
        <v>443427.05200000003</v>
      </c>
      <c r="U9" s="10">
        <v>229321.11299999998</v>
      </c>
      <c r="V9" s="16">
        <f t="shared" si="1"/>
        <v>-0.20924021391562977</v>
      </c>
      <c r="W9" s="17">
        <f t="shared" si="6"/>
        <v>-0.20924021391562977</v>
      </c>
      <c r="X9" s="16">
        <f t="shared" si="2"/>
        <v>0.58552145174700898</v>
      </c>
      <c r="Y9" s="17">
        <f t="shared" si="7"/>
        <v>0.58552145174700898</v>
      </c>
      <c r="Z9" s="38"/>
      <c r="AA9" s="10">
        <v>541719.73200000008</v>
      </c>
      <c r="AB9" s="16">
        <f t="shared" si="3"/>
        <v>0.51996737493771006</v>
      </c>
      <c r="AC9" s="17">
        <f t="shared" si="4"/>
        <v>0.51996737493771006</v>
      </c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</row>
    <row r="10" spans="1:49" s="41" customFormat="1" x14ac:dyDescent="0.25">
      <c r="A10" s="6">
        <v>7</v>
      </c>
      <c r="B10" s="42">
        <v>3820000000</v>
      </c>
      <c r="C10" s="13" t="s">
        <v>26</v>
      </c>
      <c r="D10" s="38"/>
      <c r="E10" s="10">
        <v>1217112.6209999993</v>
      </c>
      <c r="F10" s="9">
        <v>751968.06100000034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>
        <f t="shared" si="5"/>
        <v>1969080.6819999996</v>
      </c>
      <c r="R10" s="43">
        <f t="shared" si="0"/>
        <v>5.2484207589034663E-3</v>
      </c>
      <c r="S10" s="40"/>
      <c r="T10" s="10">
        <v>671551.00299999956</v>
      </c>
      <c r="U10" s="10">
        <v>1053917.3289999999</v>
      </c>
      <c r="V10" s="16">
        <f t="shared" si="1"/>
        <v>-0.38217051731649021</v>
      </c>
      <c r="W10" s="17">
        <f t="shared" si="6"/>
        <v>-0.38217051731649021</v>
      </c>
      <c r="X10" s="16">
        <f t="shared" si="2"/>
        <v>-0.28650185331566896</v>
      </c>
      <c r="Y10" s="17">
        <f t="shared" si="7"/>
        <v>-0.28650185331566896</v>
      </c>
      <c r="Z10" s="38"/>
      <c r="AA10" s="10">
        <v>1871671.8940000001</v>
      </c>
      <c r="AB10" s="16">
        <f t="shared" si="3"/>
        <v>5.2043730694606175E-2</v>
      </c>
      <c r="AC10" s="17">
        <f t="shared" si="4"/>
        <v>5.2043730694606175E-2</v>
      </c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</row>
    <row r="11" spans="1:49" s="41" customFormat="1" x14ac:dyDescent="0.25">
      <c r="A11" s="6">
        <v>8</v>
      </c>
      <c r="B11" s="42">
        <v>3926300000</v>
      </c>
      <c r="C11" s="13" t="s">
        <v>14</v>
      </c>
      <c r="D11" s="38"/>
      <c r="E11" s="10">
        <v>307352.56399999978</v>
      </c>
      <c r="F11" s="9">
        <v>190995.76200000005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>
        <f t="shared" si="5"/>
        <v>498348.32599999983</v>
      </c>
      <c r="R11" s="43">
        <f t="shared" si="0"/>
        <v>1.3283060075966922E-3</v>
      </c>
      <c r="S11" s="40"/>
      <c r="T11" s="10">
        <v>216225.68600000002</v>
      </c>
      <c r="U11" s="10">
        <v>217882.4150000001</v>
      </c>
      <c r="V11" s="16">
        <f t="shared" si="1"/>
        <v>-0.37857761941429524</v>
      </c>
      <c r="W11" s="17">
        <f t="shared" si="6"/>
        <v>-0.37857761941429524</v>
      </c>
      <c r="X11" s="16">
        <f t="shared" si="2"/>
        <v>-0.12339983013314791</v>
      </c>
      <c r="Y11" s="17">
        <f t="shared" si="7"/>
        <v>-0.12339983013314791</v>
      </c>
      <c r="Z11" s="38"/>
      <c r="AA11" s="10">
        <v>438838.52399999992</v>
      </c>
      <c r="AB11" s="16">
        <f t="shared" si="3"/>
        <v>0.13560751562458523</v>
      </c>
      <c r="AC11" s="17">
        <f t="shared" si="4"/>
        <v>0.13560751562458523</v>
      </c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</row>
    <row r="12" spans="1:49" s="41" customFormat="1" x14ac:dyDescent="0.25">
      <c r="A12" s="6">
        <v>9</v>
      </c>
      <c r="B12" s="42">
        <v>4009110000</v>
      </c>
      <c r="C12" s="13" t="s">
        <v>2</v>
      </c>
      <c r="D12" s="38"/>
      <c r="E12" s="10">
        <v>436250.37299999985</v>
      </c>
      <c r="F12" s="9">
        <v>234988.88400000005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>
        <f t="shared" si="5"/>
        <v>671239.25699999987</v>
      </c>
      <c r="R12" s="43">
        <f t="shared" si="0"/>
        <v>1.7891324021580843E-3</v>
      </c>
      <c r="S12" s="40"/>
      <c r="T12" s="10">
        <v>238219.12500000003</v>
      </c>
      <c r="U12" s="10">
        <v>500983.03399999975</v>
      </c>
      <c r="V12" s="16">
        <f t="shared" si="1"/>
        <v>-0.46134399293682637</v>
      </c>
      <c r="W12" s="17">
        <f t="shared" si="6"/>
        <v>-0.46134399293682637</v>
      </c>
      <c r="X12" s="16">
        <f t="shared" si="2"/>
        <v>-0.53094442715199774</v>
      </c>
      <c r="Y12" s="17">
        <f t="shared" si="7"/>
        <v>-0.53094442715199774</v>
      </c>
      <c r="Z12" s="38"/>
      <c r="AA12" s="10">
        <v>1056682.7869999995</v>
      </c>
      <c r="AB12" s="16">
        <f t="shared" si="3"/>
        <v>-0.36476749194931274</v>
      </c>
      <c r="AC12" s="17">
        <f t="shared" si="4"/>
        <v>-0.36476749194931274</v>
      </c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</row>
    <row r="13" spans="1:49" s="41" customFormat="1" x14ac:dyDescent="0.25">
      <c r="A13" s="6">
        <v>10</v>
      </c>
      <c r="B13" s="42">
        <v>4009310000</v>
      </c>
      <c r="C13" s="13" t="s">
        <v>2</v>
      </c>
      <c r="D13" s="38"/>
      <c r="E13" s="10">
        <v>1118851.044</v>
      </c>
      <c r="F13" s="9">
        <v>1208233.9720000001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>
        <f t="shared" si="5"/>
        <v>2327085.0159999998</v>
      </c>
      <c r="R13" s="43">
        <f t="shared" si="0"/>
        <v>6.2026515304097665E-3</v>
      </c>
      <c r="S13" s="40"/>
      <c r="T13" s="10">
        <v>684561.57599999954</v>
      </c>
      <c r="U13" s="10">
        <v>1083552.54</v>
      </c>
      <c r="V13" s="16">
        <f t="shared" si="1"/>
        <v>7.9888139247247344E-2</v>
      </c>
      <c r="W13" s="17">
        <f t="shared" si="6"/>
        <v>7.9888139247247344E-2</v>
      </c>
      <c r="X13" s="16">
        <f t="shared" si="2"/>
        <v>0.11506726937302</v>
      </c>
      <c r="Y13" s="17">
        <f t="shared" si="7"/>
        <v>0.11506726937302</v>
      </c>
      <c r="Z13" s="38"/>
      <c r="AA13" s="10">
        <v>2110781.9600000004</v>
      </c>
      <c r="AB13" s="16">
        <f t="shared" si="3"/>
        <v>0.10247531962041184</v>
      </c>
      <c r="AC13" s="17">
        <f t="shared" si="4"/>
        <v>0.10247531962041184</v>
      </c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</row>
    <row r="14" spans="1:49" s="41" customFormat="1" x14ac:dyDescent="0.25">
      <c r="A14" s="6">
        <v>11</v>
      </c>
      <c r="B14" s="42">
        <v>4009410000</v>
      </c>
      <c r="C14" s="13" t="s">
        <v>2</v>
      </c>
      <c r="D14" s="38"/>
      <c r="E14" s="10">
        <v>693764.56099999999</v>
      </c>
      <c r="F14" s="9">
        <v>827084.98100000015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>
        <f t="shared" si="5"/>
        <v>1520849.5420000001</v>
      </c>
      <c r="R14" s="43">
        <f t="shared" si="0"/>
        <v>4.0536979415664344E-3</v>
      </c>
      <c r="S14" s="40"/>
      <c r="T14" s="10">
        <v>260323.29199999999</v>
      </c>
      <c r="U14" s="10">
        <v>851616.24599999981</v>
      </c>
      <c r="V14" s="16">
        <f t="shared" si="1"/>
        <v>0.19216954496469324</v>
      </c>
      <c r="W14" s="17">
        <f t="shared" si="6"/>
        <v>0.19216954496469324</v>
      </c>
      <c r="X14" s="16">
        <f t="shared" si="2"/>
        <v>-2.8805539015045598E-2</v>
      </c>
      <c r="Y14" s="17">
        <f t="shared" si="7"/>
        <v>-2.8805539015045598E-2</v>
      </c>
      <c r="Z14" s="38"/>
      <c r="AA14" s="10">
        <v>1154036.8379999998</v>
      </c>
      <c r="AB14" s="16">
        <f t="shared" si="3"/>
        <v>0.31785181540279434</v>
      </c>
      <c r="AC14" s="17">
        <f t="shared" si="4"/>
        <v>0.31785181540279434</v>
      </c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</row>
    <row r="15" spans="1:49" s="41" customFormat="1" x14ac:dyDescent="0.25">
      <c r="A15" s="6">
        <v>12</v>
      </c>
      <c r="B15" s="42">
        <v>4009420000</v>
      </c>
      <c r="C15" s="13" t="s">
        <v>2</v>
      </c>
      <c r="D15" s="38"/>
      <c r="E15" s="10">
        <v>250631.44999999995</v>
      </c>
      <c r="F15" s="9">
        <v>138037.47000000003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>
        <f t="shared" si="5"/>
        <v>388668.92</v>
      </c>
      <c r="R15" s="43">
        <f t="shared" si="0"/>
        <v>1.0359646746402802E-3</v>
      </c>
      <c r="S15" s="40"/>
      <c r="T15" s="10">
        <v>385138.41100000002</v>
      </c>
      <c r="U15" s="10">
        <v>278557.25800000003</v>
      </c>
      <c r="V15" s="16">
        <f t="shared" si="1"/>
        <v>-0.44924122651008064</v>
      </c>
      <c r="W15" s="17">
        <f t="shared" si="6"/>
        <v>-0.44924122651008064</v>
      </c>
      <c r="X15" s="16">
        <f t="shared" si="2"/>
        <v>-0.50445566921828322</v>
      </c>
      <c r="Y15" s="17">
        <f t="shared" si="7"/>
        <v>-0.50445566921828322</v>
      </c>
      <c r="Z15" s="38"/>
      <c r="AA15" s="10">
        <v>594532.31099999999</v>
      </c>
      <c r="AB15" s="16">
        <f t="shared" si="3"/>
        <v>-0.34626106469089785</v>
      </c>
      <c r="AC15" s="17">
        <f t="shared" si="4"/>
        <v>-0.34626106469089785</v>
      </c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</row>
    <row r="16" spans="1:49" s="41" customFormat="1" x14ac:dyDescent="0.25">
      <c r="A16" s="6">
        <v>13</v>
      </c>
      <c r="B16" s="42">
        <v>4010310000</v>
      </c>
      <c r="C16" s="13" t="s">
        <v>2</v>
      </c>
      <c r="D16" s="38"/>
      <c r="E16" s="10">
        <v>435414.17100000021</v>
      </c>
      <c r="F16" s="9">
        <v>126996.46800000005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>
        <f t="shared" si="5"/>
        <v>562410.6390000002</v>
      </c>
      <c r="R16" s="43">
        <f t="shared" si="0"/>
        <v>1.4990587738424449E-3</v>
      </c>
      <c r="S16" s="40"/>
      <c r="T16" s="10">
        <v>202359.58999999994</v>
      </c>
      <c r="U16" s="10">
        <v>197421.53300000002</v>
      </c>
      <c r="V16" s="16">
        <f t="shared" si="1"/>
        <v>-0.7083317988747776</v>
      </c>
      <c r="W16" s="17">
        <f t="shared" si="6"/>
        <v>-0.7083317988747776</v>
      </c>
      <c r="X16" s="16">
        <f t="shared" si="2"/>
        <v>-0.35672433462463271</v>
      </c>
      <c r="Y16" s="17">
        <f t="shared" si="7"/>
        <v>-0.35672433462463271</v>
      </c>
      <c r="Z16" s="38"/>
      <c r="AA16" s="10">
        <v>602649.57900000003</v>
      </c>
      <c r="AB16" s="16">
        <f t="shared" si="3"/>
        <v>-6.6770045814633888E-2</v>
      </c>
      <c r="AC16" s="17">
        <f t="shared" si="4"/>
        <v>-6.6770045814633888E-2</v>
      </c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</row>
    <row r="17" spans="1:49" s="41" customFormat="1" x14ac:dyDescent="0.25">
      <c r="A17" s="6">
        <v>14</v>
      </c>
      <c r="B17" s="42">
        <v>4010330000</v>
      </c>
      <c r="C17" s="13" t="s">
        <v>2</v>
      </c>
      <c r="D17" s="38"/>
      <c r="E17" s="10">
        <v>23780.39</v>
      </c>
      <c r="F17" s="9">
        <v>33672.869999999995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>
        <f t="shared" si="5"/>
        <v>57453.259999999995</v>
      </c>
      <c r="R17" s="43">
        <f t="shared" si="0"/>
        <v>1.5313688525165177E-4</v>
      </c>
      <c r="S17" s="40"/>
      <c r="T17" s="10">
        <v>29064.598000000002</v>
      </c>
      <c r="U17" s="10">
        <v>17991.721999999998</v>
      </c>
      <c r="V17" s="16">
        <f t="shared" si="1"/>
        <v>0.41599317757194043</v>
      </c>
      <c r="W17" s="17">
        <f t="shared" si="6"/>
        <v>0.41599317757194043</v>
      </c>
      <c r="X17" s="16">
        <f t="shared" si="2"/>
        <v>0.87157571687690594</v>
      </c>
      <c r="Y17" s="17">
        <f t="shared" si="7"/>
        <v>0.87157571687690594</v>
      </c>
      <c r="Z17" s="38"/>
      <c r="AA17" s="10">
        <v>42039.149000000005</v>
      </c>
      <c r="AB17" s="16">
        <f t="shared" si="3"/>
        <v>0.36666087127501051</v>
      </c>
      <c r="AC17" s="17">
        <f t="shared" si="4"/>
        <v>0.36666087127501051</v>
      </c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</row>
    <row r="18" spans="1:49" s="41" customFormat="1" x14ac:dyDescent="0.25">
      <c r="A18" s="6">
        <v>15</v>
      </c>
      <c r="B18" s="42">
        <v>4011101000</v>
      </c>
      <c r="C18" s="13" t="s">
        <v>27</v>
      </c>
      <c r="D18" s="38"/>
      <c r="E18" s="10">
        <v>8439695.5209999997</v>
      </c>
      <c r="F18" s="9">
        <v>5610037.432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>
        <f t="shared" si="5"/>
        <v>14049732.953</v>
      </c>
      <c r="R18" s="43">
        <f t="shared" si="0"/>
        <v>3.7448394452114842E-2</v>
      </c>
      <c r="S18" s="40"/>
      <c r="T18" s="10">
        <v>4603666.5929999985</v>
      </c>
      <c r="U18" s="10">
        <v>5191618.6010000007</v>
      </c>
      <c r="V18" s="16">
        <f t="shared" si="1"/>
        <v>-0.33527964154146644</v>
      </c>
      <c r="W18" s="17">
        <f t="shared" si="6"/>
        <v>-0.33527964154146644</v>
      </c>
      <c r="X18" s="16">
        <f t="shared" si="2"/>
        <v>8.0595063535561756E-2</v>
      </c>
      <c r="Y18" s="17">
        <f t="shared" si="7"/>
        <v>8.0595063535561756E-2</v>
      </c>
      <c r="Z18" s="38"/>
      <c r="AA18" s="10">
        <v>10354487.026000004</v>
      </c>
      <c r="AB18" s="16">
        <f t="shared" si="3"/>
        <v>0.35687387677644222</v>
      </c>
      <c r="AC18" s="17">
        <f t="shared" si="4"/>
        <v>0.35687387677644222</v>
      </c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</row>
    <row r="19" spans="1:49" s="41" customFormat="1" x14ac:dyDescent="0.25">
      <c r="A19" s="6">
        <v>16</v>
      </c>
      <c r="B19" s="42">
        <v>4011109000</v>
      </c>
      <c r="C19" s="13" t="s">
        <v>27</v>
      </c>
      <c r="D19" s="38"/>
      <c r="E19" s="10">
        <v>70001.990000000005</v>
      </c>
      <c r="F19" s="9">
        <v>400.78000000000003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>
        <f t="shared" si="5"/>
        <v>70402.77</v>
      </c>
      <c r="R19" s="43">
        <f t="shared" si="0"/>
        <v>1.876527269451452E-4</v>
      </c>
      <c r="S19" s="40"/>
      <c r="T19" s="10">
        <v>136151.20000000001</v>
      </c>
      <c r="U19" s="10">
        <v>102344.78600000001</v>
      </c>
      <c r="V19" s="16">
        <f t="shared" si="1"/>
        <v>-0.99427473418969947</v>
      </c>
      <c r="W19" s="17">
        <f t="shared" si="6"/>
        <v>-0.99427473418969947</v>
      </c>
      <c r="X19" s="16">
        <f t="shared" si="2"/>
        <v>-0.99608402131985507</v>
      </c>
      <c r="Y19" s="17">
        <f t="shared" si="7"/>
        <v>-0.99608402131985507</v>
      </c>
      <c r="Z19" s="38"/>
      <c r="AA19" s="10">
        <v>241192.36700000003</v>
      </c>
      <c r="AB19" s="16">
        <f t="shared" si="3"/>
        <v>-0.70810531495799778</v>
      </c>
      <c r="AC19" s="17">
        <f t="shared" si="4"/>
        <v>-0.70810531495799778</v>
      </c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</row>
    <row r="20" spans="1:49" s="41" customFormat="1" x14ac:dyDescent="0.25">
      <c r="A20" s="6">
        <v>17</v>
      </c>
      <c r="B20" s="42">
        <v>4011201000</v>
      </c>
      <c r="C20" s="13" t="s">
        <v>27</v>
      </c>
      <c r="D20" s="38"/>
      <c r="E20" s="10">
        <v>19735114.639000006</v>
      </c>
      <c r="F20" s="9">
        <v>13076047.08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>
        <f t="shared" si="5"/>
        <v>32811161.719000004</v>
      </c>
      <c r="R20" s="43">
        <f t="shared" si="0"/>
        <v>8.7455422148993697E-2</v>
      </c>
      <c r="S20" s="40"/>
      <c r="T20" s="10">
        <v>13430308.548000004</v>
      </c>
      <c r="U20" s="10">
        <v>13566257.915999997</v>
      </c>
      <c r="V20" s="16">
        <f t="shared" si="1"/>
        <v>-0.33742228919413192</v>
      </c>
      <c r="W20" s="17">
        <f t="shared" si="6"/>
        <v>-0.33742228919413192</v>
      </c>
      <c r="X20" s="16">
        <f t="shared" si="2"/>
        <v>-3.6134565554871573E-2</v>
      </c>
      <c r="Y20" s="17">
        <f t="shared" si="7"/>
        <v>-3.6134565554871573E-2</v>
      </c>
      <c r="Z20" s="38"/>
      <c r="AA20" s="10">
        <v>25847119.957000002</v>
      </c>
      <c r="AB20" s="16">
        <f t="shared" si="3"/>
        <v>0.26943202080485479</v>
      </c>
      <c r="AC20" s="17">
        <f t="shared" si="4"/>
        <v>0.26943202080485479</v>
      </c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</row>
    <row r="21" spans="1:49" s="41" customFormat="1" x14ac:dyDescent="0.25">
      <c r="A21" s="6">
        <v>18</v>
      </c>
      <c r="B21" s="42">
        <v>4011209000</v>
      </c>
      <c r="C21" s="13" t="s">
        <v>27</v>
      </c>
      <c r="D21" s="38"/>
      <c r="E21" s="10">
        <v>655416.46499999997</v>
      </c>
      <c r="F21" s="9">
        <v>1993686.78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>
        <f t="shared" si="5"/>
        <v>2649103.2450000001</v>
      </c>
      <c r="R21" s="43">
        <f t="shared" si="0"/>
        <v>7.0609643325608221E-3</v>
      </c>
      <c r="S21" s="40"/>
      <c r="T21" s="10">
        <v>418453.93900000001</v>
      </c>
      <c r="U21" s="10">
        <v>1818572.3900000001</v>
      </c>
      <c r="V21" s="16">
        <f t="shared" si="1"/>
        <v>2.0418625201916463</v>
      </c>
      <c r="W21" s="17">
        <f t="shared" si="6"/>
        <v>2.0418625201916463</v>
      </c>
      <c r="X21" s="16">
        <f t="shared" si="2"/>
        <v>9.6292229532858944E-2</v>
      </c>
      <c r="Y21" s="17">
        <f t="shared" si="7"/>
        <v>9.6292229532858944E-2</v>
      </c>
      <c r="Z21" s="38"/>
      <c r="AA21" s="10">
        <v>2866087.24</v>
      </c>
      <c r="AB21" s="16">
        <f t="shared" si="3"/>
        <v>-7.5707393680033305E-2</v>
      </c>
      <c r="AC21" s="17">
        <f t="shared" si="4"/>
        <v>-7.5707393680033305E-2</v>
      </c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</row>
    <row r="22" spans="1:49" s="41" customFormat="1" x14ac:dyDescent="0.25">
      <c r="A22" s="6">
        <v>19</v>
      </c>
      <c r="B22" s="42">
        <v>4011400000</v>
      </c>
      <c r="C22" s="13" t="s">
        <v>27</v>
      </c>
      <c r="D22" s="38"/>
      <c r="E22" s="10">
        <v>3104400.3950000005</v>
      </c>
      <c r="F22" s="9">
        <v>2339975.3899999997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>
        <f t="shared" si="5"/>
        <v>5444375.7850000001</v>
      </c>
      <c r="R22" s="43">
        <f t="shared" si="0"/>
        <v>1.4511530761777776E-2</v>
      </c>
      <c r="S22" s="40"/>
      <c r="T22" s="10">
        <v>2118084.0369999995</v>
      </c>
      <c r="U22" s="10">
        <v>1974278.1970000004</v>
      </c>
      <c r="V22" s="16">
        <f t="shared" si="1"/>
        <v>-0.24623917914428711</v>
      </c>
      <c r="W22" s="17">
        <f t="shared" si="6"/>
        <v>-0.24623917914428711</v>
      </c>
      <c r="X22" s="16">
        <f t="shared" si="2"/>
        <v>0.18523083198492071</v>
      </c>
      <c r="Y22" s="17">
        <f t="shared" si="7"/>
        <v>0.18523083198492071</v>
      </c>
      <c r="Z22" s="38"/>
      <c r="AA22" s="10">
        <v>5119259.0340000009</v>
      </c>
      <c r="AB22" s="16">
        <f t="shared" si="3"/>
        <v>6.3508556383005482E-2</v>
      </c>
      <c r="AC22" s="17">
        <f t="shared" si="4"/>
        <v>6.3508556383005482E-2</v>
      </c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</row>
    <row r="23" spans="1:49" s="41" customFormat="1" x14ac:dyDescent="0.25">
      <c r="A23" s="6">
        <v>20</v>
      </c>
      <c r="B23" s="42">
        <v>4011700000</v>
      </c>
      <c r="C23" s="13" t="s">
        <v>27</v>
      </c>
      <c r="D23" s="38"/>
      <c r="E23" s="10">
        <v>417513.84300000005</v>
      </c>
      <c r="F23" s="9">
        <v>456950.64500000002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>
        <f t="shared" si="5"/>
        <v>874464.48800000013</v>
      </c>
      <c r="R23" s="43">
        <f t="shared" si="0"/>
        <v>2.3308123499954651E-3</v>
      </c>
      <c r="S23" s="40"/>
      <c r="T23" s="10">
        <v>770665.88400000008</v>
      </c>
      <c r="U23" s="10">
        <v>115015.239</v>
      </c>
      <c r="V23" s="16">
        <f t="shared" si="1"/>
        <v>9.445627411208965E-2</v>
      </c>
      <c r="W23" s="17">
        <f t="shared" si="6"/>
        <v>9.445627411208965E-2</v>
      </c>
      <c r="X23" s="16">
        <f t="shared" si="2"/>
        <v>2.9729574008884163</v>
      </c>
      <c r="Y23" s="17">
        <f t="shared" si="7"/>
        <v>2.9729574008884163</v>
      </c>
      <c r="Z23" s="38"/>
      <c r="AA23" s="10">
        <v>533855.65899999999</v>
      </c>
      <c r="AB23" s="16">
        <f t="shared" si="3"/>
        <v>0.63801670593511528</v>
      </c>
      <c r="AC23" s="17">
        <f t="shared" si="4"/>
        <v>0.63801670593511528</v>
      </c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</row>
    <row r="24" spans="1:49" s="41" customFormat="1" x14ac:dyDescent="0.25">
      <c r="A24" s="6">
        <v>21</v>
      </c>
      <c r="B24" s="42">
        <v>4011800000</v>
      </c>
      <c r="C24" s="13" t="s">
        <v>27</v>
      </c>
      <c r="D24" s="38"/>
      <c r="E24" s="10">
        <v>18038925.892000001</v>
      </c>
      <c r="F24" s="9">
        <v>14410165.567000018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>
        <f t="shared" si="5"/>
        <v>32449091.459000021</v>
      </c>
      <c r="R24" s="43">
        <f t="shared" si="0"/>
        <v>8.6490353989960536E-2</v>
      </c>
      <c r="S24" s="40"/>
      <c r="T24" s="10">
        <v>13327235.098000005</v>
      </c>
      <c r="U24" s="10">
        <v>16058502.499</v>
      </c>
      <c r="V24" s="16">
        <f t="shared" si="1"/>
        <v>-0.20116277137150856</v>
      </c>
      <c r="W24" s="17">
        <f t="shared" si="6"/>
        <v>-0.20116277137150856</v>
      </c>
      <c r="X24" s="16">
        <f t="shared" si="2"/>
        <v>-0.10264574371754945</v>
      </c>
      <c r="Y24" s="17">
        <f t="shared" si="7"/>
        <v>-0.10264574371754945</v>
      </c>
      <c r="Z24" s="38"/>
      <c r="AA24" s="10">
        <v>34574506.438000001</v>
      </c>
      <c r="AB24" s="16">
        <f t="shared" si="3"/>
        <v>-6.1473472739555515E-2</v>
      </c>
      <c r="AC24" s="17">
        <f t="shared" si="4"/>
        <v>-6.1473472739555515E-2</v>
      </c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</row>
    <row r="25" spans="1:49" s="41" customFormat="1" x14ac:dyDescent="0.25">
      <c r="A25" s="6">
        <v>22</v>
      </c>
      <c r="B25" s="42">
        <v>4011900000</v>
      </c>
      <c r="C25" s="13" t="s">
        <v>27</v>
      </c>
      <c r="D25" s="38"/>
      <c r="E25" s="10">
        <v>123312.864</v>
      </c>
      <c r="F25" s="9">
        <v>117111.59800000001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>
        <f t="shared" si="5"/>
        <v>240424.462</v>
      </c>
      <c r="R25" s="43">
        <f t="shared" si="0"/>
        <v>6.4083140363112756E-4</v>
      </c>
      <c r="S25" s="40"/>
      <c r="T25" s="10">
        <v>180888.50599999999</v>
      </c>
      <c r="U25" s="10">
        <v>213741.89999999994</v>
      </c>
      <c r="V25" s="16">
        <f t="shared" si="1"/>
        <v>-5.0288881458466397E-2</v>
      </c>
      <c r="W25" s="17">
        <f t="shared" si="6"/>
        <v>-5.0288881458466397E-2</v>
      </c>
      <c r="X25" s="16">
        <f t="shared" si="2"/>
        <v>-0.45208872008717033</v>
      </c>
      <c r="Y25" s="17">
        <f t="shared" si="7"/>
        <v>-0.45208872008717033</v>
      </c>
      <c r="Z25" s="38"/>
      <c r="AA25" s="10">
        <v>281744.93199999991</v>
      </c>
      <c r="AB25" s="16">
        <f t="shared" si="3"/>
        <v>-0.14665914203560521</v>
      </c>
      <c r="AC25" s="17">
        <f t="shared" si="4"/>
        <v>-0.14665914203560521</v>
      </c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</row>
    <row r="26" spans="1:49" s="41" customFormat="1" x14ac:dyDescent="0.25">
      <c r="A26" s="6">
        <v>23</v>
      </c>
      <c r="B26" s="42">
        <v>4012120000</v>
      </c>
      <c r="C26" s="13" t="s">
        <v>27</v>
      </c>
      <c r="D26" s="38"/>
      <c r="E26" s="10">
        <v>6600</v>
      </c>
      <c r="F26" s="9">
        <v>0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>
        <f t="shared" si="5"/>
        <v>6600</v>
      </c>
      <c r="R26" s="43">
        <f t="shared" si="0"/>
        <v>1.7591750975678346E-5</v>
      </c>
      <c r="S26" s="40"/>
      <c r="T26" s="10">
        <v>0</v>
      </c>
      <c r="U26" s="10">
        <v>0</v>
      </c>
      <c r="V26" s="16">
        <f t="shared" si="1"/>
        <v>-1</v>
      </c>
      <c r="W26" s="17">
        <f t="shared" si="6"/>
        <v>-1</v>
      </c>
      <c r="X26" s="16">
        <f t="shared" si="2"/>
        <v>0</v>
      </c>
      <c r="Y26" s="17">
        <f t="shared" si="7"/>
        <v>0</v>
      </c>
      <c r="Z26" s="38"/>
      <c r="AA26" s="10">
        <v>0</v>
      </c>
      <c r="AB26" s="16">
        <f t="shared" si="3"/>
        <v>0</v>
      </c>
      <c r="AC26" s="17">
        <f t="shared" si="4"/>
        <v>0</v>
      </c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</row>
    <row r="27" spans="1:49" s="41" customFormat="1" x14ac:dyDescent="0.25">
      <c r="A27" s="6">
        <v>24</v>
      </c>
      <c r="B27" s="42">
        <v>4012190000</v>
      </c>
      <c r="C27" s="13" t="s">
        <v>27</v>
      </c>
      <c r="D27" s="38"/>
      <c r="E27" s="10">
        <v>687.404</v>
      </c>
      <c r="F27" s="9">
        <v>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>
        <f t="shared" si="5"/>
        <v>687.404</v>
      </c>
      <c r="R27" s="43">
        <f t="shared" si="0"/>
        <v>1.8322181799523028E-6</v>
      </c>
      <c r="S27" s="40"/>
      <c r="T27" s="10">
        <v>29984</v>
      </c>
      <c r="U27" s="10">
        <v>0</v>
      </c>
      <c r="V27" s="16">
        <f t="shared" si="1"/>
        <v>-1</v>
      </c>
      <c r="W27" s="17">
        <f t="shared" si="6"/>
        <v>-1</v>
      </c>
      <c r="X27" s="16">
        <f t="shared" si="2"/>
        <v>0</v>
      </c>
      <c r="Y27" s="17">
        <f t="shared" si="7"/>
        <v>0</v>
      </c>
      <c r="Z27" s="38"/>
      <c r="AA27" s="10">
        <v>160</v>
      </c>
      <c r="AB27" s="16">
        <f t="shared" si="3"/>
        <v>3.2962750000000001</v>
      </c>
      <c r="AC27" s="17">
        <f t="shared" si="4"/>
        <v>3.2962750000000001</v>
      </c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</row>
    <row r="28" spans="1:49" s="41" customFormat="1" x14ac:dyDescent="0.25">
      <c r="A28" s="6">
        <v>25</v>
      </c>
      <c r="B28" s="42">
        <v>4012902000</v>
      </c>
      <c r="C28" s="13" t="s">
        <v>27</v>
      </c>
      <c r="D28" s="38"/>
      <c r="E28" s="10">
        <v>69682.436000000002</v>
      </c>
      <c r="F28" s="9">
        <v>145832.82500000001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>
        <f t="shared" si="5"/>
        <v>215515.261</v>
      </c>
      <c r="R28" s="43">
        <f t="shared" si="0"/>
        <v>5.7443800045004899E-4</v>
      </c>
      <c r="S28" s="40"/>
      <c r="T28" s="10">
        <v>101202.26700000001</v>
      </c>
      <c r="U28" s="10">
        <v>41407.391000000003</v>
      </c>
      <c r="V28" s="16">
        <f t="shared" si="1"/>
        <v>1.0928204203423659</v>
      </c>
      <c r="W28" s="17">
        <f t="shared" si="6"/>
        <v>1.0928204203423659</v>
      </c>
      <c r="X28" s="16">
        <f t="shared" si="2"/>
        <v>2.5219032515233812</v>
      </c>
      <c r="Y28" s="17">
        <f t="shared" si="7"/>
        <v>2.5219032515233812</v>
      </c>
      <c r="Z28" s="38"/>
      <c r="AA28" s="10">
        <v>100807.12</v>
      </c>
      <c r="AB28" s="16">
        <f t="shared" si="3"/>
        <v>1.1378972140063124</v>
      </c>
      <c r="AC28" s="17">
        <f t="shared" si="4"/>
        <v>1.1378972140063124</v>
      </c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</row>
    <row r="29" spans="1:49" s="41" customFormat="1" x14ac:dyDescent="0.25">
      <c r="A29" s="6">
        <v>26</v>
      </c>
      <c r="B29" s="42">
        <v>4012903000</v>
      </c>
      <c r="C29" s="13" t="s">
        <v>27</v>
      </c>
      <c r="D29" s="38"/>
      <c r="E29" s="10">
        <v>45.994</v>
      </c>
      <c r="F29" s="9">
        <v>96.18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>
        <f t="shared" si="5"/>
        <v>142.17400000000001</v>
      </c>
      <c r="R29" s="43">
        <f t="shared" si="0"/>
        <v>3.7895297018425657E-7</v>
      </c>
      <c r="S29" s="40"/>
      <c r="T29" s="10">
        <v>0</v>
      </c>
      <c r="U29" s="10">
        <v>9250</v>
      </c>
      <c r="V29" s="16">
        <f t="shared" si="1"/>
        <v>1.0911423229116843</v>
      </c>
      <c r="W29" s="17">
        <f t="shared" si="6"/>
        <v>1.0911423229116843</v>
      </c>
      <c r="X29" s="16">
        <f t="shared" si="2"/>
        <v>-0.98960216216216212</v>
      </c>
      <c r="Y29" s="17">
        <f t="shared" si="7"/>
        <v>-0.98960216216216212</v>
      </c>
      <c r="Z29" s="38"/>
      <c r="AA29" s="10">
        <v>19236.184000000001</v>
      </c>
      <c r="AB29" s="16">
        <f t="shared" si="3"/>
        <v>-0.99260903305977943</v>
      </c>
      <c r="AC29" s="17">
        <f t="shared" si="4"/>
        <v>-0.99260903305977943</v>
      </c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</row>
    <row r="30" spans="1:49" s="41" customFormat="1" x14ac:dyDescent="0.25">
      <c r="A30" s="6">
        <v>27</v>
      </c>
      <c r="B30" s="42">
        <v>4013100000</v>
      </c>
      <c r="C30" s="13" t="s">
        <v>27</v>
      </c>
      <c r="D30" s="38"/>
      <c r="E30" s="10">
        <v>48954.584999999999</v>
      </c>
      <c r="F30" s="9">
        <v>81823.48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>
        <f t="shared" si="5"/>
        <v>130778.065</v>
      </c>
      <c r="R30" s="43">
        <f t="shared" si="0"/>
        <v>3.4857805341834488E-4</v>
      </c>
      <c r="S30" s="40"/>
      <c r="T30" s="10">
        <v>83027.700000000012</v>
      </c>
      <c r="U30" s="10">
        <v>25224.76</v>
      </c>
      <c r="V30" s="16">
        <f t="shared" si="1"/>
        <v>0.671416068586834</v>
      </c>
      <c r="W30" s="17">
        <f t="shared" si="6"/>
        <v>0.671416068586834</v>
      </c>
      <c r="X30" s="16">
        <f t="shared" si="2"/>
        <v>2.2437763530753121</v>
      </c>
      <c r="Y30" s="17">
        <f t="shared" si="7"/>
        <v>2.2437763530753121</v>
      </c>
      <c r="Z30" s="38"/>
      <c r="AA30" s="10">
        <v>166144.27900000001</v>
      </c>
      <c r="AB30" s="16">
        <f t="shared" si="3"/>
        <v>-0.21286447064481831</v>
      </c>
      <c r="AC30" s="17">
        <f t="shared" si="4"/>
        <v>-0.21286447064481831</v>
      </c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</row>
    <row r="31" spans="1:49" s="41" customFormat="1" x14ac:dyDescent="0.25">
      <c r="A31" s="6">
        <v>28</v>
      </c>
      <c r="B31" s="42">
        <v>4013900000</v>
      </c>
      <c r="C31" s="13" t="s">
        <v>27</v>
      </c>
      <c r="D31" s="38"/>
      <c r="E31" s="10">
        <v>1155049.5329999996</v>
      </c>
      <c r="F31" s="9">
        <v>1019549.2739999996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>
        <f t="shared" si="5"/>
        <v>2174598.8069999991</v>
      </c>
      <c r="R31" s="43">
        <f t="shared" si="0"/>
        <v>5.7962122249623034E-3</v>
      </c>
      <c r="S31" s="40"/>
      <c r="T31" s="10">
        <v>758746.98100000015</v>
      </c>
      <c r="U31" s="10">
        <v>1027390.1070000001</v>
      </c>
      <c r="V31" s="16">
        <f t="shared" si="1"/>
        <v>-0.11731121058338198</v>
      </c>
      <c r="W31" s="17">
        <f t="shared" si="6"/>
        <v>-0.11731121058338198</v>
      </c>
      <c r="X31" s="16">
        <f t="shared" si="2"/>
        <v>-7.6317972565414722E-3</v>
      </c>
      <c r="Y31" s="17">
        <f t="shared" si="7"/>
        <v>-7.6317972565414722E-3</v>
      </c>
      <c r="Z31" s="38"/>
      <c r="AA31" s="10">
        <v>1497017.2140000002</v>
      </c>
      <c r="AB31" s="16">
        <f t="shared" si="3"/>
        <v>0.45262110994002164</v>
      </c>
      <c r="AC31" s="17">
        <f t="shared" si="4"/>
        <v>0.45262110994002164</v>
      </c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</row>
    <row r="32" spans="1:49" s="41" customFormat="1" x14ac:dyDescent="0.25">
      <c r="A32" s="6">
        <v>29</v>
      </c>
      <c r="B32" s="42">
        <v>4016930000</v>
      </c>
      <c r="C32" s="13" t="s">
        <v>4</v>
      </c>
      <c r="D32" s="38"/>
      <c r="E32" s="10">
        <v>3980865.8840000085</v>
      </c>
      <c r="F32" s="9">
        <v>3290306.4559999988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>
        <f t="shared" si="5"/>
        <v>7271172.3400000073</v>
      </c>
      <c r="R32" s="43">
        <f t="shared" si="0"/>
        <v>1.9380705016139477E-2</v>
      </c>
      <c r="S32" s="40"/>
      <c r="T32" s="10">
        <v>2673184.8980000014</v>
      </c>
      <c r="U32" s="10">
        <v>2724675.9789999998</v>
      </c>
      <c r="V32" s="16">
        <f t="shared" si="1"/>
        <v>-0.17346965412111034</v>
      </c>
      <c r="W32" s="17">
        <f t="shared" si="6"/>
        <v>-0.17346965412111034</v>
      </c>
      <c r="X32" s="16">
        <f t="shared" si="2"/>
        <v>0.20759550176222957</v>
      </c>
      <c r="Y32" s="17">
        <f t="shared" si="7"/>
        <v>0.20759550176222957</v>
      </c>
      <c r="Z32" s="38"/>
      <c r="AA32" s="10">
        <v>5990103.012000002</v>
      </c>
      <c r="AB32" s="16">
        <f t="shared" si="3"/>
        <v>0.21386432344045386</v>
      </c>
      <c r="AC32" s="17">
        <f t="shared" si="4"/>
        <v>0.21386432344045386</v>
      </c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</row>
    <row r="33" spans="1:49" s="41" customFormat="1" x14ac:dyDescent="0.25">
      <c r="A33" s="6">
        <v>30</v>
      </c>
      <c r="B33" s="42">
        <v>4016994000</v>
      </c>
      <c r="C33" s="13" t="s">
        <v>27</v>
      </c>
      <c r="D33" s="38"/>
      <c r="E33" s="10">
        <v>229263.41000000003</v>
      </c>
      <c r="F33" s="9">
        <v>87895.592999999993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>
        <f t="shared" si="5"/>
        <v>317159.00300000003</v>
      </c>
      <c r="R33" s="43">
        <f t="shared" si="0"/>
        <v>8.4536093946521555E-4</v>
      </c>
      <c r="S33" s="40"/>
      <c r="T33" s="10">
        <v>71699.539999999979</v>
      </c>
      <c r="U33" s="10">
        <v>177927.23400000003</v>
      </c>
      <c r="V33" s="16">
        <f t="shared" si="1"/>
        <v>-0.61661744017503717</v>
      </c>
      <c r="W33" s="17">
        <f t="shared" si="6"/>
        <v>-0.61661744017503717</v>
      </c>
      <c r="X33" s="16">
        <f t="shared" si="2"/>
        <v>-0.50600258867622261</v>
      </c>
      <c r="Y33" s="17">
        <f t="shared" si="7"/>
        <v>-0.50600258867622261</v>
      </c>
      <c r="Z33" s="38"/>
      <c r="AA33" s="10">
        <v>555653.28200000001</v>
      </c>
      <c r="AB33" s="16">
        <f t="shared" si="3"/>
        <v>-0.42921420016016387</v>
      </c>
      <c r="AC33" s="17">
        <f t="shared" si="4"/>
        <v>-0.42921420016016387</v>
      </c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</row>
    <row r="34" spans="1:49" s="41" customFormat="1" x14ac:dyDescent="0.25">
      <c r="A34" s="6">
        <v>31</v>
      </c>
      <c r="B34" s="42">
        <v>6813810000</v>
      </c>
      <c r="C34" s="13" t="s">
        <v>14</v>
      </c>
      <c r="D34" s="38"/>
      <c r="E34" s="10">
        <v>387947.50199999998</v>
      </c>
      <c r="F34" s="9">
        <v>215130.25299999997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>
        <f t="shared" si="5"/>
        <v>603077.75499999989</v>
      </c>
      <c r="R34" s="43">
        <f t="shared" si="0"/>
        <v>1.6074535886259325E-3</v>
      </c>
      <c r="S34" s="40"/>
      <c r="T34" s="10">
        <v>148793.087</v>
      </c>
      <c r="U34" s="10">
        <v>407213.0450000001</v>
      </c>
      <c r="V34" s="16">
        <f t="shared" si="1"/>
        <v>-0.44546555425429707</v>
      </c>
      <c r="W34" s="17">
        <f t="shared" si="6"/>
        <v>-0.44546555425429707</v>
      </c>
      <c r="X34" s="16">
        <f t="shared" si="2"/>
        <v>-0.47170097902929431</v>
      </c>
      <c r="Y34" s="17">
        <f t="shared" si="7"/>
        <v>-0.47170097902929431</v>
      </c>
      <c r="Z34" s="38"/>
      <c r="AA34" s="10">
        <v>726674.69100000011</v>
      </c>
      <c r="AB34" s="16">
        <f t="shared" si="3"/>
        <v>-0.17008564840742499</v>
      </c>
      <c r="AC34" s="17">
        <f t="shared" si="4"/>
        <v>-0.17008564840742499</v>
      </c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</row>
    <row r="35" spans="1:49" s="41" customFormat="1" x14ac:dyDescent="0.25">
      <c r="A35" s="6">
        <v>32</v>
      </c>
      <c r="B35" s="42">
        <v>7007110000</v>
      </c>
      <c r="C35" s="13" t="s">
        <v>14</v>
      </c>
      <c r="D35" s="38"/>
      <c r="E35" s="10">
        <v>201131.761</v>
      </c>
      <c r="F35" s="9">
        <v>249598.74599999981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>
        <f t="shared" si="5"/>
        <v>450730.50699999981</v>
      </c>
      <c r="R35" s="43">
        <f t="shared" si="0"/>
        <v>1.2013846721644307E-3</v>
      </c>
      <c r="S35" s="40"/>
      <c r="T35" s="10">
        <v>802944.37099999993</v>
      </c>
      <c r="U35" s="10">
        <v>349342.86800000013</v>
      </c>
      <c r="V35" s="16">
        <f t="shared" si="1"/>
        <v>0.24097131531603211</v>
      </c>
      <c r="W35" s="17">
        <f t="shared" si="6"/>
        <v>0.24097131531603211</v>
      </c>
      <c r="X35" s="16">
        <f t="shared" si="2"/>
        <v>-0.28551927386134668</v>
      </c>
      <c r="Y35" s="17">
        <f t="shared" si="7"/>
        <v>-0.28551927386134668</v>
      </c>
      <c r="Z35" s="38"/>
      <c r="AA35" s="10">
        <v>543578.04900000012</v>
      </c>
      <c r="AB35" s="16">
        <f t="shared" si="3"/>
        <v>-0.170808115174644</v>
      </c>
      <c r="AC35" s="17">
        <f t="shared" si="4"/>
        <v>-0.170808115174644</v>
      </c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</row>
    <row r="36" spans="1:49" s="41" customFormat="1" x14ac:dyDescent="0.25">
      <c r="A36" s="6">
        <v>33</v>
      </c>
      <c r="B36" s="42">
        <v>7007210000</v>
      </c>
      <c r="C36" s="13" t="s">
        <v>14</v>
      </c>
      <c r="D36" s="38"/>
      <c r="E36" s="10">
        <v>519996.82</v>
      </c>
      <c r="F36" s="9">
        <v>547968.5959999999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>
        <f t="shared" si="5"/>
        <v>1067965.416</v>
      </c>
      <c r="R36" s="43">
        <f t="shared" ref="R36:R67" si="8">+Q36/$Q$151</f>
        <v>2.8465729771073836E-3</v>
      </c>
      <c r="S36" s="40"/>
      <c r="T36" s="10">
        <v>530750.20600000001</v>
      </c>
      <c r="U36" s="10">
        <v>1403484.1229999997</v>
      </c>
      <c r="V36" s="16">
        <f t="shared" si="1"/>
        <v>5.3792205883105008E-2</v>
      </c>
      <c r="W36" s="17">
        <f t="shared" si="6"/>
        <v>5.3792205883105008E-2</v>
      </c>
      <c r="X36" s="16">
        <f t="shared" ref="X36:X67" si="9">+Y36</f>
        <v>-0.60956551839810158</v>
      </c>
      <c r="Y36" s="17">
        <f t="shared" si="7"/>
        <v>-0.60956551839810158</v>
      </c>
      <c r="Z36" s="38"/>
      <c r="AA36" s="10">
        <v>2686698.8879999993</v>
      </c>
      <c r="AB36" s="16">
        <f t="shared" ref="AB36:AB67" si="10">+AC36</f>
        <v>-0.60249902928459464</v>
      </c>
      <c r="AC36" s="17">
        <f t="shared" ref="AC36:AC67" si="11">IFERROR((Q36-AA36)/AA36,0)</f>
        <v>-0.60249902928459464</v>
      </c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</row>
    <row r="37" spans="1:49" s="41" customFormat="1" x14ac:dyDescent="0.25">
      <c r="A37" s="6">
        <v>34</v>
      </c>
      <c r="B37" s="42">
        <v>7009100000</v>
      </c>
      <c r="C37" s="13" t="s">
        <v>14</v>
      </c>
      <c r="D37" s="38"/>
      <c r="E37" s="10">
        <v>537298.78299999994</v>
      </c>
      <c r="F37" s="9">
        <v>625614.39300000016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>
        <f t="shared" si="5"/>
        <v>1162913.176</v>
      </c>
      <c r="R37" s="43">
        <f t="shared" si="8"/>
        <v>3.0996483331101827E-3</v>
      </c>
      <c r="S37" s="40"/>
      <c r="T37" s="10">
        <v>416753.13800000004</v>
      </c>
      <c r="U37" s="10">
        <v>473036.94900000014</v>
      </c>
      <c r="V37" s="16">
        <f t="shared" si="1"/>
        <v>0.16436964458934988</v>
      </c>
      <c r="W37" s="17">
        <f t="shared" si="6"/>
        <v>0.16436964458934988</v>
      </c>
      <c r="X37" s="16">
        <f t="shared" si="9"/>
        <v>0.32254868107565099</v>
      </c>
      <c r="Y37" s="17">
        <f t="shared" si="7"/>
        <v>0.32254868107565099</v>
      </c>
      <c r="Z37" s="38"/>
      <c r="AA37" s="10">
        <v>909685.70900000026</v>
      </c>
      <c r="AB37" s="16">
        <f t="shared" si="10"/>
        <v>0.27836808305845295</v>
      </c>
      <c r="AC37" s="17">
        <f t="shared" si="11"/>
        <v>0.27836808305845295</v>
      </c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</row>
    <row r="38" spans="1:49" s="41" customFormat="1" x14ac:dyDescent="0.25">
      <c r="A38" s="6">
        <v>35</v>
      </c>
      <c r="B38" s="42">
        <v>7315120000</v>
      </c>
      <c r="C38" s="13" t="s">
        <v>4</v>
      </c>
      <c r="D38" s="38"/>
      <c r="E38" s="10">
        <v>2044647.9179999996</v>
      </c>
      <c r="F38" s="9">
        <v>1231911.5089999991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>
        <f t="shared" si="5"/>
        <v>3276559.4269999987</v>
      </c>
      <c r="R38" s="43">
        <f t="shared" si="8"/>
        <v>8.7333965904235322E-3</v>
      </c>
      <c r="S38" s="40"/>
      <c r="T38" s="10">
        <v>1934994.7270000016</v>
      </c>
      <c r="U38" s="10">
        <v>1809898.7800000005</v>
      </c>
      <c r="V38" s="16">
        <f t="shared" si="1"/>
        <v>-0.39749455240929193</v>
      </c>
      <c r="W38" s="17">
        <f t="shared" si="6"/>
        <v>-0.39749455240929193</v>
      </c>
      <c r="X38" s="16">
        <f t="shared" si="9"/>
        <v>-0.31934784275615746</v>
      </c>
      <c r="Y38" s="17">
        <f t="shared" si="7"/>
        <v>-0.31934784275615746</v>
      </c>
      <c r="Z38" s="38"/>
      <c r="AA38" s="10">
        <v>3441035.0859999992</v>
      </c>
      <c r="AB38" s="16">
        <f t="shared" si="10"/>
        <v>-4.7798309197478635E-2</v>
      </c>
      <c r="AC38" s="17">
        <f t="shared" si="11"/>
        <v>-4.7798309197478635E-2</v>
      </c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</row>
    <row r="39" spans="1:49" s="41" customFormat="1" x14ac:dyDescent="0.25">
      <c r="A39" s="6">
        <v>36</v>
      </c>
      <c r="B39" s="42">
        <v>7320100000</v>
      </c>
      <c r="C39" s="13" t="s">
        <v>3</v>
      </c>
      <c r="D39" s="38"/>
      <c r="E39" s="10">
        <v>588670.07799999998</v>
      </c>
      <c r="F39" s="9">
        <v>547340.4709999999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>
        <f t="shared" si="5"/>
        <v>1136010.5489999999</v>
      </c>
      <c r="R39" s="43">
        <f t="shared" si="8"/>
        <v>3.0279416187502491E-3</v>
      </c>
      <c r="S39" s="40"/>
      <c r="T39" s="10">
        <v>144589.87099999996</v>
      </c>
      <c r="U39" s="10">
        <v>528449.3069999998</v>
      </c>
      <c r="V39" s="16">
        <f t="shared" si="1"/>
        <v>-7.0208438554269573E-2</v>
      </c>
      <c r="W39" s="17">
        <f t="shared" si="6"/>
        <v>-7.0208438554269573E-2</v>
      </c>
      <c r="X39" s="16">
        <f t="shared" si="9"/>
        <v>3.5748299316059308E-2</v>
      </c>
      <c r="Y39" s="17">
        <f t="shared" si="7"/>
        <v>3.5748299316059308E-2</v>
      </c>
      <c r="Z39" s="38"/>
      <c r="AA39" s="10">
        <v>1115973.1709999996</v>
      </c>
      <c r="AB39" s="16">
        <f t="shared" si="10"/>
        <v>1.7955071430655625E-2</v>
      </c>
      <c r="AC39" s="17">
        <f t="shared" si="11"/>
        <v>1.7955071430655625E-2</v>
      </c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</row>
    <row r="40" spans="1:49" s="41" customFormat="1" x14ac:dyDescent="0.25">
      <c r="A40" s="6">
        <v>37</v>
      </c>
      <c r="B40" s="42">
        <v>7320201000</v>
      </c>
      <c r="C40" s="13" t="s">
        <v>3</v>
      </c>
      <c r="D40" s="38"/>
      <c r="E40" s="10">
        <v>166274.09400000001</v>
      </c>
      <c r="F40" s="9">
        <v>354950.7969999999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>
        <f t="shared" si="5"/>
        <v>521224.89099999995</v>
      </c>
      <c r="R40" s="43">
        <f t="shared" si="8"/>
        <v>1.3892815886056196E-3</v>
      </c>
      <c r="S40" s="40"/>
      <c r="T40" s="10">
        <v>203520.00000000003</v>
      </c>
      <c r="U40" s="10">
        <v>239979.52099999998</v>
      </c>
      <c r="V40" s="16">
        <f t="shared" si="1"/>
        <v>1.1347330089797385</v>
      </c>
      <c r="W40" s="17">
        <f t="shared" si="6"/>
        <v>1.1347330089797385</v>
      </c>
      <c r="X40" s="16">
        <f t="shared" si="9"/>
        <v>0.47908786350148574</v>
      </c>
      <c r="Y40" s="17">
        <f t="shared" si="7"/>
        <v>0.47908786350148574</v>
      </c>
      <c r="Z40" s="38"/>
      <c r="AA40" s="10">
        <v>642092.99599999993</v>
      </c>
      <c r="AB40" s="16">
        <f t="shared" si="10"/>
        <v>-0.18824080896842549</v>
      </c>
      <c r="AC40" s="17">
        <f t="shared" si="11"/>
        <v>-0.18824080896842549</v>
      </c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</row>
    <row r="41" spans="1:49" s="41" customFormat="1" x14ac:dyDescent="0.25">
      <c r="A41" s="6">
        <v>38</v>
      </c>
      <c r="B41" s="42">
        <v>7320209000</v>
      </c>
      <c r="C41" s="13" t="s">
        <v>3</v>
      </c>
      <c r="D41" s="38"/>
      <c r="E41" s="10">
        <v>601215.29399999953</v>
      </c>
      <c r="F41" s="9">
        <v>509027.64500000025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>
        <f t="shared" si="5"/>
        <v>1110242.9389999998</v>
      </c>
      <c r="R41" s="43">
        <f t="shared" si="8"/>
        <v>2.9592601977868546E-3</v>
      </c>
      <c r="S41" s="40"/>
      <c r="T41" s="10">
        <v>621499.69800000032</v>
      </c>
      <c r="U41" s="10">
        <v>640905.17499999993</v>
      </c>
      <c r="V41" s="16">
        <f t="shared" si="1"/>
        <v>-0.15333550214043515</v>
      </c>
      <c r="W41" s="17">
        <f t="shared" si="6"/>
        <v>-0.15333550214043515</v>
      </c>
      <c r="X41" s="16">
        <f t="shared" si="9"/>
        <v>-0.20576761609078861</v>
      </c>
      <c r="Y41" s="17">
        <f t="shared" si="7"/>
        <v>-0.20576761609078861</v>
      </c>
      <c r="Z41" s="38"/>
      <c r="AA41" s="10">
        <v>1497361.4589999989</v>
      </c>
      <c r="AB41" s="16">
        <f t="shared" si="10"/>
        <v>-0.25853378132126703</v>
      </c>
      <c r="AC41" s="17">
        <f t="shared" si="11"/>
        <v>-0.25853378132126703</v>
      </c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</row>
    <row r="42" spans="1:49" s="41" customFormat="1" x14ac:dyDescent="0.25">
      <c r="A42" s="6">
        <v>39</v>
      </c>
      <c r="B42" s="42">
        <v>8409911000</v>
      </c>
      <c r="C42" s="13" t="s">
        <v>4</v>
      </c>
      <c r="D42" s="38"/>
      <c r="E42" s="10">
        <v>764840.049</v>
      </c>
      <c r="F42" s="9">
        <v>694029.01699999999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>
        <f t="shared" si="5"/>
        <v>1458869.0660000001</v>
      </c>
      <c r="R42" s="43">
        <f t="shared" si="8"/>
        <v>3.8884941386655245E-3</v>
      </c>
      <c r="S42" s="40"/>
      <c r="T42" s="10">
        <v>628490.67600000044</v>
      </c>
      <c r="U42" s="10">
        <v>461286.19199999998</v>
      </c>
      <c r="V42" s="16">
        <f t="shared" si="1"/>
        <v>-9.2582798315259257E-2</v>
      </c>
      <c r="W42" s="17">
        <f t="shared" si="6"/>
        <v>-9.2582798315259257E-2</v>
      </c>
      <c r="X42" s="16">
        <f t="shared" si="9"/>
        <v>0.50455190082949641</v>
      </c>
      <c r="Y42" s="17">
        <f t="shared" si="7"/>
        <v>0.50455190082949641</v>
      </c>
      <c r="Z42" s="38"/>
      <c r="AA42" s="10">
        <v>1202120.6520000002</v>
      </c>
      <c r="AB42" s="16">
        <f t="shared" si="10"/>
        <v>0.2135795717117418</v>
      </c>
      <c r="AC42" s="17">
        <f t="shared" si="11"/>
        <v>0.2135795717117418</v>
      </c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</row>
    <row r="43" spans="1:49" s="41" customFormat="1" x14ac:dyDescent="0.25">
      <c r="A43" s="6">
        <v>40</v>
      </c>
      <c r="B43" s="42">
        <v>8409912000</v>
      </c>
      <c r="C43" s="13" t="s">
        <v>4</v>
      </c>
      <c r="D43" s="38"/>
      <c r="E43" s="10">
        <v>585000.25699999987</v>
      </c>
      <c r="F43" s="9">
        <v>450378.69900000002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>
        <f t="shared" si="5"/>
        <v>1035378.9559999999</v>
      </c>
      <c r="R43" s="43">
        <f t="shared" si="8"/>
        <v>2.7597164786984586E-3</v>
      </c>
      <c r="S43" s="40"/>
      <c r="T43" s="10">
        <v>167823.59</v>
      </c>
      <c r="U43" s="10">
        <v>408670.73000000004</v>
      </c>
      <c r="V43" s="16">
        <f t="shared" si="1"/>
        <v>-0.23012222027109275</v>
      </c>
      <c r="W43" s="17">
        <f t="shared" si="6"/>
        <v>-0.23012222027109275</v>
      </c>
      <c r="X43" s="16">
        <f t="shared" si="9"/>
        <v>0.10205763696362589</v>
      </c>
      <c r="Y43" s="17">
        <f t="shared" si="7"/>
        <v>0.10205763696362589</v>
      </c>
      <c r="Z43" s="38"/>
      <c r="AA43" s="10">
        <v>875980.99600000028</v>
      </c>
      <c r="AB43" s="16">
        <f t="shared" si="10"/>
        <v>0.18196508911478665</v>
      </c>
      <c r="AC43" s="17">
        <f t="shared" si="11"/>
        <v>0.18196508911478665</v>
      </c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</row>
    <row r="44" spans="1:49" s="41" customFormat="1" x14ac:dyDescent="0.25">
      <c r="A44" s="6">
        <v>41</v>
      </c>
      <c r="B44" s="42">
        <v>8409913000</v>
      </c>
      <c r="C44" s="13" t="s">
        <v>4</v>
      </c>
      <c r="D44" s="38"/>
      <c r="E44" s="10">
        <v>62058.934000000023</v>
      </c>
      <c r="F44" s="9">
        <v>50989.579000000005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>
        <f t="shared" si="5"/>
        <v>113048.51300000004</v>
      </c>
      <c r="R44" s="43">
        <f t="shared" si="8"/>
        <v>3.0132140740405104E-4</v>
      </c>
      <c r="S44" s="40"/>
      <c r="T44" s="10">
        <v>34856.125000000007</v>
      </c>
      <c r="U44" s="10">
        <v>40055.013000000006</v>
      </c>
      <c r="V44" s="16">
        <f t="shared" si="1"/>
        <v>-0.17836843604177949</v>
      </c>
      <c r="W44" s="17">
        <f t="shared" si="6"/>
        <v>-0.17836843604177949</v>
      </c>
      <c r="X44" s="16">
        <f t="shared" si="9"/>
        <v>0.27298870181367801</v>
      </c>
      <c r="Y44" s="17">
        <f t="shared" si="7"/>
        <v>0.27298870181367801</v>
      </c>
      <c r="Z44" s="38"/>
      <c r="AA44" s="10">
        <v>98970.904999999999</v>
      </c>
      <c r="AB44" s="16">
        <f t="shared" si="10"/>
        <v>0.14223986332144822</v>
      </c>
      <c r="AC44" s="17">
        <f t="shared" si="11"/>
        <v>0.14223986332144822</v>
      </c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</row>
    <row r="45" spans="1:49" s="41" customFormat="1" x14ac:dyDescent="0.25">
      <c r="A45" s="6">
        <v>42</v>
      </c>
      <c r="B45" s="42">
        <v>8409914000</v>
      </c>
      <c r="C45" s="13" t="s">
        <v>4</v>
      </c>
      <c r="D45" s="38"/>
      <c r="E45" s="10">
        <v>1227452.9409999996</v>
      </c>
      <c r="F45" s="9">
        <v>702218.05700000015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>
        <f t="shared" si="5"/>
        <v>1929670.9979999997</v>
      </c>
      <c r="R45" s="43">
        <f t="shared" si="8"/>
        <v>5.1433775245158641E-3</v>
      </c>
      <c r="S45" s="40"/>
      <c r="T45" s="10">
        <v>656443.63099999994</v>
      </c>
      <c r="U45" s="10">
        <v>734290.26799999957</v>
      </c>
      <c r="V45" s="16">
        <f t="shared" si="1"/>
        <v>-0.42790633062648686</v>
      </c>
      <c r="W45" s="17">
        <f t="shared" si="6"/>
        <v>-0.42790633062648686</v>
      </c>
      <c r="X45" s="16">
        <f t="shared" si="9"/>
        <v>-4.367783749518446E-2</v>
      </c>
      <c r="Y45" s="17">
        <f t="shared" si="7"/>
        <v>-4.367783749518446E-2</v>
      </c>
      <c r="Z45" s="38"/>
      <c r="AA45" s="10">
        <v>1579562.0829999994</v>
      </c>
      <c r="AB45" s="16">
        <f t="shared" si="10"/>
        <v>0.22164935381017273</v>
      </c>
      <c r="AC45" s="17">
        <f t="shared" si="11"/>
        <v>0.22164935381017273</v>
      </c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</row>
    <row r="46" spans="1:49" s="41" customFormat="1" x14ac:dyDescent="0.25">
      <c r="A46" s="6">
        <v>43</v>
      </c>
      <c r="B46" s="42">
        <v>8409915000</v>
      </c>
      <c r="C46" s="13" t="s">
        <v>4</v>
      </c>
      <c r="D46" s="38"/>
      <c r="E46" s="10">
        <v>447336.88500000018</v>
      </c>
      <c r="F46" s="9">
        <v>233357.12700000007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>
        <f t="shared" si="5"/>
        <v>680694.01200000022</v>
      </c>
      <c r="R46" s="43">
        <f t="shared" si="8"/>
        <v>1.8143332651120322E-3</v>
      </c>
      <c r="S46" s="40"/>
      <c r="T46" s="10">
        <v>565412.44399999944</v>
      </c>
      <c r="U46" s="10">
        <v>218496.59700000007</v>
      </c>
      <c r="V46" s="16">
        <f t="shared" si="1"/>
        <v>-0.47834141376470674</v>
      </c>
      <c r="W46" s="17">
        <f t="shared" si="6"/>
        <v>-0.47834141376470674</v>
      </c>
      <c r="X46" s="16">
        <f t="shared" si="9"/>
        <v>6.8012638201408668E-2</v>
      </c>
      <c r="Y46" s="17">
        <f t="shared" si="7"/>
        <v>6.8012638201408668E-2</v>
      </c>
      <c r="Z46" s="38"/>
      <c r="AA46" s="10">
        <v>484679.71799999999</v>
      </c>
      <c r="AB46" s="16">
        <f t="shared" si="10"/>
        <v>0.40442025263372011</v>
      </c>
      <c r="AC46" s="17">
        <f t="shared" si="11"/>
        <v>0.40442025263372011</v>
      </c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</row>
    <row r="47" spans="1:49" s="41" customFormat="1" x14ac:dyDescent="0.25">
      <c r="A47" s="6">
        <v>44</v>
      </c>
      <c r="B47" s="42">
        <v>8409916000</v>
      </c>
      <c r="C47" s="13" t="s">
        <v>4</v>
      </c>
      <c r="D47" s="38"/>
      <c r="E47" s="10">
        <v>456765.71999999991</v>
      </c>
      <c r="F47" s="9">
        <v>636428.45299999998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>
        <f t="shared" si="5"/>
        <v>1093194.173</v>
      </c>
      <c r="R47" s="43">
        <f t="shared" si="8"/>
        <v>2.9138181302240354E-3</v>
      </c>
      <c r="S47" s="40"/>
      <c r="T47" s="10">
        <v>359104.88799999998</v>
      </c>
      <c r="U47" s="10">
        <v>417939.77200000023</v>
      </c>
      <c r="V47" s="16">
        <f t="shared" si="1"/>
        <v>0.39333672632000516</v>
      </c>
      <c r="W47" s="17">
        <f t="shared" si="6"/>
        <v>0.39333672632000516</v>
      </c>
      <c r="X47" s="16">
        <f t="shared" si="9"/>
        <v>0.52277551847829318</v>
      </c>
      <c r="Y47" s="17">
        <f t="shared" si="7"/>
        <v>0.52277551847829318</v>
      </c>
      <c r="Z47" s="38"/>
      <c r="AA47" s="10">
        <v>898568.47100000014</v>
      </c>
      <c r="AB47" s="16">
        <f t="shared" si="10"/>
        <v>0.21659529382708531</v>
      </c>
      <c r="AC47" s="17">
        <f t="shared" si="11"/>
        <v>0.21659529382708531</v>
      </c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</row>
    <row r="48" spans="1:49" s="41" customFormat="1" x14ac:dyDescent="0.25">
      <c r="A48" s="6">
        <v>45</v>
      </c>
      <c r="B48" s="42">
        <v>8409917000</v>
      </c>
      <c r="C48" s="13" t="s">
        <v>4</v>
      </c>
      <c r="D48" s="38"/>
      <c r="E48" s="10">
        <v>643161.60300000024</v>
      </c>
      <c r="F48" s="9">
        <v>464405.29200000019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>
        <f t="shared" si="5"/>
        <v>1107566.8950000005</v>
      </c>
      <c r="R48" s="43">
        <f t="shared" si="8"/>
        <v>2.9521274251129237E-3</v>
      </c>
      <c r="S48" s="40"/>
      <c r="T48" s="10">
        <v>351754.17400000006</v>
      </c>
      <c r="U48" s="10">
        <v>469626.7</v>
      </c>
      <c r="V48" s="16">
        <f t="shared" si="1"/>
        <v>-0.27793374194945525</v>
      </c>
      <c r="W48" s="17">
        <f t="shared" si="6"/>
        <v>-0.27793374194945525</v>
      </c>
      <c r="X48" s="16">
        <f t="shared" si="9"/>
        <v>-1.1118209420375419E-2</v>
      </c>
      <c r="Y48" s="17">
        <f t="shared" si="7"/>
        <v>-1.1118209420375419E-2</v>
      </c>
      <c r="Z48" s="38"/>
      <c r="AA48" s="10">
        <v>871956.70100000012</v>
      </c>
      <c r="AB48" s="16">
        <f t="shared" si="10"/>
        <v>0.27020859376364875</v>
      </c>
      <c r="AC48" s="17">
        <f t="shared" si="11"/>
        <v>0.27020859376364875</v>
      </c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</row>
    <row r="49" spans="1:49" s="41" customFormat="1" x14ac:dyDescent="0.25">
      <c r="A49" s="6">
        <v>46</v>
      </c>
      <c r="B49" s="42">
        <v>8409918000</v>
      </c>
      <c r="C49" s="13" t="s">
        <v>4</v>
      </c>
      <c r="D49" s="38"/>
      <c r="E49" s="10">
        <v>29244.629000000001</v>
      </c>
      <c r="F49" s="9">
        <v>21242.312999999998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>
        <f t="shared" si="5"/>
        <v>50486.941999999995</v>
      </c>
      <c r="R49" s="43">
        <f t="shared" si="8"/>
        <v>1.3456874411932061E-4</v>
      </c>
      <c r="S49" s="40"/>
      <c r="T49" s="10">
        <v>110158.60200000001</v>
      </c>
      <c r="U49" s="10">
        <v>12439.244999999999</v>
      </c>
      <c r="V49" s="16">
        <f t="shared" si="1"/>
        <v>-0.2736336986870308</v>
      </c>
      <c r="W49" s="17">
        <f t="shared" si="6"/>
        <v>-0.2736336986870308</v>
      </c>
      <c r="X49" s="16">
        <f t="shared" si="9"/>
        <v>0.70768507252650781</v>
      </c>
      <c r="Y49" s="17">
        <f t="shared" si="7"/>
        <v>0.70768507252650781</v>
      </c>
      <c r="Z49" s="38"/>
      <c r="AA49" s="10">
        <v>30427.301000000003</v>
      </c>
      <c r="AB49" s="16">
        <f t="shared" si="10"/>
        <v>0.65926455323789612</v>
      </c>
      <c r="AC49" s="17">
        <f t="shared" si="11"/>
        <v>0.65926455323789612</v>
      </c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</row>
    <row r="50" spans="1:49" s="41" customFormat="1" x14ac:dyDescent="0.25">
      <c r="A50" s="6">
        <v>47</v>
      </c>
      <c r="B50" s="42">
        <v>8409919100</v>
      </c>
      <c r="C50" s="13" t="s">
        <v>4</v>
      </c>
      <c r="D50" s="38"/>
      <c r="E50" s="10">
        <v>839978.01899999997</v>
      </c>
      <c r="F50" s="9">
        <v>709350.67400000012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>
        <f t="shared" si="5"/>
        <v>1549328.693</v>
      </c>
      <c r="R50" s="43">
        <f t="shared" si="8"/>
        <v>4.1296067495044256E-3</v>
      </c>
      <c r="S50" s="40"/>
      <c r="T50" s="10">
        <v>1103690.2859999998</v>
      </c>
      <c r="U50" s="10">
        <v>688966.42300000007</v>
      </c>
      <c r="V50" s="16">
        <f t="shared" si="1"/>
        <v>-0.15551281348470603</v>
      </c>
      <c r="W50" s="17">
        <f t="shared" si="6"/>
        <v>-0.15551281348470603</v>
      </c>
      <c r="X50" s="16">
        <f t="shared" si="9"/>
        <v>2.9586711804096215E-2</v>
      </c>
      <c r="Y50" s="17">
        <f t="shared" si="7"/>
        <v>2.9586711804096215E-2</v>
      </c>
      <c r="Z50" s="38"/>
      <c r="AA50" s="10">
        <v>1447745.7239999999</v>
      </c>
      <c r="AB50" s="16">
        <f t="shared" si="10"/>
        <v>7.0166305668190695E-2</v>
      </c>
      <c r="AC50" s="17">
        <f t="shared" si="11"/>
        <v>7.0166305668190695E-2</v>
      </c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</row>
    <row r="51" spans="1:49" s="41" customFormat="1" x14ac:dyDescent="0.25">
      <c r="A51" s="6">
        <v>48</v>
      </c>
      <c r="B51" s="42">
        <v>8409919900</v>
      </c>
      <c r="C51" s="13" t="s">
        <v>4</v>
      </c>
      <c r="D51" s="38"/>
      <c r="E51" s="10">
        <v>827720.61999999988</v>
      </c>
      <c r="F51" s="9">
        <v>553766.97599999979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>
        <f t="shared" si="5"/>
        <v>1381487.5959999997</v>
      </c>
      <c r="R51" s="43">
        <f t="shared" si="8"/>
        <v>3.6822402673970496E-3</v>
      </c>
      <c r="S51" s="40"/>
      <c r="T51" s="10">
        <v>672375.39900000021</v>
      </c>
      <c r="U51" s="10">
        <v>752507.19900000002</v>
      </c>
      <c r="V51" s="16">
        <f t="shared" si="1"/>
        <v>-0.3309735644860462</v>
      </c>
      <c r="W51" s="17">
        <f t="shared" si="6"/>
        <v>-0.3309735644860462</v>
      </c>
      <c r="X51" s="16">
        <f t="shared" si="9"/>
        <v>-0.26410408201290875</v>
      </c>
      <c r="Y51" s="17">
        <f t="shared" si="7"/>
        <v>-0.26410408201290875</v>
      </c>
      <c r="Z51" s="38"/>
      <c r="AA51" s="10">
        <v>1450782.3680000002</v>
      </c>
      <c r="AB51" s="16">
        <f t="shared" si="10"/>
        <v>-4.7763726337209364E-2</v>
      </c>
      <c r="AC51" s="17">
        <f t="shared" si="11"/>
        <v>-4.7763726337209364E-2</v>
      </c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</row>
    <row r="52" spans="1:49" s="41" customFormat="1" x14ac:dyDescent="0.25">
      <c r="A52" s="6">
        <v>49</v>
      </c>
      <c r="B52" s="42">
        <v>8409991000</v>
      </c>
      <c r="C52" s="13" t="s">
        <v>4</v>
      </c>
      <c r="D52" s="38"/>
      <c r="E52" s="10">
        <v>1193911.5229999993</v>
      </c>
      <c r="F52" s="9">
        <v>1278838.8389999995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>
        <f t="shared" si="5"/>
        <v>2472750.3619999988</v>
      </c>
      <c r="R52" s="43">
        <f t="shared" si="8"/>
        <v>6.5909103929276463E-3</v>
      </c>
      <c r="S52" s="40"/>
      <c r="T52" s="10">
        <v>734440.21299999999</v>
      </c>
      <c r="U52" s="10">
        <v>1692787.3860000004</v>
      </c>
      <c r="V52" s="16">
        <f t="shared" si="1"/>
        <v>7.1133676460881395E-2</v>
      </c>
      <c r="W52" s="17">
        <f t="shared" si="6"/>
        <v>7.1133676460881395E-2</v>
      </c>
      <c r="X52" s="16">
        <f t="shared" si="9"/>
        <v>-0.24453664436745801</v>
      </c>
      <c r="Y52" s="17">
        <f t="shared" si="7"/>
        <v>-0.24453664436745801</v>
      </c>
      <c r="Z52" s="38"/>
      <c r="AA52" s="10">
        <v>3848418.3330000015</v>
      </c>
      <c r="AB52" s="16">
        <f t="shared" si="10"/>
        <v>-0.35746321006833282</v>
      </c>
      <c r="AC52" s="17">
        <f t="shared" si="11"/>
        <v>-0.35746321006833282</v>
      </c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</row>
    <row r="53" spans="1:49" s="41" customFormat="1" x14ac:dyDescent="0.25">
      <c r="A53" s="6">
        <v>50</v>
      </c>
      <c r="B53" s="42">
        <v>8409992000</v>
      </c>
      <c r="C53" s="13" t="s">
        <v>4</v>
      </c>
      <c r="D53" s="38"/>
      <c r="E53" s="10">
        <v>520340.51399999991</v>
      </c>
      <c r="F53" s="9">
        <v>341230.25400000002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>
        <f t="shared" si="5"/>
        <v>861570.76799999992</v>
      </c>
      <c r="R53" s="43">
        <f t="shared" si="8"/>
        <v>2.2964452119060516E-3</v>
      </c>
      <c r="S53" s="40"/>
      <c r="T53" s="10">
        <v>274444.03599999991</v>
      </c>
      <c r="U53" s="10">
        <v>412185.35100000002</v>
      </c>
      <c r="V53" s="16">
        <f t="shared" si="1"/>
        <v>-0.34421740222211472</v>
      </c>
      <c r="W53" s="17">
        <f t="shared" si="6"/>
        <v>-0.34421740222211472</v>
      </c>
      <c r="X53" s="16">
        <f t="shared" si="9"/>
        <v>-0.1721436650474267</v>
      </c>
      <c r="Y53" s="17">
        <f t="shared" si="7"/>
        <v>-0.1721436650474267</v>
      </c>
      <c r="Z53" s="38"/>
      <c r="AA53" s="10">
        <v>840621.66700000013</v>
      </c>
      <c r="AB53" s="16">
        <f t="shared" si="10"/>
        <v>2.4920962452422472E-2</v>
      </c>
      <c r="AC53" s="17">
        <f t="shared" si="11"/>
        <v>2.4920962452422472E-2</v>
      </c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</row>
    <row r="54" spans="1:49" s="41" customFormat="1" x14ac:dyDescent="0.25">
      <c r="A54" s="6">
        <v>51</v>
      </c>
      <c r="B54" s="42">
        <v>8409993000</v>
      </c>
      <c r="C54" s="13" t="s">
        <v>4</v>
      </c>
      <c r="D54" s="38"/>
      <c r="E54" s="10">
        <v>3295530.4299999992</v>
      </c>
      <c r="F54" s="9">
        <v>3421271.1269999999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>
        <f t="shared" si="5"/>
        <v>6716801.5569999991</v>
      </c>
      <c r="R54" s="43">
        <f t="shared" si="8"/>
        <v>1.790307580966554E-2</v>
      </c>
      <c r="S54" s="40"/>
      <c r="T54" s="10">
        <v>2090046.8209999993</v>
      </c>
      <c r="U54" s="10">
        <v>3733372.8039999986</v>
      </c>
      <c r="V54" s="16">
        <f t="shared" si="1"/>
        <v>3.8154919115706863E-2</v>
      </c>
      <c r="W54" s="17">
        <f t="shared" si="6"/>
        <v>3.8154919115706863E-2</v>
      </c>
      <c r="X54" s="16">
        <f t="shared" si="9"/>
        <v>-8.3597779644617259E-2</v>
      </c>
      <c r="Y54" s="17">
        <f t="shared" si="7"/>
        <v>-8.3597779644617259E-2</v>
      </c>
      <c r="Z54" s="38"/>
      <c r="AA54" s="10">
        <v>6826181.8969999999</v>
      </c>
      <c r="AB54" s="16">
        <f t="shared" si="10"/>
        <v>-1.6023648600408925E-2</v>
      </c>
      <c r="AC54" s="17">
        <f t="shared" si="11"/>
        <v>-1.6023648600408925E-2</v>
      </c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</row>
    <row r="55" spans="1:49" s="41" customFormat="1" x14ac:dyDescent="0.25">
      <c r="A55" s="6">
        <v>52</v>
      </c>
      <c r="B55" s="42">
        <v>8409994000</v>
      </c>
      <c r="C55" s="13" t="s">
        <v>4</v>
      </c>
      <c r="D55" s="38"/>
      <c r="E55" s="10">
        <v>1794676.1629999999</v>
      </c>
      <c r="F55" s="9">
        <v>1796639.9559999998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>
        <f t="shared" si="5"/>
        <v>3591316.1189999999</v>
      </c>
      <c r="R55" s="43">
        <f t="shared" si="8"/>
        <v>9.5723543697556999E-3</v>
      </c>
      <c r="S55" s="40"/>
      <c r="T55" s="10">
        <v>888748.39300000004</v>
      </c>
      <c r="U55" s="10">
        <v>2293706.7349999999</v>
      </c>
      <c r="V55" s="16">
        <f t="shared" si="1"/>
        <v>1.0942325086199022E-3</v>
      </c>
      <c r="W55" s="17">
        <f t="shared" si="6"/>
        <v>1.0942325086199022E-3</v>
      </c>
      <c r="X55" s="16">
        <f t="shared" si="9"/>
        <v>-0.21670895037067592</v>
      </c>
      <c r="Y55" s="17">
        <f t="shared" si="7"/>
        <v>-0.21670895037067592</v>
      </c>
      <c r="Z55" s="38"/>
      <c r="AA55" s="10">
        <v>4381511.3220000006</v>
      </c>
      <c r="AB55" s="16">
        <f t="shared" si="10"/>
        <v>-0.18034763462377756</v>
      </c>
      <c r="AC55" s="17">
        <f t="shared" si="11"/>
        <v>-0.18034763462377756</v>
      </c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</row>
    <row r="56" spans="1:49" s="41" customFormat="1" x14ac:dyDescent="0.25">
      <c r="A56" s="6">
        <v>53</v>
      </c>
      <c r="B56" s="42">
        <v>8409999100</v>
      </c>
      <c r="C56" s="13" t="s">
        <v>4</v>
      </c>
      <c r="D56" s="38"/>
      <c r="E56" s="10">
        <v>162951.60699999996</v>
      </c>
      <c r="F56" s="9">
        <v>164842.755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>
        <f t="shared" si="5"/>
        <v>327794.36199999996</v>
      </c>
      <c r="R56" s="43">
        <f t="shared" si="8"/>
        <v>8.7370860417202432E-4</v>
      </c>
      <c r="S56" s="40"/>
      <c r="T56" s="10">
        <v>178233.88999999993</v>
      </c>
      <c r="U56" s="10">
        <v>151761.19100000005</v>
      </c>
      <c r="V56" s="16">
        <f t="shared" si="1"/>
        <v>1.1605580545149489E-2</v>
      </c>
      <c r="W56" s="17">
        <f t="shared" si="6"/>
        <v>1.1605580545149489E-2</v>
      </c>
      <c r="X56" s="16">
        <f t="shared" si="9"/>
        <v>8.6198348298412802E-2</v>
      </c>
      <c r="Y56" s="17">
        <f t="shared" si="7"/>
        <v>8.6198348298412802E-2</v>
      </c>
      <c r="Z56" s="38"/>
      <c r="AA56" s="10">
        <v>340003.62400000007</v>
      </c>
      <c r="AB56" s="16">
        <f t="shared" si="10"/>
        <v>-3.5909211367700311E-2</v>
      </c>
      <c r="AC56" s="17">
        <f t="shared" si="11"/>
        <v>-3.5909211367700311E-2</v>
      </c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</row>
    <row r="57" spans="1:49" s="41" customFormat="1" x14ac:dyDescent="0.25">
      <c r="A57" s="6">
        <v>54</v>
      </c>
      <c r="B57" s="42">
        <v>8409999200</v>
      </c>
      <c r="C57" s="13" t="s">
        <v>4</v>
      </c>
      <c r="D57" s="38"/>
      <c r="E57" s="10">
        <v>27156.945000000007</v>
      </c>
      <c r="F57" s="9">
        <v>16961.28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>
        <f t="shared" si="5"/>
        <v>44118.225000000006</v>
      </c>
      <c r="R57" s="43">
        <f t="shared" si="8"/>
        <v>1.1759345874074954E-4</v>
      </c>
      <c r="S57" s="40"/>
      <c r="T57" s="10">
        <v>7224.6799999999994</v>
      </c>
      <c r="U57" s="10">
        <v>64212.397000000012</v>
      </c>
      <c r="V57" s="16">
        <f t="shared" si="1"/>
        <v>-0.37543490256359857</v>
      </c>
      <c r="W57" s="17">
        <f t="shared" si="6"/>
        <v>-0.37543490256359857</v>
      </c>
      <c r="X57" s="16">
        <f t="shared" si="9"/>
        <v>-0.73585661348228448</v>
      </c>
      <c r="Y57" s="17">
        <f t="shared" si="7"/>
        <v>-0.73585661348228448</v>
      </c>
      <c r="Z57" s="38"/>
      <c r="AA57" s="10">
        <v>84830.152000000016</v>
      </c>
      <c r="AB57" s="16">
        <f t="shared" si="10"/>
        <v>-0.47992283451289824</v>
      </c>
      <c r="AC57" s="17">
        <f t="shared" si="11"/>
        <v>-0.47992283451289824</v>
      </c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</row>
    <row r="58" spans="1:49" s="41" customFormat="1" x14ac:dyDescent="0.25">
      <c r="A58" s="6">
        <v>55</v>
      </c>
      <c r="B58" s="42">
        <v>8409999900</v>
      </c>
      <c r="C58" s="13" t="s">
        <v>4</v>
      </c>
      <c r="D58" s="38"/>
      <c r="E58" s="10">
        <v>2688409.0009999974</v>
      </c>
      <c r="F58" s="9">
        <v>2757668.964999998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>
        <f t="shared" si="5"/>
        <v>5446077.9659999954</v>
      </c>
      <c r="R58" s="43">
        <f t="shared" si="8"/>
        <v>1.4516067783636479E-2</v>
      </c>
      <c r="S58" s="40"/>
      <c r="T58" s="10">
        <v>2380242.1930000014</v>
      </c>
      <c r="U58" s="10">
        <v>2908315.3900000011</v>
      </c>
      <c r="V58" s="16">
        <f t="shared" si="1"/>
        <v>2.5762435691235319E-2</v>
      </c>
      <c r="W58" s="17">
        <f t="shared" si="6"/>
        <v>2.5762435691235319E-2</v>
      </c>
      <c r="X58" s="16">
        <f t="shared" si="9"/>
        <v>-5.1798517285294499E-2</v>
      </c>
      <c r="Y58" s="17">
        <f t="shared" si="7"/>
        <v>-5.1798517285294499E-2</v>
      </c>
      <c r="Z58" s="38"/>
      <c r="AA58" s="10">
        <v>5195745.2080000024</v>
      </c>
      <c r="AB58" s="16">
        <f t="shared" si="10"/>
        <v>4.818033756053898E-2</v>
      </c>
      <c r="AC58" s="17">
        <f t="shared" si="11"/>
        <v>4.818033756053898E-2</v>
      </c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</row>
    <row r="59" spans="1:49" s="41" customFormat="1" x14ac:dyDescent="0.25">
      <c r="A59" s="6">
        <v>56</v>
      </c>
      <c r="B59" s="42">
        <v>8413302000</v>
      </c>
      <c r="C59" s="13" t="s">
        <v>4</v>
      </c>
      <c r="D59" s="38"/>
      <c r="E59" s="10">
        <v>464531.82000000007</v>
      </c>
      <c r="F59" s="9">
        <v>540633.83900000004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>
        <f t="shared" si="5"/>
        <v>1005165.6590000001</v>
      </c>
      <c r="R59" s="43">
        <f t="shared" si="8"/>
        <v>2.6791854488532759E-3</v>
      </c>
      <c r="S59" s="40"/>
      <c r="T59" s="10">
        <v>257312.80099999998</v>
      </c>
      <c r="U59" s="10">
        <v>1283535.0759999999</v>
      </c>
      <c r="V59" s="16">
        <f t="shared" si="1"/>
        <v>0.16382520146843754</v>
      </c>
      <c r="W59" s="17">
        <f t="shared" si="6"/>
        <v>0.16382520146843754</v>
      </c>
      <c r="X59" s="16">
        <f t="shared" si="9"/>
        <v>-0.57879309330226669</v>
      </c>
      <c r="Y59" s="17">
        <f t="shared" si="7"/>
        <v>-0.57879309330226669</v>
      </c>
      <c r="Z59" s="38"/>
      <c r="AA59" s="10">
        <v>1751980.8309999998</v>
      </c>
      <c r="AB59" s="16">
        <f t="shared" si="10"/>
        <v>-0.42626903147891793</v>
      </c>
      <c r="AC59" s="17">
        <f t="shared" si="11"/>
        <v>-0.42626903147891793</v>
      </c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</row>
    <row r="60" spans="1:49" s="41" customFormat="1" x14ac:dyDescent="0.25">
      <c r="A60" s="6">
        <v>57</v>
      </c>
      <c r="B60" s="42">
        <v>8413309100</v>
      </c>
      <c r="C60" s="13" t="s">
        <v>4</v>
      </c>
      <c r="D60" s="38"/>
      <c r="E60" s="10">
        <v>542161.08100000001</v>
      </c>
      <c r="F60" s="9">
        <v>494294.97699999996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>
        <f t="shared" si="5"/>
        <v>1036456.058</v>
      </c>
      <c r="R60" s="43">
        <f t="shared" si="8"/>
        <v>2.7625874044801867E-3</v>
      </c>
      <c r="S60" s="40"/>
      <c r="T60" s="10">
        <v>598779.00099999993</v>
      </c>
      <c r="U60" s="10">
        <v>602900.27700000012</v>
      </c>
      <c r="V60" s="16">
        <f t="shared" si="1"/>
        <v>-8.8287606169945743E-2</v>
      </c>
      <c r="W60" s="17">
        <f t="shared" si="6"/>
        <v>-8.8287606169945743E-2</v>
      </c>
      <c r="X60" s="16">
        <f t="shared" si="9"/>
        <v>-0.18013808276953261</v>
      </c>
      <c r="Y60" s="17">
        <f t="shared" si="7"/>
        <v>-0.18013808276953261</v>
      </c>
      <c r="Z60" s="38"/>
      <c r="AA60" s="10">
        <v>1176570.2380000001</v>
      </c>
      <c r="AB60" s="16">
        <f t="shared" si="10"/>
        <v>-0.11908696606007482</v>
      </c>
      <c r="AC60" s="17">
        <f t="shared" si="11"/>
        <v>-0.11908696606007482</v>
      </c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</row>
    <row r="61" spans="1:49" s="41" customFormat="1" x14ac:dyDescent="0.25">
      <c r="A61" s="6">
        <v>58</v>
      </c>
      <c r="B61" s="42">
        <v>8413309200</v>
      </c>
      <c r="C61" s="13" t="s">
        <v>4</v>
      </c>
      <c r="D61" s="38"/>
      <c r="E61" s="10">
        <v>717168.13400000019</v>
      </c>
      <c r="F61" s="9">
        <v>794119.7489999996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>
        <f t="shared" si="5"/>
        <v>1511287.8829999999</v>
      </c>
      <c r="R61" s="43">
        <f t="shared" si="8"/>
        <v>4.0282121348933506E-3</v>
      </c>
      <c r="S61" s="40"/>
      <c r="T61" s="10">
        <v>706040.58100000012</v>
      </c>
      <c r="U61" s="10">
        <v>882548.40200000035</v>
      </c>
      <c r="V61" s="16">
        <f t="shared" si="1"/>
        <v>0.10729926686898694</v>
      </c>
      <c r="W61" s="17">
        <f t="shared" si="6"/>
        <v>0.10729926686898694</v>
      </c>
      <c r="X61" s="16">
        <f t="shared" si="9"/>
        <v>-0.10019694421247245</v>
      </c>
      <c r="Y61" s="17">
        <f t="shared" si="7"/>
        <v>-0.10019694421247245</v>
      </c>
      <c r="Z61" s="38"/>
      <c r="AA61" s="10">
        <v>1803635.4190000002</v>
      </c>
      <c r="AB61" s="16">
        <f t="shared" si="10"/>
        <v>-0.162087932472566</v>
      </c>
      <c r="AC61" s="17">
        <f t="shared" si="11"/>
        <v>-0.162087932472566</v>
      </c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</row>
    <row r="62" spans="1:49" s="41" customFormat="1" x14ac:dyDescent="0.25">
      <c r="A62" s="6">
        <v>59</v>
      </c>
      <c r="B62" s="42">
        <v>8413309900</v>
      </c>
      <c r="C62" s="13" t="s">
        <v>4</v>
      </c>
      <c r="D62" s="38"/>
      <c r="E62" s="10">
        <v>1151066.7939999998</v>
      </c>
      <c r="F62" s="9">
        <v>849415.84000000043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>
        <f t="shared" si="5"/>
        <v>2000482.6340000001</v>
      </c>
      <c r="R62" s="43">
        <f t="shared" si="8"/>
        <v>5.3321200497722862E-3</v>
      </c>
      <c r="S62" s="40"/>
      <c r="T62" s="10">
        <v>1016295.4390000006</v>
      </c>
      <c r="U62" s="10">
        <v>997404.1880000002</v>
      </c>
      <c r="V62" s="16">
        <f t="shared" si="1"/>
        <v>-0.26206207630380085</v>
      </c>
      <c r="W62" s="17">
        <f t="shared" si="6"/>
        <v>-0.26206207630380085</v>
      </c>
      <c r="X62" s="16">
        <f t="shared" si="9"/>
        <v>-0.1483734977058265</v>
      </c>
      <c r="Y62" s="17">
        <f t="shared" si="7"/>
        <v>-0.1483734977058265</v>
      </c>
      <c r="Z62" s="38"/>
      <c r="AA62" s="10">
        <v>1737196.9480000006</v>
      </c>
      <c r="AB62" s="16">
        <f t="shared" si="10"/>
        <v>0.15155776453735714</v>
      </c>
      <c r="AC62" s="17">
        <f t="shared" si="11"/>
        <v>0.15155776453735714</v>
      </c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</row>
    <row r="63" spans="1:49" s="41" customFormat="1" x14ac:dyDescent="0.25">
      <c r="A63" s="6">
        <v>60</v>
      </c>
      <c r="B63" s="42">
        <v>8414304000</v>
      </c>
      <c r="C63" s="13" t="s">
        <v>4</v>
      </c>
      <c r="D63" s="38"/>
      <c r="E63" s="10">
        <v>50185.557000000001</v>
      </c>
      <c r="F63" s="9">
        <v>50981.126000000004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>
        <f t="shared" si="5"/>
        <v>101166.683</v>
      </c>
      <c r="R63" s="43">
        <f t="shared" si="8"/>
        <v>2.6965137793505943E-4</v>
      </c>
      <c r="S63" s="40"/>
      <c r="T63" s="10">
        <v>68931.125</v>
      </c>
      <c r="U63" s="10">
        <v>96075.195000000022</v>
      </c>
      <c r="V63" s="16">
        <f t="shared" si="1"/>
        <v>1.5852548971410304E-2</v>
      </c>
      <c r="W63" s="17">
        <f t="shared" si="6"/>
        <v>1.5852548971410304E-2</v>
      </c>
      <c r="X63" s="16">
        <f t="shared" si="9"/>
        <v>-0.46936224277244515</v>
      </c>
      <c r="Y63" s="17">
        <f t="shared" si="7"/>
        <v>-0.46936224277244515</v>
      </c>
      <c r="Z63" s="38"/>
      <c r="AA63" s="10">
        <v>178073.84900000002</v>
      </c>
      <c r="AB63" s="16">
        <f t="shared" si="10"/>
        <v>-0.43188354961654141</v>
      </c>
      <c r="AC63" s="17">
        <f t="shared" si="11"/>
        <v>-0.43188354961654141</v>
      </c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</row>
    <row r="64" spans="1:49" s="41" customFormat="1" x14ac:dyDescent="0.25">
      <c r="A64" s="6">
        <v>61</v>
      </c>
      <c r="B64" s="42">
        <v>8414801000</v>
      </c>
      <c r="C64" s="13" t="s">
        <v>4</v>
      </c>
      <c r="D64" s="38"/>
      <c r="E64" s="10">
        <v>1682647.3470000005</v>
      </c>
      <c r="F64" s="9">
        <v>2657168.5979999984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>
        <f t="shared" si="5"/>
        <v>4339815.9449999984</v>
      </c>
      <c r="R64" s="43">
        <f t="shared" si="8"/>
        <v>1.1567418391623965E-2</v>
      </c>
      <c r="S64" s="40"/>
      <c r="T64" s="10">
        <v>1052542.79</v>
      </c>
      <c r="U64" s="10">
        <v>2614079.5699999989</v>
      </c>
      <c r="V64" s="16">
        <f t="shared" si="1"/>
        <v>0.57915953258861763</v>
      </c>
      <c r="W64" s="17">
        <f t="shared" si="6"/>
        <v>0.57915953258861763</v>
      </c>
      <c r="X64" s="16">
        <f t="shared" si="9"/>
        <v>1.6483441626835973E-2</v>
      </c>
      <c r="Y64" s="17">
        <f t="shared" si="7"/>
        <v>1.6483441626835973E-2</v>
      </c>
      <c r="Z64" s="38"/>
      <c r="AA64" s="10">
        <v>4607905.0569999982</v>
      </c>
      <c r="AB64" s="16">
        <f t="shared" si="10"/>
        <v>-5.8180259507026523E-2</v>
      </c>
      <c r="AC64" s="17">
        <f t="shared" si="11"/>
        <v>-5.8180259507026523E-2</v>
      </c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</row>
    <row r="65" spans="1:49" s="41" customFormat="1" x14ac:dyDescent="0.25">
      <c r="A65" s="6">
        <v>62</v>
      </c>
      <c r="B65" s="42">
        <v>8415200000</v>
      </c>
      <c r="C65" s="13" t="s">
        <v>4</v>
      </c>
      <c r="D65" s="38"/>
      <c r="E65" s="10">
        <v>543999.9580000001</v>
      </c>
      <c r="F65" s="9">
        <v>203412.00200000004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>
        <f t="shared" si="5"/>
        <v>747411.9600000002</v>
      </c>
      <c r="R65" s="43">
        <f t="shared" si="8"/>
        <v>1.99216440553995E-3</v>
      </c>
      <c r="S65" s="40"/>
      <c r="T65" s="10">
        <v>200076.693</v>
      </c>
      <c r="U65" s="10">
        <v>370707.78800000006</v>
      </c>
      <c r="V65" s="16">
        <f t="shared" si="1"/>
        <v>-0.62608084980771272</v>
      </c>
      <c r="W65" s="17">
        <f t="shared" si="6"/>
        <v>-0.62608084980771272</v>
      </c>
      <c r="X65" s="16">
        <f t="shared" si="9"/>
        <v>-0.45128748684395054</v>
      </c>
      <c r="Y65" s="17">
        <f t="shared" si="7"/>
        <v>-0.45128748684395054</v>
      </c>
      <c r="Z65" s="38"/>
      <c r="AA65" s="10">
        <v>482658.58500000008</v>
      </c>
      <c r="AB65" s="16">
        <f t="shared" si="10"/>
        <v>0.54853137026455268</v>
      </c>
      <c r="AC65" s="17">
        <f t="shared" si="11"/>
        <v>0.54853137026455268</v>
      </c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</row>
    <row r="66" spans="1:49" s="41" customFormat="1" x14ac:dyDescent="0.25">
      <c r="A66" s="6">
        <v>63</v>
      </c>
      <c r="B66" s="42">
        <v>8415900000</v>
      </c>
      <c r="C66" s="13" t="s">
        <v>4</v>
      </c>
      <c r="D66" s="38"/>
      <c r="E66" s="10">
        <v>1918544.7660000001</v>
      </c>
      <c r="F66" s="9">
        <v>1490083.6740000006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>
        <f t="shared" si="5"/>
        <v>3408628.4400000004</v>
      </c>
      <c r="R66" s="43">
        <f t="shared" si="8"/>
        <v>9.0854155583477234E-3</v>
      </c>
      <c r="S66" s="40"/>
      <c r="T66" s="10">
        <v>1204981.9780000004</v>
      </c>
      <c r="U66" s="10">
        <v>2399721.6410000012</v>
      </c>
      <c r="V66" s="16">
        <f t="shared" si="1"/>
        <v>-0.22332608526685765</v>
      </c>
      <c r="W66" s="17">
        <f t="shared" si="6"/>
        <v>-0.22332608526685765</v>
      </c>
      <c r="X66" s="16">
        <f t="shared" si="9"/>
        <v>-0.37905978404267771</v>
      </c>
      <c r="Y66" s="17">
        <f t="shared" si="7"/>
        <v>-0.37905978404267771</v>
      </c>
      <c r="Z66" s="38"/>
      <c r="AA66" s="10">
        <v>4795805.4710000018</v>
      </c>
      <c r="AB66" s="16">
        <f t="shared" si="10"/>
        <v>-0.28924797708918598</v>
      </c>
      <c r="AC66" s="17">
        <f t="shared" si="11"/>
        <v>-0.28924797708918598</v>
      </c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</row>
    <row r="67" spans="1:49" s="41" customFormat="1" x14ac:dyDescent="0.25">
      <c r="A67" s="6">
        <v>64</v>
      </c>
      <c r="B67" s="42">
        <v>8421230000</v>
      </c>
      <c r="C67" s="13" t="s">
        <v>17</v>
      </c>
      <c r="D67" s="38"/>
      <c r="E67" s="10">
        <v>6936813.3170000007</v>
      </c>
      <c r="F67" s="9">
        <v>5000184.2909999974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>
        <f t="shared" si="5"/>
        <v>11936997.607999999</v>
      </c>
      <c r="R67" s="43">
        <f t="shared" si="8"/>
        <v>3.1817074138970315E-2</v>
      </c>
      <c r="S67" s="40"/>
      <c r="T67" s="10">
        <v>3797089.217999998</v>
      </c>
      <c r="U67" s="10">
        <v>4715014.8219999988</v>
      </c>
      <c r="V67" s="16">
        <f t="shared" si="1"/>
        <v>-0.27918136722144732</v>
      </c>
      <c r="W67" s="17">
        <f t="shared" si="6"/>
        <v>-0.27918136722144732</v>
      </c>
      <c r="X67" s="16">
        <f t="shared" si="9"/>
        <v>6.0481139458865255E-2</v>
      </c>
      <c r="Y67" s="17">
        <f t="shared" si="7"/>
        <v>6.0481139458865255E-2</v>
      </c>
      <c r="Z67" s="38"/>
      <c r="AA67" s="10">
        <v>11256892.336000001</v>
      </c>
      <c r="AB67" s="16">
        <f t="shared" si="10"/>
        <v>6.0416787484499038E-2</v>
      </c>
      <c r="AC67" s="17">
        <f t="shared" si="11"/>
        <v>6.0416787484499038E-2</v>
      </c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</row>
    <row r="68" spans="1:49" s="41" customFormat="1" x14ac:dyDescent="0.25">
      <c r="A68" s="6">
        <v>65</v>
      </c>
      <c r="B68" s="42">
        <v>8421299000</v>
      </c>
      <c r="C68" s="13" t="s">
        <v>17</v>
      </c>
      <c r="D68" s="38"/>
      <c r="E68" s="10">
        <v>1874613.6880000003</v>
      </c>
      <c r="F68" s="9">
        <v>1408656.1360000011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>
        <f t="shared" si="5"/>
        <v>3283269.8240000014</v>
      </c>
      <c r="R68" s="43">
        <f t="shared" ref="R68:R99" si="12">+Q68/$Q$151</f>
        <v>8.7512825954192876E-3</v>
      </c>
      <c r="S68" s="40"/>
      <c r="T68" s="10">
        <v>1604874.406</v>
      </c>
      <c r="U68" s="10">
        <v>1943404.0429999991</v>
      </c>
      <c r="V68" s="16">
        <f t="shared" ref="V68:V131" si="13">+W68</f>
        <v>-0.24856190637182585</v>
      </c>
      <c r="W68" s="17">
        <f t="shared" si="6"/>
        <v>-0.24856190637182585</v>
      </c>
      <c r="X68" s="16">
        <f t="shared" ref="X68:X99" si="14">+Y68</f>
        <v>-0.27516043764863068</v>
      </c>
      <c r="Y68" s="17">
        <f t="shared" si="7"/>
        <v>-0.27516043764863068</v>
      </c>
      <c r="Z68" s="38"/>
      <c r="AA68" s="10">
        <v>3309218.6139999973</v>
      </c>
      <c r="AB68" s="16">
        <f t="shared" ref="AB68:AB99" si="15">+AC68</f>
        <v>-7.8413646926246468E-3</v>
      </c>
      <c r="AC68" s="17">
        <f t="shared" ref="AC68:AC99" si="16">IFERROR((Q68-AA68)/AA68,0)</f>
        <v>-7.8413646926246468E-3</v>
      </c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</row>
    <row r="69" spans="1:49" s="41" customFormat="1" x14ac:dyDescent="0.25">
      <c r="A69" s="6">
        <v>66</v>
      </c>
      <c r="B69" s="42">
        <v>8421310000</v>
      </c>
      <c r="C69" s="13" t="s">
        <v>17</v>
      </c>
      <c r="D69" s="38"/>
      <c r="E69" s="10">
        <v>3558028.8950000023</v>
      </c>
      <c r="F69" s="9">
        <v>2592983.3079999979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>
        <f t="shared" ref="Q69:Q132" si="17">SUM(E69:P69)</f>
        <v>6151012.2029999997</v>
      </c>
      <c r="R69" s="43">
        <f t="shared" si="12"/>
        <v>1.6395011352050706E-2</v>
      </c>
      <c r="S69" s="40"/>
      <c r="T69" s="10">
        <v>2331223.4140000003</v>
      </c>
      <c r="U69" s="10">
        <v>3986947.2409999995</v>
      </c>
      <c r="V69" s="16">
        <f t="shared" si="13"/>
        <v>-0.27123039623319412</v>
      </c>
      <c r="W69" s="17">
        <f t="shared" ref="W69:W132" si="18">IFERROR((F69-E69)/E69,0)</f>
        <v>-0.27123039623319412</v>
      </c>
      <c r="X69" s="16">
        <f t="shared" si="14"/>
        <v>-0.34963189847738491</v>
      </c>
      <c r="Y69" s="17">
        <f t="shared" ref="Y69:Y132" si="19">IFERROR((F69-U69)/U69,0)</f>
        <v>-0.34963189847738491</v>
      </c>
      <c r="Z69" s="38"/>
      <c r="AA69" s="10">
        <v>6764754.8870000001</v>
      </c>
      <c r="AB69" s="16">
        <f t="shared" si="15"/>
        <v>-9.0726522135997148E-2</v>
      </c>
      <c r="AC69" s="17">
        <f t="shared" si="16"/>
        <v>-9.0726522135997148E-2</v>
      </c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</row>
    <row r="70" spans="1:49" s="41" customFormat="1" x14ac:dyDescent="0.25">
      <c r="A70" s="6">
        <v>67</v>
      </c>
      <c r="B70" s="42">
        <v>8421399000</v>
      </c>
      <c r="C70" s="13" t="s">
        <v>17</v>
      </c>
      <c r="D70" s="38"/>
      <c r="E70" s="10">
        <v>3694960.9809999997</v>
      </c>
      <c r="F70" s="9">
        <v>2445867.9999999991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>
        <f t="shared" si="17"/>
        <v>6140828.9809999987</v>
      </c>
      <c r="R70" s="43">
        <f t="shared" si="12"/>
        <v>1.6367868820906153E-2</v>
      </c>
      <c r="S70" s="40"/>
      <c r="T70" s="10">
        <v>2807295.3879999993</v>
      </c>
      <c r="U70" s="10">
        <v>2251076.4200000023</v>
      </c>
      <c r="V70" s="16">
        <f t="shared" si="13"/>
        <v>-0.33805309106726955</v>
      </c>
      <c r="W70" s="17">
        <f t="shared" si="18"/>
        <v>-0.33805309106726955</v>
      </c>
      <c r="X70" s="16">
        <f t="shared" si="14"/>
        <v>8.6532637572560342E-2</v>
      </c>
      <c r="Y70" s="17">
        <f t="shared" si="19"/>
        <v>8.6532637572560342E-2</v>
      </c>
      <c r="Z70" s="38"/>
      <c r="AA70" s="10">
        <v>4980727.3680000026</v>
      </c>
      <c r="AB70" s="16">
        <f t="shared" si="15"/>
        <v>0.23291811161023893</v>
      </c>
      <c r="AC70" s="17">
        <f t="shared" si="16"/>
        <v>0.23291811161023893</v>
      </c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</row>
    <row r="71" spans="1:49" s="41" customFormat="1" x14ac:dyDescent="0.25">
      <c r="A71" s="6">
        <v>68</v>
      </c>
      <c r="B71" s="42">
        <v>8421991000</v>
      </c>
      <c r="C71" s="13" t="s">
        <v>17</v>
      </c>
      <c r="D71" s="38"/>
      <c r="E71" s="10">
        <v>3412795.2729999991</v>
      </c>
      <c r="F71" s="9">
        <v>2488999.5910000009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>
        <f t="shared" si="17"/>
        <v>5901794.8640000001</v>
      </c>
      <c r="R71" s="43">
        <f t="shared" si="12"/>
        <v>1.5730743266215978E-2</v>
      </c>
      <c r="S71" s="40"/>
      <c r="T71" s="10">
        <v>3008125.0720000006</v>
      </c>
      <c r="U71" s="10">
        <v>2961333.3210000009</v>
      </c>
      <c r="V71" s="16">
        <f t="shared" si="13"/>
        <v>-0.27068593575141137</v>
      </c>
      <c r="W71" s="17">
        <f t="shared" si="18"/>
        <v>-0.27068593575141137</v>
      </c>
      <c r="X71" s="16">
        <f t="shared" si="14"/>
        <v>-0.15950035973677543</v>
      </c>
      <c r="Y71" s="17">
        <f t="shared" si="19"/>
        <v>-0.15950035973677543</v>
      </c>
      <c r="Z71" s="38"/>
      <c r="AA71" s="10">
        <v>5638568.9920000015</v>
      </c>
      <c r="AB71" s="16">
        <f t="shared" si="15"/>
        <v>4.6683098561614358E-2</v>
      </c>
      <c r="AC71" s="17">
        <f t="shared" si="16"/>
        <v>4.6683098561614358E-2</v>
      </c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</row>
    <row r="72" spans="1:49" s="41" customFormat="1" x14ac:dyDescent="0.25">
      <c r="A72" s="6">
        <v>69</v>
      </c>
      <c r="B72" s="42">
        <v>8482100000</v>
      </c>
      <c r="C72" s="13" t="s">
        <v>26</v>
      </c>
      <c r="D72" s="38"/>
      <c r="E72" s="10">
        <v>3252359.0860000006</v>
      </c>
      <c r="F72" s="9">
        <v>3090884.4880000004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>
        <f t="shared" si="17"/>
        <v>6343243.574000001</v>
      </c>
      <c r="R72" s="43">
        <f t="shared" si="12"/>
        <v>1.6907388080587869E-2</v>
      </c>
      <c r="S72" s="40"/>
      <c r="T72" s="10">
        <v>2228164.1409999998</v>
      </c>
      <c r="U72" s="10">
        <v>2878056.8140000007</v>
      </c>
      <c r="V72" s="16">
        <f t="shared" si="13"/>
        <v>-4.9648453239704848E-2</v>
      </c>
      <c r="W72" s="17">
        <f t="shared" si="18"/>
        <v>-4.9648453239704848E-2</v>
      </c>
      <c r="X72" s="16">
        <f t="shared" si="14"/>
        <v>7.3948392180697098E-2</v>
      </c>
      <c r="Y72" s="17">
        <f t="shared" si="19"/>
        <v>7.3948392180697098E-2</v>
      </c>
      <c r="Z72" s="38"/>
      <c r="AA72" s="10">
        <v>5419412.5090000033</v>
      </c>
      <c r="AB72" s="16">
        <f t="shared" si="15"/>
        <v>0.17046701343841125</v>
      </c>
      <c r="AC72" s="17">
        <f t="shared" si="16"/>
        <v>0.17046701343841125</v>
      </c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</row>
    <row r="73" spans="1:49" s="41" customFormat="1" x14ac:dyDescent="0.25">
      <c r="A73" s="6">
        <v>70</v>
      </c>
      <c r="B73" s="42">
        <v>8482200000</v>
      </c>
      <c r="C73" s="13" t="s">
        <v>26</v>
      </c>
      <c r="D73" s="38"/>
      <c r="E73" s="10">
        <v>2262707.700000002</v>
      </c>
      <c r="F73" s="9">
        <v>1595191.3919999995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>
        <f t="shared" si="17"/>
        <v>3857899.0920000016</v>
      </c>
      <c r="R73" s="43">
        <f t="shared" si="12"/>
        <v>1.0282909108448431E-2</v>
      </c>
      <c r="S73" s="40"/>
      <c r="T73" s="10">
        <v>1666963.1230000004</v>
      </c>
      <c r="U73" s="10">
        <v>2086271.8470000005</v>
      </c>
      <c r="V73" s="16">
        <f t="shared" si="13"/>
        <v>-0.29500775022774789</v>
      </c>
      <c r="W73" s="17">
        <f t="shared" si="18"/>
        <v>-0.29500775022774789</v>
      </c>
      <c r="X73" s="16">
        <f t="shared" si="14"/>
        <v>-0.2353866087519518</v>
      </c>
      <c r="Y73" s="17">
        <f t="shared" si="19"/>
        <v>-0.2353866087519518</v>
      </c>
      <c r="Z73" s="38"/>
      <c r="AA73" s="10">
        <v>3980761.5840000007</v>
      </c>
      <c r="AB73" s="16">
        <f t="shared" si="15"/>
        <v>-3.086406693980976E-2</v>
      </c>
      <c r="AC73" s="17">
        <f t="shared" si="16"/>
        <v>-3.086406693980976E-2</v>
      </c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</row>
    <row r="74" spans="1:49" s="41" customFormat="1" x14ac:dyDescent="0.25">
      <c r="A74" s="6">
        <v>71</v>
      </c>
      <c r="B74" s="42">
        <v>8482300000</v>
      </c>
      <c r="C74" s="13" t="s">
        <v>26</v>
      </c>
      <c r="D74" s="38"/>
      <c r="E74" s="10">
        <v>1319863.3500000006</v>
      </c>
      <c r="F74" s="9">
        <v>792797.0680000002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>
        <f t="shared" si="17"/>
        <v>2112660.4180000005</v>
      </c>
      <c r="R74" s="43">
        <f t="shared" si="12"/>
        <v>5.6311206014588687E-3</v>
      </c>
      <c r="S74" s="40"/>
      <c r="T74" s="10">
        <v>312951.74900000007</v>
      </c>
      <c r="U74" s="10">
        <v>1078423.4759999998</v>
      </c>
      <c r="V74" s="16">
        <f t="shared" si="13"/>
        <v>-0.3993339780212854</v>
      </c>
      <c r="W74" s="17">
        <f t="shared" si="18"/>
        <v>-0.3993339780212854</v>
      </c>
      <c r="X74" s="16">
        <f t="shared" si="14"/>
        <v>-0.2648555176667905</v>
      </c>
      <c r="Y74" s="17">
        <f t="shared" si="19"/>
        <v>-0.2648555176667905</v>
      </c>
      <c r="Z74" s="38"/>
      <c r="AA74" s="10">
        <v>2012354.6029999997</v>
      </c>
      <c r="AB74" s="16">
        <f t="shared" si="15"/>
        <v>4.9844999907305551E-2</v>
      </c>
      <c r="AC74" s="17">
        <f t="shared" si="16"/>
        <v>4.9844999907305551E-2</v>
      </c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</row>
    <row r="75" spans="1:49" s="41" customFormat="1" x14ac:dyDescent="0.25">
      <c r="A75" s="6">
        <v>72</v>
      </c>
      <c r="B75" s="42">
        <v>8482400000</v>
      </c>
      <c r="C75" s="13" t="s">
        <v>26</v>
      </c>
      <c r="D75" s="38"/>
      <c r="E75" s="10">
        <v>119872.69900000004</v>
      </c>
      <c r="F75" s="9">
        <v>162360.516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>
        <f t="shared" si="17"/>
        <v>282233.21500000003</v>
      </c>
      <c r="R75" s="43">
        <f t="shared" si="12"/>
        <v>7.5226915687046775E-4</v>
      </c>
      <c r="S75" s="40"/>
      <c r="T75" s="10">
        <v>832818.27399999974</v>
      </c>
      <c r="U75" s="10">
        <v>133697.41200000001</v>
      </c>
      <c r="V75" s="16">
        <f t="shared" si="13"/>
        <v>0.35444114760442619</v>
      </c>
      <c r="W75" s="17">
        <f t="shared" si="18"/>
        <v>0.35444114760442619</v>
      </c>
      <c r="X75" s="16">
        <f t="shared" si="14"/>
        <v>0.21438787461345915</v>
      </c>
      <c r="Y75" s="17">
        <f t="shared" si="19"/>
        <v>0.21438787461345915</v>
      </c>
      <c r="Z75" s="38"/>
      <c r="AA75" s="10">
        <v>256701.598</v>
      </c>
      <c r="AB75" s="16">
        <f t="shared" si="15"/>
        <v>9.9460296308712601E-2</v>
      </c>
      <c r="AC75" s="17">
        <f t="shared" si="16"/>
        <v>9.9460296308712601E-2</v>
      </c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</row>
    <row r="76" spans="1:49" s="41" customFormat="1" x14ac:dyDescent="0.25">
      <c r="A76" s="6">
        <v>73</v>
      </c>
      <c r="B76" s="42">
        <v>8482500000</v>
      </c>
      <c r="C76" s="13" t="s">
        <v>26</v>
      </c>
      <c r="D76" s="38"/>
      <c r="E76" s="10">
        <v>1578503.0479999988</v>
      </c>
      <c r="F76" s="9">
        <v>721849.34899999958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>
        <f t="shared" si="17"/>
        <v>2300352.3969999985</v>
      </c>
      <c r="R76" s="43">
        <f t="shared" si="12"/>
        <v>6.1313979582316288E-3</v>
      </c>
      <c r="S76" s="40"/>
      <c r="T76" s="10">
        <v>338127.38899999997</v>
      </c>
      <c r="U76" s="10">
        <v>694609.69200000027</v>
      </c>
      <c r="V76" s="16">
        <f t="shared" si="13"/>
        <v>-0.54270006008882909</v>
      </c>
      <c r="W76" s="17">
        <f t="shared" si="18"/>
        <v>-0.54270006008882909</v>
      </c>
      <c r="X76" s="16">
        <f t="shared" si="14"/>
        <v>3.9215774432354591E-2</v>
      </c>
      <c r="Y76" s="17">
        <f t="shared" si="19"/>
        <v>3.9215774432354591E-2</v>
      </c>
      <c r="Z76" s="38"/>
      <c r="AA76" s="10">
        <v>1348513.2250000006</v>
      </c>
      <c r="AB76" s="16">
        <f t="shared" si="15"/>
        <v>0.70584340913675325</v>
      </c>
      <c r="AC76" s="17">
        <f t="shared" si="16"/>
        <v>0.70584340913675325</v>
      </c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</row>
    <row r="77" spans="1:49" s="41" customFormat="1" x14ac:dyDescent="0.25">
      <c r="A77" s="6">
        <v>74</v>
      </c>
      <c r="B77" s="42">
        <v>8482800000</v>
      </c>
      <c r="C77" s="13" t="s">
        <v>26</v>
      </c>
      <c r="D77" s="38"/>
      <c r="E77" s="10">
        <v>743556.43900000025</v>
      </c>
      <c r="F77" s="9">
        <v>709335.11899999937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>
        <f t="shared" si="17"/>
        <v>1452891.5579999997</v>
      </c>
      <c r="R77" s="43">
        <f t="shared" si="12"/>
        <v>3.8725615883335347E-3</v>
      </c>
      <c r="S77" s="40"/>
      <c r="T77" s="10">
        <v>383058.43099999998</v>
      </c>
      <c r="U77" s="10">
        <v>521399.91800000001</v>
      </c>
      <c r="V77" s="16">
        <f t="shared" si="13"/>
        <v>-4.6023836530855282E-2</v>
      </c>
      <c r="W77" s="17">
        <f t="shared" si="18"/>
        <v>-4.6023836530855282E-2</v>
      </c>
      <c r="X77" s="16">
        <f t="shared" si="14"/>
        <v>0.36044348016180422</v>
      </c>
      <c r="Y77" s="17">
        <f t="shared" si="19"/>
        <v>0.36044348016180422</v>
      </c>
      <c r="Z77" s="38"/>
      <c r="AA77" s="10">
        <v>1064189.7860000001</v>
      </c>
      <c r="AB77" s="16">
        <f t="shared" si="15"/>
        <v>0.3652560634518246</v>
      </c>
      <c r="AC77" s="17">
        <f t="shared" si="16"/>
        <v>0.3652560634518246</v>
      </c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</row>
    <row r="78" spans="1:49" s="41" customFormat="1" x14ac:dyDescent="0.25">
      <c r="A78" s="6">
        <v>75</v>
      </c>
      <c r="B78" s="42">
        <v>8482910000</v>
      </c>
      <c r="C78" s="13" t="s">
        <v>26</v>
      </c>
      <c r="D78" s="38"/>
      <c r="E78" s="10">
        <v>65824.038000000015</v>
      </c>
      <c r="F78" s="9">
        <v>40207.629000000008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>
        <f t="shared" si="17"/>
        <v>106031.66700000002</v>
      </c>
      <c r="R78" s="43">
        <f t="shared" si="12"/>
        <v>2.8261858809091694E-4</v>
      </c>
      <c r="S78" s="40"/>
      <c r="T78" s="10">
        <v>73745.366999999998</v>
      </c>
      <c r="U78" s="10">
        <v>75125.679999999993</v>
      </c>
      <c r="V78" s="16">
        <f t="shared" si="13"/>
        <v>-0.38916495824823144</v>
      </c>
      <c r="W78" s="17">
        <f t="shared" si="18"/>
        <v>-0.38916495824823144</v>
      </c>
      <c r="X78" s="16">
        <f t="shared" si="14"/>
        <v>-0.46479514062301985</v>
      </c>
      <c r="Y78" s="17">
        <f t="shared" si="19"/>
        <v>-0.46479514062301985</v>
      </c>
      <c r="Z78" s="38"/>
      <c r="AA78" s="10">
        <v>100871.71899999998</v>
      </c>
      <c r="AB78" s="16">
        <f t="shared" si="15"/>
        <v>5.1153564657701871E-2</v>
      </c>
      <c r="AC78" s="17">
        <f t="shared" si="16"/>
        <v>5.1153564657701871E-2</v>
      </c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</row>
    <row r="79" spans="1:49" s="41" customFormat="1" x14ac:dyDescent="0.25">
      <c r="A79" s="6">
        <v>76</v>
      </c>
      <c r="B79" s="42">
        <v>8482990000</v>
      </c>
      <c r="C79" s="13" t="s">
        <v>26</v>
      </c>
      <c r="D79" s="38"/>
      <c r="E79" s="10">
        <v>955877.68100000033</v>
      </c>
      <c r="F79" s="9">
        <v>851436.74000000046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>
        <f t="shared" si="17"/>
        <v>1807314.4210000008</v>
      </c>
      <c r="R79" s="43">
        <f t="shared" si="12"/>
        <v>4.8172462468158046E-3</v>
      </c>
      <c r="S79" s="40"/>
      <c r="T79" s="10">
        <v>711620.19000000006</v>
      </c>
      <c r="U79" s="10">
        <v>741158.93099999963</v>
      </c>
      <c r="V79" s="16">
        <f t="shared" si="13"/>
        <v>-0.10926182614781633</v>
      </c>
      <c r="W79" s="17">
        <f t="shared" si="18"/>
        <v>-0.10926182614781633</v>
      </c>
      <c r="X79" s="16">
        <f t="shared" si="14"/>
        <v>0.14879104114850217</v>
      </c>
      <c r="Y79" s="17">
        <f t="shared" si="19"/>
        <v>0.14879104114850217</v>
      </c>
      <c r="Z79" s="38"/>
      <c r="AA79" s="10">
        <v>1400848.7329999998</v>
      </c>
      <c r="AB79" s="16">
        <f t="shared" si="15"/>
        <v>0.29015673029130767</v>
      </c>
      <c r="AC79" s="17">
        <f t="shared" si="16"/>
        <v>0.29015673029130767</v>
      </c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</row>
    <row r="80" spans="1:49" s="41" customFormat="1" x14ac:dyDescent="0.25">
      <c r="A80" s="6">
        <v>77</v>
      </c>
      <c r="B80" s="42">
        <v>8483109100</v>
      </c>
      <c r="C80" s="13" t="s">
        <v>4</v>
      </c>
      <c r="D80" s="38"/>
      <c r="E80" s="10">
        <v>1207263.6069999996</v>
      </c>
      <c r="F80" s="9">
        <v>922817.86999999988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>
        <f t="shared" si="17"/>
        <v>2130081.4769999995</v>
      </c>
      <c r="R80" s="43">
        <f t="shared" si="12"/>
        <v>5.6775549850438057E-3</v>
      </c>
      <c r="S80" s="40"/>
      <c r="T80" s="10">
        <v>447919.98600000003</v>
      </c>
      <c r="U80" s="10">
        <v>822798.17100000009</v>
      </c>
      <c r="V80" s="16">
        <f t="shared" si="13"/>
        <v>-0.2356119536368993</v>
      </c>
      <c r="W80" s="17">
        <f t="shared" si="18"/>
        <v>-0.2356119536368993</v>
      </c>
      <c r="X80" s="16">
        <f t="shared" si="14"/>
        <v>0.1215604294288104</v>
      </c>
      <c r="Y80" s="17">
        <f t="shared" si="19"/>
        <v>0.1215604294288104</v>
      </c>
      <c r="Z80" s="38"/>
      <c r="AA80" s="10">
        <v>1982297.5989999997</v>
      </c>
      <c r="AB80" s="16">
        <f t="shared" si="15"/>
        <v>7.4551812035968584E-2</v>
      </c>
      <c r="AC80" s="17">
        <f t="shared" si="16"/>
        <v>7.4551812035968584E-2</v>
      </c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</row>
    <row r="81" spans="1:49" s="41" customFormat="1" x14ac:dyDescent="0.25">
      <c r="A81" s="6">
        <v>78</v>
      </c>
      <c r="B81" s="42">
        <v>8483109200</v>
      </c>
      <c r="C81" s="13" t="s">
        <v>4</v>
      </c>
      <c r="D81" s="38"/>
      <c r="E81" s="10">
        <v>398619.9739999997</v>
      </c>
      <c r="F81" s="9">
        <v>348578.16400000011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>
        <f>SUM(E81:P81)</f>
        <v>747198.1379999998</v>
      </c>
      <c r="R81" s="43">
        <f t="shared" si="12"/>
        <v>1.9915944807858397E-3</v>
      </c>
      <c r="S81" s="40"/>
      <c r="T81" s="10">
        <v>314350.94899999985</v>
      </c>
      <c r="U81" s="10">
        <v>403049.80699999997</v>
      </c>
      <c r="V81" s="16">
        <f t="shared" si="13"/>
        <v>-0.12553763801108378</v>
      </c>
      <c r="W81" s="17">
        <f t="shared" si="18"/>
        <v>-0.12553763801108378</v>
      </c>
      <c r="X81" s="16">
        <f t="shared" si="14"/>
        <v>-0.13514866414512355</v>
      </c>
      <c r="Y81" s="17">
        <f t="shared" si="19"/>
        <v>-0.13514866414512355</v>
      </c>
      <c r="Z81" s="38"/>
      <c r="AA81" s="10">
        <v>817837.74600000004</v>
      </c>
      <c r="AB81" s="16">
        <f t="shared" si="15"/>
        <v>-8.6373621596086414E-2</v>
      </c>
      <c r="AC81" s="17">
        <f t="shared" si="16"/>
        <v>-8.6373621596086414E-2</v>
      </c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</row>
    <row r="82" spans="1:49" s="41" customFormat="1" x14ac:dyDescent="0.25">
      <c r="A82" s="6">
        <v>79</v>
      </c>
      <c r="B82" s="42">
        <v>8483109300</v>
      </c>
      <c r="C82" s="13" t="s">
        <v>4</v>
      </c>
      <c r="D82" s="38"/>
      <c r="E82" s="10">
        <v>9785.6460000000006</v>
      </c>
      <c r="F82" s="9">
        <v>6706.1709999999994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>
        <f t="shared" si="17"/>
        <v>16491.816999999999</v>
      </c>
      <c r="R82" s="43">
        <f t="shared" si="12"/>
        <v>4.3957566333402842E-5</v>
      </c>
      <c r="S82" s="40"/>
      <c r="T82" s="10">
        <v>9032.5399999999991</v>
      </c>
      <c r="U82" s="10">
        <v>8867.1020000000008</v>
      </c>
      <c r="V82" s="16">
        <f t="shared" si="13"/>
        <v>-0.3146930718728228</v>
      </c>
      <c r="W82" s="17">
        <f t="shared" si="18"/>
        <v>-0.3146930718728228</v>
      </c>
      <c r="X82" s="16">
        <f t="shared" si="14"/>
        <v>-0.24370205733507985</v>
      </c>
      <c r="Y82" s="17">
        <f t="shared" si="19"/>
        <v>-0.24370205733507985</v>
      </c>
      <c r="Z82" s="38"/>
      <c r="AA82" s="10">
        <v>17181.156999999999</v>
      </c>
      <c r="AB82" s="16">
        <f t="shared" si="15"/>
        <v>-4.0121861408984286E-2</v>
      </c>
      <c r="AC82" s="17">
        <f t="shared" si="16"/>
        <v>-4.0121861408984286E-2</v>
      </c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</row>
    <row r="83" spans="1:49" s="41" customFormat="1" x14ac:dyDescent="0.25">
      <c r="A83" s="6">
        <v>80</v>
      </c>
      <c r="B83" s="42">
        <v>8483200000</v>
      </c>
      <c r="C83" s="13" t="s">
        <v>9</v>
      </c>
      <c r="D83" s="38"/>
      <c r="E83" s="10">
        <v>543001.88100000005</v>
      </c>
      <c r="F83" s="9">
        <v>320836.95600000001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>
        <f t="shared" si="17"/>
        <v>863838.83700000006</v>
      </c>
      <c r="R83" s="43">
        <f t="shared" si="12"/>
        <v>2.3024905611550911E-3</v>
      </c>
      <c r="S83" s="40"/>
      <c r="T83" s="10">
        <v>449633.31100000005</v>
      </c>
      <c r="U83" s="10">
        <v>500053.67099999974</v>
      </c>
      <c r="V83" s="16">
        <f t="shared" si="13"/>
        <v>-0.40914209098292242</v>
      </c>
      <c r="W83" s="17">
        <f t="shared" si="18"/>
        <v>-0.40914209098292242</v>
      </c>
      <c r="X83" s="16">
        <f t="shared" si="14"/>
        <v>-0.35839495916829262</v>
      </c>
      <c r="Y83" s="17">
        <f t="shared" si="19"/>
        <v>-0.35839495916829262</v>
      </c>
      <c r="Z83" s="38"/>
      <c r="AA83" s="10">
        <v>1138736.138</v>
      </c>
      <c r="AB83" s="16">
        <f t="shared" si="15"/>
        <v>-0.24140561788335901</v>
      </c>
      <c r="AC83" s="17">
        <f t="shared" si="16"/>
        <v>-0.24140561788335901</v>
      </c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</row>
    <row r="84" spans="1:49" s="41" customFormat="1" x14ac:dyDescent="0.25">
      <c r="A84" s="6">
        <v>81</v>
      </c>
      <c r="B84" s="42">
        <v>8483500000</v>
      </c>
      <c r="C84" s="13" t="s">
        <v>9</v>
      </c>
      <c r="D84" s="38"/>
      <c r="E84" s="10">
        <v>2413218.7180000017</v>
      </c>
      <c r="F84" s="9">
        <v>1177014.5099999993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>
        <f t="shared" si="17"/>
        <v>3590233.2280000011</v>
      </c>
      <c r="R84" s="43">
        <f t="shared" si="12"/>
        <v>9.5694680138760368E-3</v>
      </c>
      <c r="S84" s="40"/>
      <c r="T84" s="10">
        <v>3270711.8259999994</v>
      </c>
      <c r="U84" s="10">
        <v>1756911.4909999988</v>
      </c>
      <c r="V84" s="16">
        <f t="shared" si="13"/>
        <v>-0.51226364140939895</v>
      </c>
      <c r="W84" s="17">
        <f t="shared" si="18"/>
        <v>-0.51226364140939895</v>
      </c>
      <c r="X84" s="16">
        <f t="shared" si="14"/>
        <v>-0.33006613251185107</v>
      </c>
      <c r="Y84" s="17">
        <f t="shared" si="19"/>
        <v>-0.33006613251185107</v>
      </c>
      <c r="Z84" s="38"/>
      <c r="AA84" s="10">
        <v>3994270.981999998</v>
      </c>
      <c r="AB84" s="16">
        <f t="shared" si="15"/>
        <v>-0.10115431722604071</v>
      </c>
      <c r="AC84" s="17">
        <f t="shared" si="16"/>
        <v>-0.10115431722604071</v>
      </c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</row>
    <row r="85" spans="1:49" s="41" customFormat="1" x14ac:dyDescent="0.25">
      <c r="A85" s="6">
        <v>82</v>
      </c>
      <c r="B85" s="42">
        <v>8484100000</v>
      </c>
      <c r="C85" s="13" t="s">
        <v>4</v>
      </c>
      <c r="D85" s="38"/>
      <c r="E85" s="10">
        <v>841293.91899999965</v>
      </c>
      <c r="F85" s="9">
        <v>1133045.1420000005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>
        <f t="shared" si="17"/>
        <v>1974339.0610000002</v>
      </c>
      <c r="R85" s="43">
        <f t="shared" si="12"/>
        <v>5.2624365307070648E-3</v>
      </c>
      <c r="S85" s="40"/>
      <c r="T85" s="10">
        <v>571664.50300000061</v>
      </c>
      <c r="U85" s="10">
        <v>683458.50900000019</v>
      </c>
      <c r="V85" s="16">
        <f t="shared" si="13"/>
        <v>0.34678869823139769</v>
      </c>
      <c r="W85" s="17">
        <f t="shared" si="18"/>
        <v>0.34678869823139769</v>
      </c>
      <c r="X85" s="16">
        <f t="shared" si="14"/>
        <v>0.65781115763385734</v>
      </c>
      <c r="Y85" s="17">
        <f t="shared" si="19"/>
        <v>0.65781115763385734</v>
      </c>
      <c r="Z85" s="38"/>
      <c r="AA85" s="10">
        <v>1463613.5850000002</v>
      </c>
      <c r="AB85" s="16">
        <f t="shared" si="15"/>
        <v>0.34894830249884567</v>
      </c>
      <c r="AC85" s="17">
        <f t="shared" si="16"/>
        <v>0.34894830249884567</v>
      </c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</row>
    <row r="86" spans="1:49" s="41" customFormat="1" x14ac:dyDescent="0.25">
      <c r="A86" s="6">
        <v>83</v>
      </c>
      <c r="B86" s="42">
        <v>8484900000</v>
      </c>
      <c r="C86" s="13" t="s">
        <v>4</v>
      </c>
      <c r="D86" s="38"/>
      <c r="E86" s="10">
        <v>1508439.2249999992</v>
      </c>
      <c r="F86" s="9">
        <v>1966814.9239999983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>
        <f t="shared" si="17"/>
        <v>3475254.1489999974</v>
      </c>
      <c r="R86" s="43">
        <f t="shared" si="12"/>
        <v>9.2630008433940807E-3</v>
      </c>
      <c r="S86" s="40"/>
      <c r="T86" s="10">
        <v>1273642.905</v>
      </c>
      <c r="U86" s="10">
        <v>1396321.6690000014</v>
      </c>
      <c r="V86" s="16">
        <f t="shared" si="13"/>
        <v>0.30387415774075971</v>
      </c>
      <c r="W86" s="17">
        <f t="shared" si="18"/>
        <v>0.30387415774075971</v>
      </c>
      <c r="X86" s="16">
        <f t="shared" si="14"/>
        <v>0.40856864694262385</v>
      </c>
      <c r="Y86" s="17">
        <f t="shared" si="19"/>
        <v>0.40856864694262385</v>
      </c>
      <c r="Z86" s="38"/>
      <c r="AA86" s="10">
        <v>2913690.5830000006</v>
      </c>
      <c r="AB86" s="16">
        <f t="shared" si="15"/>
        <v>0.19273273877344879</v>
      </c>
      <c r="AC86" s="17">
        <f t="shared" si="16"/>
        <v>0.19273273877344879</v>
      </c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</row>
    <row r="87" spans="1:49" s="41" customFormat="1" x14ac:dyDescent="0.25">
      <c r="A87" s="6">
        <v>84</v>
      </c>
      <c r="B87" s="42">
        <v>8487902000</v>
      </c>
      <c r="C87" s="13" t="s">
        <v>4</v>
      </c>
      <c r="D87" s="38"/>
      <c r="E87" s="10">
        <v>1827096.7470000011</v>
      </c>
      <c r="F87" s="9">
        <v>1946087.8720000014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>
        <f t="shared" si="17"/>
        <v>3773184.6190000027</v>
      </c>
      <c r="R87" s="43">
        <f t="shared" si="12"/>
        <v>1.0057109727683004E-2</v>
      </c>
      <c r="S87" s="40"/>
      <c r="T87" s="10">
        <v>2170187.662</v>
      </c>
      <c r="U87" s="10">
        <v>1578392.0810000012</v>
      </c>
      <c r="V87" s="16">
        <f t="shared" si="13"/>
        <v>6.5125793253902692E-2</v>
      </c>
      <c r="W87" s="17">
        <f t="shared" si="18"/>
        <v>6.5125793253902692E-2</v>
      </c>
      <c r="X87" s="16">
        <f t="shared" si="14"/>
        <v>0.232955927380885</v>
      </c>
      <c r="Y87" s="17">
        <f t="shared" si="19"/>
        <v>0.232955927380885</v>
      </c>
      <c r="Z87" s="38"/>
      <c r="AA87" s="10">
        <v>3478745.8770000036</v>
      </c>
      <c r="AB87" s="16">
        <f t="shared" si="15"/>
        <v>8.4639336246635194E-2</v>
      </c>
      <c r="AC87" s="17">
        <f t="shared" si="16"/>
        <v>8.4639336246635194E-2</v>
      </c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</row>
    <row r="88" spans="1:49" s="41" customFormat="1" x14ac:dyDescent="0.25">
      <c r="A88" s="6">
        <v>85</v>
      </c>
      <c r="B88" s="42">
        <v>8507100000</v>
      </c>
      <c r="C88" s="13" t="s">
        <v>7</v>
      </c>
      <c r="D88" s="38"/>
      <c r="E88" s="10">
        <v>4564700.9070000015</v>
      </c>
      <c r="F88" s="9">
        <v>2996768.2540000002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>
        <f t="shared" si="17"/>
        <v>7561469.1610000022</v>
      </c>
      <c r="R88" s="43">
        <f t="shared" si="12"/>
        <v>2.0154467044027808E-2</v>
      </c>
      <c r="S88" s="40"/>
      <c r="T88" s="10">
        <v>2931872.3859999995</v>
      </c>
      <c r="U88" s="10">
        <v>2503453.7200000002</v>
      </c>
      <c r="V88" s="16">
        <f t="shared" si="13"/>
        <v>-0.34349077517774829</v>
      </c>
      <c r="W88" s="17">
        <f t="shared" si="18"/>
        <v>-0.34349077517774829</v>
      </c>
      <c r="X88" s="16">
        <f t="shared" si="14"/>
        <v>0.19705358643498308</v>
      </c>
      <c r="Y88" s="17">
        <f t="shared" si="19"/>
        <v>0.19705358643498308</v>
      </c>
      <c r="Z88" s="38"/>
      <c r="AA88" s="10">
        <v>7428890.2839999981</v>
      </c>
      <c r="AB88" s="16">
        <f t="shared" si="15"/>
        <v>1.7846390501357428E-2</v>
      </c>
      <c r="AC88" s="17">
        <f t="shared" si="16"/>
        <v>1.7846390501357428E-2</v>
      </c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</row>
    <row r="89" spans="1:49" s="41" customFormat="1" x14ac:dyDescent="0.25">
      <c r="A89" s="6">
        <v>86</v>
      </c>
      <c r="B89" s="42">
        <v>8511109000</v>
      </c>
      <c r="C89" s="13" t="s">
        <v>26</v>
      </c>
      <c r="D89" s="38"/>
      <c r="E89" s="10">
        <v>1693524.443</v>
      </c>
      <c r="F89" s="9">
        <v>894129.48899999983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>
        <f t="shared" si="17"/>
        <v>2587653.932</v>
      </c>
      <c r="R89" s="43">
        <f t="shared" si="12"/>
        <v>6.8971763004513501E-3</v>
      </c>
      <c r="S89" s="40"/>
      <c r="T89" s="10">
        <v>527616.06200000027</v>
      </c>
      <c r="U89" s="10">
        <v>947678.71899999969</v>
      </c>
      <c r="V89" s="16">
        <f t="shared" si="13"/>
        <v>-0.47203036088685502</v>
      </c>
      <c r="W89" s="17">
        <f t="shared" si="18"/>
        <v>-0.47203036088685502</v>
      </c>
      <c r="X89" s="16">
        <f t="shared" si="14"/>
        <v>-5.6505679537159556E-2</v>
      </c>
      <c r="Y89" s="17">
        <f t="shared" si="19"/>
        <v>-5.6505679537159556E-2</v>
      </c>
      <c r="Z89" s="38"/>
      <c r="AA89" s="10">
        <v>1772122.1079999995</v>
      </c>
      <c r="AB89" s="16">
        <f t="shared" si="15"/>
        <v>0.46020069402576447</v>
      </c>
      <c r="AC89" s="17">
        <f t="shared" si="16"/>
        <v>0.46020069402576447</v>
      </c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</row>
    <row r="90" spans="1:49" s="41" customFormat="1" x14ac:dyDescent="0.25">
      <c r="A90" s="6">
        <v>87</v>
      </c>
      <c r="B90" s="42">
        <v>8511309200</v>
      </c>
      <c r="C90" s="13" t="s">
        <v>5</v>
      </c>
      <c r="D90" s="38"/>
      <c r="E90" s="10">
        <v>712327.40799999994</v>
      </c>
      <c r="F90" s="9">
        <v>603231.51299999992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>
        <f t="shared" si="17"/>
        <v>1315558.9209999999</v>
      </c>
      <c r="R90" s="43">
        <f t="shared" si="12"/>
        <v>3.5065128684945608E-3</v>
      </c>
      <c r="S90" s="40"/>
      <c r="T90" s="10">
        <v>484280.76100000017</v>
      </c>
      <c r="U90" s="10">
        <v>395054.97499999998</v>
      </c>
      <c r="V90" s="16">
        <f t="shared" si="13"/>
        <v>-0.15315414481426218</v>
      </c>
      <c r="W90" s="17">
        <f t="shared" si="18"/>
        <v>-0.15315414481426218</v>
      </c>
      <c r="X90" s="16">
        <f t="shared" si="14"/>
        <v>0.52695586987608489</v>
      </c>
      <c r="Y90" s="17">
        <f t="shared" si="19"/>
        <v>0.52695586987608489</v>
      </c>
      <c r="Z90" s="38"/>
      <c r="AA90" s="10">
        <v>1182572.6910000001</v>
      </c>
      <c r="AB90" s="16">
        <f t="shared" si="15"/>
        <v>0.11245501524945982</v>
      </c>
      <c r="AC90" s="17">
        <f t="shared" si="16"/>
        <v>0.11245501524945982</v>
      </c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</row>
    <row r="91" spans="1:49" s="41" customFormat="1" x14ac:dyDescent="0.25">
      <c r="A91" s="6">
        <v>88</v>
      </c>
      <c r="B91" s="42">
        <v>8511409000</v>
      </c>
      <c r="C91" s="13" t="s">
        <v>5</v>
      </c>
      <c r="D91" s="38"/>
      <c r="E91" s="10">
        <v>861690.96099999989</v>
      </c>
      <c r="F91" s="9">
        <v>752172.22099999955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>
        <f t="shared" si="17"/>
        <v>1613863.1819999996</v>
      </c>
      <c r="R91" s="43">
        <f t="shared" si="12"/>
        <v>4.3016180615999778E-3</v>
      </c>
      <c r="S91" s="40"/>
      <c r="T91" s="10">
        <v>659888.64399999997</v>
      </c>
      <c r="U91" s="10">
        <v>769152.5360000002</v>
      </c>
      <c r="V91" s="16">
        <f t="shared" si="13"/>
        <v>-0.12709746876409483</v>
      </c>
      <c r="W91" s="17">
        <f t="shared" si="18"/>
        <v>-0.12709746876409483</v>
      </c>
      <c r="X91" s="16">
        <f t="shared" si="14"/>
        <v>-2.2076654766435871E-2</v>
      </c>
      <c r="Y91" s="17">
        <f t="shared" si="19"/>
        <v>-2.2076654766435871E-2</v>
      </c>
      <c r="Z91" s="38"/>
      <c r="AA91" s="10">
        <v>1467043.8320000004</v>
      </c>
      <c r="AB91" s="16">
        <f t="shared" si="15"/>
        <v>0.10007836630200911</v>
      </c>
      <c r="AC91" s="17">
        <f t="shared" si="16"/>
        <v>0.10007836630200911</v>
      </c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</row>
    <row r="92" spans="1:49" s="41" customFormat="1" x14ac:dyDescent="0.25">
      <c r="A92" s="6">
        <v>89</v>
      </c>
      <c r="B92" s="42">
        <v>8511509000</v>
      </c>
      <c r="C92" s="13" t="s">
        <v>5</v>
      </c>
      <c r="D92" s="38"/>
      <c r="E92" s="10">
        <v>556000.86499999999</v>
      </c>
      <c r="F92" s="9">
        <v>710085.12700000033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>
        <f t="shared" si="17"/>
        <v>1266085.9920000003</v>
      </c>
      <c r="R92" s="43">
        <f t="shared" si="12"/>
        <v>3.3746468916755596E-3</v>
      </c>
      <c r="S92" s="40"/>
      <c r="T92" s="10">
        <v>1141221.899</v>
      </c>
      <c r="U92" s="10">
        <v>703941.32600000023</v>
      </c>
      <c r="V92" s="16">
        <f t="shared" si="13"/>
        <v>0.27712953648012822</v>
      </c>
      <c r="W92" s="17">
        <f t="shared" si="18"/>
        <v>0.27712953648012822</v>
      </c>
      <c r="X92" s="16">
        <f t="shared" si="14"/>
        <v>8.7277174575201635E-3</v>
      </c>
      <c r="Y92" s="17">
        <f t="shared" si="19"/>
        <v>8.7277174575201635E-3</v>
      </c>
      <c r="Z92" s="38"/>
      <c r="AA92" s="10">
        <v>1437325.5660000003</v>
      </c>
      <c r="AB92" s="16">
        <f t="shared" si="15"/>
        <v>-0.11913763871643258</v>
      </c>
      <c r="AC92" s="17">
        <f t="shared" si="16"/>
        <v>-0.11913763871643258</v>
      </c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</row>
    <row r="93" spans="1:49" s="41" customFormat="1" x14ac:dyDescent="0.25">
      <c r="A93" s="6">
        <v>90</v>
      </c>
      <c r="B93" s="42">
        <v>8511809000</v>
      </c>
      <c r="C93" s="13" t="s">
        <v>5</v>
      </c>
      <c r="D93" s="38"/>
      <c r="E93" s="10">
        <v>317577.61199999996</v>
      </c>
      <c r="F93" s="9">
        <v>311062.23799999984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>
        <f t="shared" si="17"/>
        <v>628639.84999999986</v>
      </c>
      <c r="R93" s="43">
        <f t="shared" si="12"/>
        <v>1.675587226452695E-3</v>
      </c>
      <c r="S93" s="40"/>
      <c r="T93" s="10">
        <v>177271.75599999996</v>
      </c>
      <c r="U93" s="10">
        <v>264952.94500000001</v>
      </c>
      <c r="V93" s="16">
        <f t="shared" si="13"/>
        <v>-2.0515847949634836E-2</v>
      </c>
      <c r="W93" s="17">
        <f t="shared" si="18"/>
        <v>-2.0515847949634836E-2</v>
      </c>
      <c r="X93" s="16">
        <f t="shared" si="14"/>
        <v>0.1740282335793619</v>
      </c>
      <c r="Y93" s="17">
        <f t="shared" si="19"/>
        <v>0.1740282335793619</v>
      </c>
      <c r="Z93" s="38"/>
      <c r="AA93" s="10">
        <v>506988.13099999994</v>
      </c>
      <c r="AB93" s="16">
        <f t="shared" si="15"/>
        <v>0.23994983622210267</v>
      </c>
      <c r="AC93" s="17">
        <f t="shared" si="16"/>
        <v>0.23994983622210267</v>
      </c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</row>
    <row r="94" spans="1:49" s="41" customFormat="1" x14ac:dyDescent="0.25">
      <c r="A94" s="6">
        <v>91</v>
      </c>
      <c r="B94" s="42">
        <v>8511902100</v>
      </c>
      <c r="C94" s="13" t="s">
        <v>5</v>
      </c>
      <c r="D94" s="38"/>
      <c r="E94" s="10">
        <v>4623.1459999999997</v>
      </c>
      <c r="F94" s="9">
        <v>7086.3180000000002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>
        <f t="shared" si="17"/>
        <v>11709.464</v>
      </c>
      <c r="R94" s="43">
        <f t="shared" si="12"/>
        <v>3.1210602234344012E-5</v>
      </c>
      <c r="S94" s="40"/>
      <c r="T94" s="10">
        <v>4830.7160000000003</v>
      </c>
      <c r="U94" s="10">
        <v>2055.2080000000001</v>
      </c>
      <c r="V94" s="16">
        <f t="shared" si="13"/>
        <v>0.53279130704502964</v>
      </c>
      <c r="W94" s="17">
        <f t="shared" si="18"/>
        <v>0.53279130704502964</v>
      </c>
      <c r="X94" s="16">
        <f t="shared" si="14"/>
        <v>2.4479809342898626</v>
      </c>
      <c r="Y94" s="17">
        <f t="shared" si="19"/>
        <v>2.4479809342898626</v>
      </c>
      <c r="Z94" s="38"/>
      <c r="AA94" s="10">
        <v>7011.7139999999999</v>
      </c>
      <c r="AB94" s="16">
        <f t="shared" si="15"/>
        <v>0.66998596919383768</v>
      </c>
      <c r="AC94" s="17">
        <f t="shared" si="16"/>
        <v>0.66998596919383768</v>
      </c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</row>
    <row r="95" spans="1:49" s="41" customFormat="1" x14ac:dyDescent="0.25">
      <c r="A95" s="6">
        <v>92</v>
      </c>
      <c r="B95" s="42">
        <v>8511903000</v>
      </c>
      <c r="C95" s="13" t="s">
        <v>5</v>
      </c>
      <c r="D95" s="38"/>
      <c r="E95" s="10">
        <v>14659.365999999998</v>
      </c>
      <c r="F95" s="9">
        <v>5985.8359999999993</v>
      </c>
      <c r="G95" s="9"/>
      <c r="H95" s="9"/>
      <c r="I95" s="9"/>
      <c r="J95" s="9"/>
      <c r="K95" s="9"/>
      <c r="L95" s="9"/>
      <c r="M95" s="9"/>
      <c r="N95" s="9"/>
      <c r="O95" s="9"/>
      <c r="P95" s="9"/>
      <c r="Q95" s="9">
        <f t="shared" si="17"/>
        <v>20645.201999999997</v>
      </c>
      <c r="R95" s="43">
        <f t="shared" si="12"/>
        <v>5.5028068549481293E-5</v>
      </c>
      <c r="S95" s="40"/>
      <c r="T95" s="10">
        <v>5939.1910000000007</v>
      </c>
      <c r="U95" s="10">
        <v>1915.4880000000001</v>
      </c>
      <c r="V95" s="16">
        <f t="shared" si="13"/>
        <v>-0.59167156342231986</v>
      </c>
      <c r="W95" s="17">
        <f t="shared" si="18"/>
        <v>-0.59167156342231986</v>
      </c>
      <c r="X95" s="16">
        <f t="shared" si="14"/>
        <v>2.124966588148816</v>
      </c>
      <c r="Y95" s="17">
        <f t="shared" si="19"/>
        <v>2.124966588148816</v>
      </c>
      <c r="Z95" s="38"/>
      <c r="AA95" s="10">
        <v>8034.1250000000009</v>
      </c>
      <c r="AB95" s="16">
        <f t="shared" si="15"/>
        <v>1.5696889206976485</v>
      </c>
      <c r="AC95" s="17">
        <f t="shared" si="16"/>
        <v>1.5696889206976485</v>
      </c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</row>
    <row r="96" spans="1:49" s="41" customFormat="1" x14ac:dyDescent="0.25">
      <c r="A96" s="6">
        <v>93</v>
      </c>
      <c r="B96" s="42">
        <v>8511909000</v>
      </c>
      <c r="C96" s="13" t="s">
        <v>5</v>
      </c>
      <c r="D96" s="38"/>
      <c r="E96" s="10">
        <v>341064.17499999999</v>
      </c>
      <c r="F96" s="9">
        <v>314372.91499999998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>
        <f t="shared" si="17"/>
        <v>655437.09</v>
      </c>
      <c r="R96" s="43">
        <f t="shared" si="12"/>
        <v>1.7470130405307994E-3</v>
      </c>
      <c r="S96" s="40"/>
      <c r="T96" s="10">
        <v>351875.18400000001</v>
      </c>
      <c r="U96" s="10">
        <v>387506.13000000006</v>
      </c>
      <c r="V96" s="16">
        <f t="shared" si="13"/>
        <v>-7.8258761712513517E-2</v>
      </c>
      <c r="W96" s="17">
        <f t="shared" si="18"/>
        <v>-7.8258761712513517E-2</v>
      </c>
      <c r="X96" s="16">
        <f t="shared" si="14"/>
        <v>-0.18872789186586564</v>
      </c>
      <c r="Y96" s="17">
        <f t="shared" si="19"/>
        <v>-0.18872789186586564</v>
      </c>
      <c r="Z96" s="38"/>
      <c r="AA96" s="10">
        <v>765463.46200000006</v>
      </c>
      <c r="AB96" s="16">
        <f t="shared" si="15"/>
        <v>-0.14373824155175688</v>
      </c>
      <c r="AC96" s="17">
        <f t="shared" si="16"/>
        <v>-0.14373824155175688</v>
      </c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</row>
    <row r="97" spans="1:49" s="41" customFormat="1" x14ac:dyDescent="0.25">
      <c r="A97" s="6">
        <v>94</v>
      </c>
      <c r="B97" s="42">
        <v>8512201000</v>
      </c>
      <c r="C97" s="13" t="s">
        <v>5</v>
      </c>
      <c r="D97" s="38"/>
      <c r="E97" s="10">
        <v>1962845.0399999996</v>
      </c>
      <c r="F97" s="9">
        <v>1590333.6430000002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>
        <f t="shared" si="17"/>
        <v>3553178.6829999997</v>
      </c>
      <c r="R97" s="43">
        <f t="shared" si="12"/>
        <v>9.470702206579508E-3</v>
      </c>
      <c r="S97" s="40"/>
      <c r="T97" s="10">
        <v>889446.73300000001</v>
      </c>
      <c r="U97" s="10">
        <v>1008474.5820000003</v>
      </c>
      <c r="V97" s="16">
        <f t="shared" si="13"/>
        <v>-0.18978135788039563</v>
      </c>
      <c r="W97" s="17">
        <f t="shared" si="18"/>
        <v>-0.18978135788039563</v>
      </c>
      <c r="X97" s="16">
        <f t="shared" si="14"/>
        <v>0.57696948578124863</v>
      </c>
      <c r="Y97" s="17">
        <f t="shared" si="19"/>
        <v>0.57696948578124863</v>
      </c>
      <c r="Z97" s="38"/>
      <c r="AA97" s="10">
        <v>2517692.6430000006</v>
      </c>
      <c r="AB97" s="16">
        <f t="shared" si="15"/>
        <v>0.41128373746453323</v>
      </c>
      <c r="AC97" s="17">
        <f t="shared" si="16"/>
        <v>0.41128373746453323</v>
      </c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</row>
    <row r="98" spans="1:49" s="41" customFormat="1" x14ac:dyDescent="0.25">
      <c r="A98" s="6">
        <v>95</v>
      </c>
      <c r="B98" s="42">
        <v>8512209000</v>
      </c>
      <c r="C98" s="13" t="s">
        <v>5</v>
      </c>
      <c r="D98" s="38"/>
      <c r="E98" s="10">
        <v>2076272.9819999989</v>
      </c>
      <c r="F98" s="9">
        <v>1420990.3359999994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>
        <f t="shared" si="17"/>
        <v>3497263.3179999981</v>
      </c>
      <c r="R98" s="43">
        <f t="shared" si="12"/>
        <v>9.3216644525197824E-3</v>
      </c>
      <c r="S98" s="40"/>
      <c r="T98" s="10">
        <v>1108416.3720000002</v>
      </c>
      <c r="U98" s="10">
        <v>1068234.9379999996</v>
      </c>
      <c r="V98" s="16">
        <f t="shared" si="13"/>
        <v>-0.31560524636254206</v>
      </c>
      <c r="W98" s="17">
        <f t="shared" si="18"/>
        <v>-0.31560524636254206</v>
      </c>
      <c r="X98" s="16">
        <f t="shared" si="14"/>
        <v>0.33022267429339586</v>
      </c>
      <c r="Y98" s="17">
        <f t="shared" si="19"/>
        <v>0.33022267429339586</v>
      </c>
      <c r="Z98" s="38"/>
      <c r="AA98" s="10">
        <v>2365996.9260000009</v>
      </c>
      <c r="AB98" s="16">
        <f t="shared" si="15"/>
        <v>0.47813519094994666</v>
      </c>
      <c r="AC98" s="17">
        <f t="shared" si="16"/>
        <v>0.47813519094994666</v>
      </c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</row>
    <row r="99" spans="1:49" s="41" customFormat="1" x14ac:dyDescent="0.25">
      <c r="A99" s="6">
        <v>96</v>
      </c>
      <c r="B99" s="42">
        <v>8512301000</v>
      </c>
      <c r="C99" s="13" t="s">
        <v>5</v>
      </c>
      <c r="D99" s="38"/>
      <c r="E99" s="10">
        <v>228834.53</v>
      </c>
      <c r="F99" s="9">
        <v>251637.55900000007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>
        <f t="shared" si="17"/>
        <v>480472.08900000004</v>
      </c>
      <c r="R99" s="43">
        <f t="shared" si="12"/>
        <v>1.2806583849169642E-3</v>
      </c>
      <c r="S99" s="40"/>
      <c r="T99" s="10">
        <v>160600.97999999998</v>
      </c>
      <c r="U99" s="10">
        <v>250874.30400000015</v>
      </c>
      <c r="V99" s="16">
        <f t="shared" si="13"/>
        <v>9.964854954363779E-2</v>
      </c>
      <c r="W99" s="17">
        <f t="shared" si="18"/>
        <v>9.964854954363779E-2</v>
      </c>
      <c r="X99" s="16">
        <f t="shared" si="14"/>
        <v>3.042380139497734E-3</v>
      </c>
      <c r="Y99" s="17">
        <f t="shared" si="19"/>
        <v>3.042380139497734E-3</v>
      </c>
      <c r="Z99" s="38"/>
      <c r="AA99" s="10">
        <v>487750.6590000001</v>
      </c>
      <c r="AB99" s="16">
        <f t="shared" si="15"/>
        <v>-1.4922727146945923E-2</v>
      </c>
      <c r="AC99" s="17">
        <f t="shared" si="16"/>
        <v>-1.4922727146945923E-2</v>
      </c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</row>
    <row r="100" spans="1:49" s="41" customFormat="1" x14ac:dyDescent="0.25">
      <c r="A100" s="6">
        <v>97</v>
      </c>
      <c r="B100" s="42">
        <v>8512309000</v>
      </c>
      <c r="C100" s="13" t="s">
        <v>5</v>
      </c>
      <c r="D100" s="38"/>
      <c r="E100" s="10">
        <v>146586.255</v>
      </c>
      <c r="F100" s="9">
        <v>147674.58800000002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>
        <f t="shared" si="17"/>
        <v>294260.84299999999</v>
      </c>
      <c r="R100" s="43">
        <f t="shared" ref="R100:R131" si="20">+Q100/$Q$151</f>
        <v>7.8432779878017918E-4</v>
      </c>
      <c r="S100" s="40"/>
      <c r="T100" s="10">
        <v>202443.15700000001</v>
      </c>
      <c r="U100" s="10">
        <v>123932.11599999999</v>
      </c>
      <c r="V100" s="16">
        <f t="shared" si="13"/>
        <v>7.4245228517504126E-3</v>
      </c>
      <c r="W100" s="17">
        <f t="shared" si="18"/>
        <v>7.4245228517504126E-3</v>
      </c>
      <c r="X100" s="16">
        <f t="shared" ref="X100:X131" si="21">+Y100</f>
        <v>0.19157642721116797</v>
      </c>
      <c r="Y100" s="17">
        <f t="shared" si="19"/>
        <v>0.19157642721116797</v>
      </c>
      <c r="Z100" s="38"/>
      <c r="AA100" s="10">
        <v>360764.81800000003</v>
      </c>
      <c r="AB100" s="16">
        <f t="shared" ref="AB100:AB131" si="22">+AC100</f>
        <v>-0.18434163111769958</v>
      </c>
      <c r="AC100" s="17">
        <f t="shared" ref="AC100:AC131" si="23">IFERROR((Q100-AA100)/AA100,0)</f>
        <v>-0.18434163111769958</v>
      </c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</row>
    <row r="101" spans="1:49" s="41" customFormat="1" x14ac:dyDescent="0.25">
      <c r="A101" s="6">
        <v>98</v>
      </c>
      <c r="B101" s="42">
        <v>8512400000</v>
      </c>
      <c r="C101" s="13" t="s">
        <v>14</v>
      </c>
      <c r="D101" s="38"/>
      <c r="E101" s="10">
        <v>116976.76700000002</v>
      </c>
      <c r="F101" s="9">
        <v>52131.368999999999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>
        <f t="shared" si="17"/>
        <v>169108.13600000003</v>
      </c>
      <c r="R101" s="43">
        <f t="shared" si="20"/>
        <v>4.5074366916259803E-4</v>
      </c>
      <c r="S101" s="40"/>
      <c r="T101" s="10">
        <v>39244.669000000002</v>
      </c>
      <c r="U101" s="10">
        <v>38630.69</v>
      </c>
      <c r="V101" s="16">
        <f t="shared" si="13"/>
        <v>-0.5543442485463802</v>
      </c>
      <c r="W101" s="17">
        <f t="shared" si="18"/>
        <v>-0.5543442485463802</v>
      </c>
      <c r="X101" s="16">
        <f t="shared" si="21"/>
        <v>0.34948065903042363</v>
      </c>
      <c r="Y101" s="17">
        <f t="shared" si="19"/>
        <v>0.34948065903042363</v>
      </c>
      <c r="Z101" s="38"/>
      <c r="AA101" s="10">
        <v>114338.421</v>
      </c>
      <c r="AB101" s="16">
        <f t="shared" si="22"/>
        <v>0.47901409273441009</v>
      </c>
      <c r="AC101" s="17">
        <f t="shared" si="23"/>
        <v>0.47901409273441009</v>
      </c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</row>
    <row r="102" spans="1:49" s="41" customFormat="1" x14ac:dyDescent="0.25">
      <c r="A102" s="6">
        <v>99</v>
      </c>
      <c r="B102" s="42">
        <v>8512901000</v>
      </c>
      <c r="C102" s="13" t="s">
        <v>14</v>
      </c>
      <c r="D102" s="38"/>
      <c r="E102" s="10">
        <v>179119.18</v>
      </c>
      <c r="F102" s="9">
        <v>191265.21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>
        <f t="shared" si="17"/>
        <v>370384.39</v>
      </c>
      <c r="R102" s="43">
        <f t="shared" si="20"/>
        <v>9.8722878093311065E-4</v>
      </c>
      <c r="S102" s="40"/>
      <c r="T102" s="10">
        <v>84133.695999999982</v>
      </c>
      <c r="U102" s="10">
        <v>105822.65600000002</v>
      </c>
      <c r="V102" s="16">
        <f t="shared" si="13"/>
        <v>6.7809767775846227E-2</v>
      </c>
      <c r="W102" s="17">
        <f t="shared" si="18"/>
        <v>6.7809767775846227E-2</v>
      </c>
      <c r="X102" s="16">
        <f t="shared" si="21"/>
        <v>0.80741267730040678</v>
      </c>
      <c r="Y102" s="17">
        <f t="shared" si="19"/>
        <v>0.80741267730040678</v>
      </c>
      <c r="Z102" s="38"/>
      <c r="AA102" s="10">
        <v>241791.57300000006</v>
      </c>
      <c r="AB102" s="16">
        <f t="shared" si="22"/>
        <v>0.53183332820288121</v>
      </c>
      <c r="AC102" s="17">
        <f t="shared" si="23"/>
        <v>0.53183332820288121</v>
      </c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</row>
    <row r="103" spans="1:49" s="41" customFormat="1" x14ac:dyDescent="0.25">
      <c r="A103" s="6">
        <v>100</v>
      </c>
      <c r="B103" s="42">
        <v>8512909000</v>
      </c>
      <c r="C103" s="13" t="s">
        <v>14</v>
      </c>
      <c r="D103" s="38"/>
      <c r="E103" s="10">
        <v>206475.18400000001</v>
      </c>
      <c r="F103" s="9">
        <v>137606.69399999999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>
        <f t="shared" si="17"/>
        <v>344081.87800000003</v>
      </c>
      <c r="R103" s="43">
        <f t="shared" si="20"/>
        <v>9.171216231848089E-4</v>
      </c>
      <c r="S103" s="40"/>
      <c r="T103" s="10">
        <v>141500.31100000002</v>
      </c>
      <c r="U103" s="10">
        <v>132746.45100000003</v>
      </c>
      <c r="V103" s="16">
        <f t="shared" si="13"/>
        <v>-0.33354366692318832</v>
      </c>
      <c r="W103" s="17">
        <f t="shared" si="18"/>
        <v>-0.33354366692318832</v>
      </c>
      <c r="X103" s="16">
        <f t="shared" si="21"/>
        <v>3.6612978828337618E-2</v>
      </c>
      <c r="Y103" s="17">
        <f t="shared" si="19"/>
        <v>3.6612978828337618E-2</v>
      </c>
      <c r="Z103" s="38"/>
      <c r="AA103" s="10">
        <v>348393.14899999998</v>
      </c>
      <c r="AB103" s="16">
        <f t="shared" si="22"/>
        <v>-1.2374729561630817E-2</v>
      </c>
      <c r="AC103" s="17">
        <f t="shared" si="23"/>
        <v>-1.2374729561630817E-2</v>
      </c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</row>
    <row r="104" spans="1:49" s="41" customFormat="1" x14ac:dyDescent="0.25">
      <c r="A104" s="6">
        <v>101</v>
      </c>
      <c r="B104" s="42">
        <v>8518290000</v>
      </c>
      <c r="C104" s="13" t="s">
        <v>6</v>
      </c>
      <c r="D104" s="38"/>
      <c r="E104" s="10">
        <v>1131841.8090000001</v>
      </c>
      <c r="F104" s="9">
        <v>523429.4769999999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>
        <f t="shared" si="17"/>
        <v>1655271.2860000001</v>
      </c>
      <c r="R104" s="43">
        <f t="shared" si="20"/>
        <v>4.4119879182580079E-3</v>
      </c>
      <c r="S104" s="40"/>
      <c r="T104" s="10">
        <v>804618.28099999996</v>
      </c>
      <c r="U104" s="10">
        <v>961426.33599999978</v>
      </c>
      <c r="V104" s="16">
        <f t="shared" si="13"/>
        <v>-0.53754184300502372</v>
      </c>
      <c r="W104" s="17">
        <f t="shared" si="18"/>
        <v>-0.53754184300502372</v>
      </c>
      <c r="X104" s="16">
        <f t="shared" si="21"/>
        <v>-0.45556985761621571</v>
      </c>
      <c r="Y104" s="17">
        <f t="shared" si="19"/>
        <v>-0.45556985761621571</v>
      </c>
      <c r="Z104" s="38"/>
      <c r="AA104" s="10">
        <v>1580159.5899999999</v>
      </c>
      <c r="AB104" s="16">
        <f t="shared" si="22"/>
        <v>4.7534246841485321E-2</v>
      </c>
      <c r="AC104" s="17">
        <f t="shared" si="23"/>
        <v>4.7534246841485321E-2</v>
      </c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</row>
    <row r="105" spans="1:49" s="41" customFormat="1" x14ac:dyDescent="0.25">
      <c r="A105" s="6">
        <v>102</v>
      </c>
      <c r="B105" s="42">
        <v>8531100000</v>
      </c>
      <c r="C105" s="13" t="s">
        <v>6</v>
      </c>
      <c r="D105" s="38"/>
      <c r="E105" s="10">
        <v>1878694.3980000003</v>
      </c>
      <c r="F105" s="9">
        <v>538983.32799999986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>
        <f t="shared" si="17"/>
        <v>2417677.7260000003</v>
      </c>
      <c r="R105" s="43">
        <f t="shared" si="20"/>
        <v>6.4441188629145926E-3</v>
      </c>
      <c r="S105" s="40"/>
      <c r="T105" s="10">
        <v>465416.56200000027</v>
      </c>
      <c r="U105" s="10">
        <v>709477.61400000018</v>
      </c>
      <c r="V105" s="16">
        <f t="shared" si="13"/>
        <v>-0.71310750243691312</v>
      </c>
      <c r="W105" s="17">
        <f t="shared" si="18"/>
        <v>-0.71310750243691312</v>
      </c>
      <c r="X105" s="16">
        <f t="shared" si="21"/>
        <v>-0.24030960616045635</v>
      </c>
      <c r="Y105" s="17">
        <f t="shared" si="19"/>
        <v>-0.24030960616045635</v>
      </c>
      <c r="Z105" s="38"/>
      <c r="AA105" s="10">
        <v>1153228.129</v>
      </c>
      <c r="AB105" s="16">
        <f t="shared" si="22"/>
        <v>1.0964435962002106</v>
      </c>
      <c r="AC105" s="17">
        <f t="shared" si="23"/>
        <v>1.0964435962002106</v>
      </c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</row>
    <row r="106" spans="1:49" s="41" customFormat="1" x14ac:dyDescent="0.25">
      <c r="A106" s="6">
        <v>103</v>
      </c>
      <c r="B106" s="42">
        <v>8536101000</v>
      </c>
      <c r="C106" s="13" t="s">
        <v>5</v>
      </c>
      <c r="D106" s="38"/>
      <c r="E106" s="10">
        <v>53396.927999999978</v>
      </c>
      <c r="F106" s="9">
        <v>45731.790999999997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>
        <f t="shared" si="17"/>
        <v>99128.718999999983</v>
      </c>
      <c r="R106" s="43">
        <f t="shared" si="20"/>
        <v>2.6421935442212034E-4</v>
      </c>
      <c r="S106" s="40"/>
      <c r="T106" s="10">
        <v>28138.829999999987</v>
      </c>
      <c r="U106" s="10">
        <v>76520.021000000008</v>
      </c>
      <c r="V106" s="16">
        <f t="shared" si="13"/>
        <v>-0.14355014955167428</v>
      </c>
      <c r="W106" s="17">
        <f t="shared" si="18"/>
        <v>-0.14355014955167428</v>
      </c>
      <c r="X106" s="16">
        <f t="shared" si="21"/>
        <v>-0.40235522151777775</v>
      </c>
      <c r="Y106" s="17">
        <f t="shared" si="19"/>
        <v>-0.40235522151777775</v>
      </c>
      <c r="Z106" s="38"/>
      <c r="AA106" s="10">
        <v>103578.45500000002</v>
      </c>
      <c r="AB106" s="16">
        <f t="shared" si="22"/>
        <v>-4.2960053806556903E-2</v>
      </c>
      <c r="AC106" s="17">
        <f t="shared" si="23"/>
        <v>-4.2960053806556903E-2</v>
      </c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</row>
    <row r="107" spans="1:49" s="41" customFormat="1" x14ac:dyDescent="0.25">
      <c r="A107" s="6">
        <v>104</v>
      </c>
      <c r="B107" s="42">
        <v>8536501100</v>
      </c>
      <c r="C107" s="13" t="s">
        <v>5</v>
      </c>
      <c r="D107" s="38"/>
      <c r="E107" s="10">
        <v>511950.22500000015</v>
      </c>
      <c r="F107" s="9">
        <v>682564.38700000034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>
        <f t="shared" si="17"/>
        <v>1194514.6120000004</v>
      </c>
      <c r="R107" s="43">
        <f t="shared" si="20"/>
        <v>3.1838793319868258E-3</v>
      </c>
      <c r="S107" s="40"/>
      <c r="T107" s="10">
        <v>478033.76299999992</v>
      </c>
      <c r="U107" s="10">
        <v>502710.20999999956</v>
      </c>
      <c r="V107" s="16">
        <f t="shared" si="13"/>
        <v>0.33326318393550886</v>
      </c>
      <c r="W107" s="17">
        <f t="shared" si="18"/>
        <v>0.33326318393550886</v>
      </c>
      <c r="X107" s="16">
        <f t="shared" si="21"/>
        <v>0.35776909524077688</v>
      </c>
      <c r="Y107" s="17">
        <f t="shared" si="19"/>
        <v>0.35776909524077688</v>
      </c>
      <c r="Z107" s="38"/>
      <c r="AA107" s="10">
        <v>1026951.3569999998</v>
      </c>
      <c r="AB107" s="16">
        <f t="shared" si="22"/>
        <v>0.16316571749756265</v>
      </c>
      <c r="AC107" s="17">
        <f t="shared" si="23"/>
        <v>0.16316571749756265</v>
      </c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</row>
    <row r="108" spans="1:49" s="41" customFormat="1" x14ac:dyDescent="0.25">
      <c r="A108" s="6">
        <v>105</v>
      </c>
      <c r="B108" s="42">
        <v>8539291000</v>
      </c>
      <c r="C108" s="13" t="s">
        <v>5</v>
      </c>
      <c r="D108" s="38"/>
      <c r="E108" s="10">
        <v>83087.528999999995</v>
      </c>
      <c r="F108" s="9">
        <v>198732.29200000002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>
        <f t="shared" si="17"/>
        <v>281819.821</v>
      </c>
      <c r="R108" s="43">
        <f t="shared" si="20"/>
        <v>7.5116728955185565E-4</v>
      </c>
      <c r="S108" s="40"/>
      <c r="T108" s="10">
        <v>142053.84400000001</v>
      </c>
      <c r="U108" s="10">
        <v>322867.55900000001</v>
      </c>
      <c r="V108" s="16">
        <f t="shared" si="13"/>
        <v>1.3918426073303976</v>
      </c>
      <c r="W108" s="17">
        <f t="shared" si="18"/>
        <v>1.3918426073303976</v>
      </c>
      <c r="X108" s="16">
        <f t="shared" si="21"/>
        <v>-0.38447736088592288</v>
      </c>
      <c r="Y108" s="17">
        <f t="shared" si="19"/>
        <v>-0.38447736088592288</v>
      </c>
      <c r="Z108" s="38"/>
      <c r="AA108" s="10">
        <v>538707.272</v>
      </c>
      <c r="AB108" s="16">
        <f t="shared" si="22"/>
        <v>-0.47685907421721235</v>
      </c>
      <c r="AC108" s="17">
        <f t="shared" si="23"/>
        <v>-0.47685907421721235</v>
      </c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</row>
    <row r="109" spans="1:49" s="41" customFormat="1" x14ac:dyDescent="0.25">
      <c r="A109" s="6">
        <v>106</v>
      </c>
      <c r="B109" s="42">
        <v>8544300000</v>
      </c>
      <c r="C109" s="13" t="s">
        <v>5</v>
      </c>
      <c r="D109" s="38"/>
      <c r="E109" s="10">
        <v>670499.06300000055</v>
      </c>
      <c r="F109" s="9">
        <v>688460.13800000004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>
        <f t="shared" si="17"/>
        <v>1358959.2010000006</v>
      </c>
      <c r="R109" s="43">
        <f t="shared" si="20"/>
        <v>3.6221927045604284E-3</v>
      </c>
      <c r="S109" s="40"/>
      <c r="T109" s="10">
        <v>900908.22199999972</v>
      </c>
      <c r="U109" s="10">
        <v>700321.36200000008</v>
      </c>
      <c r="V109" s="16">
        <f t="shared" si="13"/>
        <v>2.6787621327368616E-2</v>
      </c>
      <c r="W109" s="17">
        <f t="shared" si="18"/>
        <v>2.6787621327368616E-2</v>
      </c>
      <c r="X109" s="16">
        <f t="shared" si="21"/>
        <v>-1.6936830209100553E-2</v>
      </c>
      <c r="Y109" s="17">
        <f t="shared" si="19"/>
        <v>-1.6936830209100553E-2</v>
      </c>
      <c r="Z109" s="38"/>
      <c r="AA109" s="10">
        <v>1464597.8880000007</v>
      </c>
      <c r="AB109" s="16">
        <f t="shared" si="22"/>
        <v>-7.2128116437649881E-2</v>
      </c>
      <c r="AC109" s="17">
        <f t="shared" si="23"/>
        <v>-7.2128116437649881E-2</v>
      </c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</row>
    <row r="110" spans="1:49" s="41" customFormat="1" x14ac:dyDescent="0.25">
      <c r="A110" s="6">
        <v>107</v>
      </c>
      <c r="B110" s="42">
        <v>8708100000</v>
      </c>
      <c r="C110" s="13" t="s">
        <v>14</v>
      </c>
      <c r="D110" s="38"/>
      <c r="E110" s="10">
        <v>926593.34500000032</v>
      </c>
      <c r="F110" s="9">
        <v>852922.43600000034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>
        <f t="shared" si="17"/>
        <v>1779515.7810000007</v>
      </c>
      <c r="R110" s="43">
        <f t="shared" si="20"/>
        <v>4.7431512843396631E-3</v>
      </c>
      <c r="S110" s="40"/>
      <c r="T110" s="10">
        <v>781930.23799999978</v>
      </c>
      <c r="U110" s="10">
        <v>708668.14599999995</v>
      </c>
      <c r="V110" s="16">
        <f t="shared" si="13"/>
        <v>-7.9507271876639654E-2</v>
      </c>
      <c r="W110" s="17">
        <f t="shared" si="18"/>
        <v>-7.9507271876639654E-2</v>
      </c>
      <c r="X110" s="16">
        <f t="shared" si="21"/>
        <v>0.20355689868978588</v>
      </c>
      <c r="Y110" s="17">
        <f t="shared" si="19"/>
        <v>0.20355689868978588</v>
      </c>
      <c r="Z110" s="38"/>
      <c r="AA110" s="10">
        <v>1490924.0729999994</v>
      </c>
      <c r="AB110" s="16">
        <f t="shared" si="22"/>
        <v>0.1935656638901164</v>
      </c>
      <c r="AC110" s="17">
        <f t="shared" si="23"/>
        <v>0.1935656638901164</v>
      </c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</row>
    <row r="111" spans="1:49" s="41" customFormat="1" x14ac:dyDescent="0.25">
      <c r="A111" s="6">
        <v>108</v>
      </c>
      <c r="B111" s="42">
        <v>8708210000</v>
      </c>
      <c r="C111" s="13" t="s">
        <v>14</v>
      </c>
      <c r="D111" s="38"/>
      <c r="E111" s="10">
        <v>140082.11699999997</v>
      </c>
      <c r="F111" s="9">
        <v>75733.286000000007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>
        <f t="shared" si="17"/>
        <v>215815.40299999999</v>
      </c>
      <c r="R111" s="43">
        <f t="shared" si="20"/>
        <v>5.7523800398358565E-4</v>
      </c>
      <c r="S111" s="40"/>
      <c r="T111" s="10">
        <v>119865.81699999997</v>
      </c>
      <c r="U111" s="10">
        <v>84167.397999999972</v>
      </c>
      <c r="V111" s="16">
        <f t="shared" si="13"/>
        <v>-0.45936506656306442</v>
      </c>
      <c r="W111" s="17">
        <f t="shared" si="18"/>
        <v>-0.45936506656306442</v>
      </c>
      <c r="X111" s="16">
        <f t="shared" si="21"/>
        <v>-0.10020640058280009</v>
      </c>
      <c r="Y111" s="17">
        <f t="shared" si="19"/>
        <v>-0.10020640058280009</v>
      </c>
      <c r="Z111" s="38"/>
      <c r="AA111" s="10">
        <v>169815.52699999994</v>
      </c>
      <c r="AB111" s="16">
        <f t="shared" si="22"/>
        <v>0.27088144890307975</v>
      </c>
      <c r="AC111" s="17">
        <f t="shared" si="23"/>
        <v>0.27088144890307975</v>
      </c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</row>
    <row r="112" spans="1:49" s="41" customFormat="1" x14ac:dyDescent="0.25">
      <c r="A112" s="6">
        <v>109</v>
      </c>
      <c r="B112" s="42">
        <v>8708291000</v>
      </c>
      <c r="C112" s="13" t="s">
        <v>14</v>
      </c>
      <c r="D112" s="38"/>
      <c r="E112" s="10">
        <v>179420.75899999999</v>
      </c>
      <c r="F112" s="9">
        <v>194317.83699999997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>
        <f t="shared" si="17"/>
        <v>373738.59599999996</v>
      </c>
      <c r="R112" s="43">
        <f t="shared" si="20"/>
        <v>9.9616913800479627E-4</v>
      </c>
      <c r="S112" s="40"/>
      <c r="T112" s="10">
        <v>331426.86899999995</v>
      </c>
      <c r="U112" s="10">
        <v>137423.74400000004</v>
      </c>
      <c r="V112" s="16">
        <f t="shared" si="13"/>
        <v>8.3028731363241973E-2</v>
      </c>
      <c r="W112" s="17">
        <f t="shared" si="18"/>
        <v>8.3028731363241973E-2</v>
      </c>
      <c r="X112" s="16">
        <f t="shared" si="21"/>
        <v>0.41400482437736469</v>
      </c>
      <c r="Y112" s="17">
        <f t="shared" si="19"/>
        <v>0.41400482437736469</v>
      </c>
      <c r="Z112" s="38"/>
      <c r="AA112" s="10">
        <v>349373.56999999995</v>
      </c>
      <c r="AB112" s="16">
        <f t="shared" si="22"/>
        <v>6.9739179182901609E-2</v>
      </c>
      <c r="AC112" s="17">
        <f t="shared" si="23"/>
        <v>6.9739179182901609E-2</v>
      </c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</row>
    <row r="113" spans="1:49" s="41" customFormat="1" x14ac:dyDescent="0.25">
      <c r="A113" s="6">
        <v>110</v>
      </c>
      <c r="B113" s="42">
        <v>8708292000</v>
      </c>
      <c r="C113" s="13" t="s">
        <v>14</v>
      </c>
      <c r="D113" s="38"/>
      <c r="E113" s="10">
        <v>896978.49800000014</v>
      </c>
      <c r="F113" s="9">
        <v>792554.2519999994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>
        <f t="shared" si="17"/>
        <v>1689532.7499999995</v>
      </c>
      <c r="R113" s="43">
        <f t="shared" si="20"/>
        <v>4.5033090004928805E-3</v>
      </c>
      <c r="S113" s="40"/>
      <c r="T113" s="10">
        <v>770379.29600000021</v>
      </c>
      <c r="U113" s="10">
        <v>733186.25200000009</v>
      </c>
      <c r="V113" s="16">
        <f t="shared" si="13"/>
        <v>-0.11641778061886242</v>
      </c>
      <c r="W113" s="17">
        <f t="shared" si="18"/>
        <v>-0.11641778061886242</v>
      </c>
      <c r="X113" s="16">
        <f t="shared" si="21"/>
        <v>8.0972603943478327E-2</v>
      </c>
      <c r="Y113" s="17">
        <f t="shared" si="19"/>
        <v>8.0972603943478327E-2</v>
      </c>
      <c r="Z113" s="38"/>
      <c r="AA113" s="10">
        <v>1679429.5380000002</v>
      </c>
      <c r="AB113" s="16">
        <f t="shared" si="22"/>
        <v>6.0158594161866877E-3</v>
      </c>
      <c r="AC113" s="17">
        <f t="shared" si="23"/>
        <v>6.0158594161866877E-3</v>
      </c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</row>
    <row r="114" spans="1:49" s="41" customFormat="1" x14ac:dyDescent="0.25">
      <c r="A114" s="6">
        <v>111</v>
      </c>
      <c r="B114" s="42">
        <v>8708293000</v>
      </c>
      <c r="C114" s="13" t="s">
        <v>14</v>
      </c>
      <c r="D114" s="38"/>
      <c r="E114" s="10">
        <v>174607.27900000001</v>
      </c>
      <c r="F114" s="9">
        <v>150956.20400000006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>
        <f t="shared" si="17"/>
        <v>325563.48300000007</v>
      </c>
      <c r="R114" s="43">
        <f t="shared" si="20"/>
        <v>8.6776238177431702E-4</v>
      </c>
      <c r="S114" s="40"/>
      <c r="T114" s="10">
        <v>152232.56699999998</v>
      </c>
      <c r="U114" s="10">
        <v>124840.72500000003</v>
      </c>
      <c r="V114" s="16">
        <f t="shared" si="13"/>
        <v>-0.13545297272515169</v>
      </c>
      <c r="W114" s="17">
        <f t="shared" si="18"/>
        <v>-0.13545297272515169</v>
      </c>
      <c r="X114" s="16">
        <f t="shared" si="21"/>
        <v>0.20919038238523538</v>
      </c>
      <c r="Y114" s="17">
        <f t="shared" si="19"/>
        <v>0.20919038238523538</v>
      </c>
      <c r="Z114" s="38"/>
      <c r="AA114" s="10">
        <v>304974.59600000002</v>
      </c>
      <c r="AB114" s="16">
        <f t="shared" si="22"/>
        <v>6.7510170584831414E-2</v>
      </c>
      <c r="AC114" s="17">
        <f t="shared" si="23"/>
        <v>6.7510170584831414E-2</v>
      </c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</row>
    <row r="115" spans="1:49" s="41" customFormat="1" x14ac:dyDescent="0.25">
      <c r="A115" s="6">
        <v>112</v>
      </c>
      <c r="B115" s="42">
        <v>8708294000</v>
      </c>
      <c r="C115" s="13" t="s">
        <v>14</v>
      </c>
      <c r="D115" s="38"/>
      <c r="E115" s="10">
        <v>72075.960999999996</v>
      </c>
      <c r="F115" s="9">
        <v>49088.89699999999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>
        <f t="shared" si="17"/>
        <v>121164.85799999998</v>
      </c>
      <c r="R115" s="43">
        <f t="shared" si="20"/>
        <v>3.229548498393073E-4</v>
      </c>
      <c r="S115" s="40"/>
      <c r="T115" s="10">
        <v>29840.407999999992</v>
      </c>
      <c r="U115" s="10">
        <v>48863.204000000005</v>
      </c>
      <c r="V115" s="16">
        <f t="shared" si="13"/>
        <v>-0.31892830398751126</v>
      </c>
      <c r="W115" s="17">
        <f t="shared" si="18"/>
        <v>-0.31892830398751126</v>
      </c>
      <c r="X115" s="16">
        <f t="shared" si="21"/>
        <v>4.6188743578907503E-3</v>
      </c>
      <c r="Y115" s="17">
        <f t="shared" si="19"/>
        <v>4.6188743578907503E-3</v>
      </c>
      <c r="Z115" s="38"/>
      <c r="AA115" s="10">
        <v>122200.43099999998</v>
      </c>
      <c r="AB115" s="16">
        <f t="shared" si="22"/>
        <v>-8.4743809127809395E-3</v>
      </c>
      <c r="AC115" s="17">
        <f t="shared" si="23"/>
        <v>-8.4743809127809395E-3</v>
      </c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</row>
    <row r="116" spans="1:49" s="41" customFormat="1" x14ac:dyDescent="0.25">
      <c r="A116" s="6">
        <v>113</v>
      </c>
      <c r="B116" s="42">
        <v>8708299000</v>
      </c>
      <c r="C116" s="13" t="s">
        <v>14</v>
      </c>
      <c r="D116" s="38"/>
      <c r="E116" s="10">
        <v>1556919.9399999997</v>
      </c>
      <c r="F116" s="9">
        <v>1341036.8629999997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>
        <f t="shared" si="17"/>
        <v>2897956.8029999994</v>
      </c>
      <c r="R116" s="43">
        <f t="shared" si="20"/>
        <v>7.7242627904013546E-3</v>
      </c>
      <c r="S116" s="40"/>
      <c r="T116" s="10">
        <v>1541929.9330000011</v>
      </c>
      <c r="U116" s="10">
        <v>1138527.3729999999</v>
      </c>
      <c r="V116" s="16">
        <f t="shared" si="13"/>
        <v>-0.13866035847674998</v>
      </c>
      <c r="W116" s="17">
        <f t="shared" si="18"/>
        <v>-0.13866035847674998</v>
      </c>
      <c r="X116" s="16">
        <f t="shared" si="21"/>
        <v>0.17786967164995846</v>
      </c>
      <c r="Y116" s="17">
        <f t="shared" si="19"/>
        <v>0.17786967164995846</v>
      </c>
      <c r="Z116" s="38"/>
      <c r="AA116" s="10">
        <v>2466937.5099999998</v>
      </c>
      <c r="AB116" s="16">
        <f t="shared" si="22"/>
        <v>0.17471836690342418</v>
      </c>
      <c r="AC116" s="17">
        <f t="shared" si="23"/>
        <v>0.17471836690342418</v>
      </c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</row>
    <row r="117" spans="1:49" s="41" customFormat="1" x14ac:dyDescent="0.25">
      <c r="A117" s="6">
        <v>114</v>
      </c>
      <c r="B117" s="42">
        <v>8708301000</v>
      </c>
      <c r="C117" s="13" t="s">
        <v>8</v>
      </c>
      <c r="D117" s="38"/>
      <c r="E117" s="10">
        <v>2411201.7100000014</v>
      </c>
      <c r="F117" s="9">
        <v>1437400.8309999998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>
        <f t="shared" si="17"/>
        <v>3848602.5410000011</v>
      </c>
      <c r="R117" s="43">
        <f t="shared" si="20"/>
        <v>1.0258129925096202E-2</v>
      </c>
      <c r="S117" s="40"/>
      <c r="T117" s="10">
        <v>868153.77699999977</v>
      </c>
      <c r="U117" s="10">
        <v>1801920.5490000001</v>
      </c>
      <c r="V117" s="16">
        <f t="shared" si="13"/>
        <v>-0.40386537341996204</v>
      </c>
      <c r="W117" s="17">
        <f t="shared" si="18"/>
        <v>-0.40386537341996204</v>
      </c>
      <c r="X117" s="16">
        <f t="shared" si="21"/>
        <v>-0.20229511129239047</v>
      </c>
      <c r="Y117" s="17">
        <f t="shared" si="19"/>
        <v>-0.20229511129239047</v>
      </c>
      <c r="Z117" s="38"/>
      <c r="AA117" s="10">
        <v>2742867.3210000005</v>
      </c>
      <c r="AB117" s="16">
        <f t="shared" si="22"/>
        <v>0.40313113636020476</v>
      </c>
      <c r="AC117" s="17">
        <f t="shared" si="23"/>
        <v>0.40313113636020476</v>
      </c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</row>
    <row r="118" spans="1:49" s="41" customFormat="1" x14ac:dyDescent="0.25">
      <c r="A118" s="6">
        <v>115</v>
      </c>
      <c r="B118" s="42">
        <v>8708302500</v>
      </c>
      <c r="C118" s="13" t="s">
        <v>8</v>
      </c>
      <c r="D118" s="38"/>
      <c r="E118" s="10">
        <v>942905.63599999936</v>
      </c>
      <c r="F118" s="9">
        <v>984222.67700000049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>
        <f t="shared" si="17"/>
        <v>1927128.3129999998</v>
      </c>
      <c r="R118" s="43">
        <f t="shared" si="20"/>
        <v>5.1366002091628961E-3</v>
      </c>
      <c r="S118" s="40"/>
      <c r="T118" s="10">
        <v>784681.56500000006</v>
      </c>
      <c r="U118" s="10">
        <v>862803.09500000009</v>
      </c>
      <c r="V118" s="16">
        <f t="shared" si="13"/>
        <v>4.3818850394485458E-2</v>
      </c>
      <c r="W118" s="17">
        <f t="shared" si="18"/>
        <v>4.3818850394485458E-2</v>
      </c>
      <c r="X118" s="16">
        <f t="shared" si="21"/>
        <v>0.14072687349365662</v>
      </c>
      <c r="Y118" s="17">
        <f t="shared" si="19"/>
        <v>0.14072687349365662</v>
      </c>
      <c r="Z118" s="38"/>
      <c r="AA118" s="10">
        <v>1578829.898</v>
      </c>
      <c r="AB118" s="16">
        <f t="shared" si="22"/>
        <v>0.22060540875315993</v>
      </c>
      <c r="AC118" s="17">
        <f t="shared" si="23"/>
        <v>0.22060540875315993</v>
      </c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</row>
    <row r="119" spans="1:49" s="41" customFormat="1" x14ac:dyDescent="0.25">
      <c r="A119" s="6">
        <v>116</v>
      </c>
      <c r="B119" s="42">
        <v>8708302900</v>
      </c>
      <c r="C119" s="13" t="s">
        <v>8</v>
      </c>
      <c r="D119" s="38"/>
      <c r="E119" s="10">
        <v>2564108.1539999987</v>
      </c>
      <c r="F119" s="9">
        <v>1963992.4890000001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>
        <f t="shared" si="17"/>
        <v>4528100.6429999992</v>
      </c>
      <c r="R119" s="43">
        <f t="shared" si="20"/>
        <v>1.2069275591585604E-2</v>
      </c>
      <c r="S119" s="40"/>
      <c r="T119" s="10">
        <v>1461276.6840000001</v>
      </c>
      <c r="U119" s="10">
        <v>2219461.810000001</v>
      </c>
      <c r="V119" s="16">
        <f t="shared" si="13"/>
        <v>-0.23404459911873082</v>
      </c>
      <c r="W119" s="17">
        <f t="shared" si="18"/>
        <v>-0.23404459911873082</v>
      </c>
      <c r="X119" s="16">
        <f t="shared" si="21"/>
        <v>-0.11510417518740762</v>
      </c>
      <c r="Y119" s="17">
        <f t="shared" si="19"/>
        <v>-0.11510417518740762</v>
      </c>
      <c r="Z119" s="38"/>
      <c r="AA119" s="10">
        <v>4296916.847000001</v>
      </c>
      <c r="AB119" s="16">
        <f t="shared" si="22"/>
        <v>5.3802250365027407E-2</v>
      </c>
      <c r="AC119" s="17">
        <f t="shared" si="23"/>
        <v>5.3802250365027407E-2</v>
      </c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</row>
    <row r="120" spans="1:49" s="41" customFormat="1" x14ac:dyDescent="0.25">
      <c r="A120" s="6">
        <v>117</v>
      </c>
      <c r="B120" s="42">
        <v>8708401000</v>
      </c>
      <c r="C120" s="13" t="s">
        <v>9</v>
      </c>
      <c r="D120" s="38"/>
      <c r="E120" s="10">
        <v>622901.75899999973</v>
      </c>
      <c r="F120" s="9">
        <v>313050.261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>
        <f t="shared" si="17"/>
        <v>935952.01999999979</v>
      </c>
      <c r="R120" s="43">
        <f t="shared" si="20"/>
        <v>2.4947022516701692E-3</v>
      </c>
      <c r="S120" s="40"/>
      <c r="T120" s="10">
        <v>341010.90899999999</v>
      </c>
      <c r="U120" s="10">
        <v>396413.3</v>
      </c>
      <c r="V120" s="16">
        <f t="shared" si="13"/>
        <v>-0.49743236958815501</v>
      </c>
      <c r="W120" s="17">
        <f t="shared" si="18"/>
        <v>-0.49743236958815501</v>
      </c>
      <c r="X120" s="16">
        <f t="shared" si="21"/>
        <v>-0.21029324444966904</v>
      </c>
      <c r="Y120" s="17">
        <f t="shared" si="19"/>
        <v>-0.21029324444966904</v>
      </c>
      <c r="Z120" s="38"/>
      <c r="AA120" s="10">
        <v>728692.89000000013</v>
      </c>
      <c r="AB120" s="16">
        <f t="shared" si="22"/>
        <v>0.28442589854279987</v>
      </c>
      <c r="AC120" s="17">
        <f t="shared" si="23"/>
        <v>0.28442589854279987</v>
      </c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</row>
    <row r="121" spans="1:49" s="41" customFormat="1" x14ac:dyDescent="0.25">
      <c r="A121" s="6">
        <v>118</v>
      </c>
      <c r="B121" s="42">
        <v>8708409000</v>
      </c>
      <c r="C121" s="13" t="s">
        <v>9</v>
      </c>
      <c r="D121" s="38"/>
      <c r="E121" s="10">
        <v>1327388.4060000011</v>
      </c>
      <c r="F121" s="9">
        <v>1405699.9159999997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>
        <f t="shared" si="17"/>
        <v>2733088.3220000006</v>
      </c>
      <c r="R121" s="43">
        <f t="shared" si="20"/>
        <v>7.2848195689634255E-3</v>
      </c>
      <c r="S121" s="40"/>
      <c r="T121" s="10">
        <v>854664.55399999977</v>
      </c>
      <c r="U121" s="10">
        <v>1540736.7530000007</v>
      </c>
      <c r="V121" s="16">
        <f t="shared" si="13"/>
        <v>5.8996680734906576E-2</v>
      </c>
      <c r="W121" s="17">
        <f t="shared" si="18"/>
        <v>5.8996680734906576E-2</v>
      </c>
      <c r="X121" s="16">
        <f t="shared" si="21"/>
        <v>-8.7644327778296935E-2</v>
      </c>
      <c r="Y121" s="17">
        <f t="shared" si="19"/>
        <v>-8.7644327778296935E-2</v>
      </c>
      <c r="Z121" s="38"/>
      <c r="AA121" s="10">
        <v>2646149.0250000013</v>
      </c>
      <c r="AB121" s="16">
        <f t="shared" si="22"/>
        <v>3.2855026749674193E-2</v>
      </c>
      <c r="AC121" s="17">
        <f t="shared" si="23"/>
        <v>3.2855026749674193E-2</v>
      </c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s="41" customFormat="1" x14ac:dyDescent="0.25">
      <c r="A122" s="6">
        <v>119</v>
      </c>
      <c r="B122" s="42">
        <v>8708701000</v>
      </c>
      <c r="C122" s="13" t="s">
        <v>0</v>
      </c>
      <c r="D122" s="38"/>
      <c r="E122" s="10">
        <v>2940098.9809999987</v>
      </c>
      <c r="F122" s="9">
        <v>2598454.890000002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>
        <f t="shared" si="17"/>
        <v>5538553.8710000012</v>
      </c>
      <c r="R122" s="43">
        <f t="shared" si="20"/>
        <v>1.4762554615759297E-2</v>
      </c>
      <c r="S122" s="40"/>
      <c r="T122" s="10">
        <v>1016508.2800000003</v>
      </c>
      <c r="U122" s="10">
        <v>1059859.7440000006</v>
      </c>
      <c r="V122" s="16">
        <f t="shared" si="13"/>
        <v>-0.11620156097050696</v>
      </c>
      <c r="W122" s="17">
        <f t="shared" si="18"/>
        <v>-0.11620156097050696</v>
      </c>
      <c r="X122" s="16">
        <f t="shared" si="21"/>
        <v>1.451696938873452</v>
      </c>
      <c r="Y122" s="17">
        <f t="shared" si="19"/>
        <v>1.451696938873452</v>
      </c>
      <c r="Z122" s="38"/>
      <c r="AA122" s="10">
        <v>3088311.6860000007</v>
      </c>
      <c r="AB122" s="16">
        <f t="shared" si="22"/>
        <v>0.79339212946267368</v>
      </c>
      <c r="AC122" s="17">
        <f t="shared" si="23"/>
        <v>0.79339212946267368</v>
      </c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s="41" customFormat="1" x14ac:dyDescent="0.25">
      <c r="A123" s="6">
        <v>120</v>
      </c>
      <c r="B123" s="42">
        <v>8708702000</v>
      </c>
      <c r="C123" s="13" t="s">
        <v>6</v>
      </c>
      <c r="D123" s="38"/>
      <c r="E123" s="10">
        <v>113601.27</v>
      </c>
      <c r="F123" s="9">
        <v>72418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>
        <f t="shared" si="17"/>
        <v>186019.27000000002</v>
      </c>
      <c r="R123" s="43">
        <f t="shared" si="20"/>
        <v>4.9581889007840516E-4</v>
      </c>
      <c r="S123" s="40"/>
      <c r="T123" s="10">
        <v>163155.57800000001</v>
      </c>
      <c r="U123" s="10">
        <v>28464.853000000003</v>
      </c>
      <c r="V123" s="16">
        <f t="shared" si="13"/>
        <v>-0.36252473233793958</v>
      </c>
      <c r="W123" s="17">
        <f t="shared" si="18"/>
        <v>-0.36252473233793958</v>
      </c>
      <c r="X123" s="16">
        <f t="shared" si="21"/>
        <v>1.5441199362596389</v>
      </c>
      <c r="Y123" s="17">
        <f t="shared" si="19"/>
        <v>1.5441199362596389</v>
      </c>
      <c r="Z123" s="38"/>
      <c r="AA123" s="10">
        <v>87974.87000000001</v>
      </c>
      <c r="AB123" s="16">
        <f t="shared" si="22"/>
        <v>1.1144591631678455</v>
      </c>
      <c r="AC123" s="17">
        <f t="shared" si="23"/>
        <v>1.1144591631678455</v>
      </c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s="41" customFormat="1" x14ac:dyDescent="0.25">
      <c r="A124" s="6">
        <v>121</v>
      </c>
      <c r="B124" s="42">
        <v>8708802000</v>
      </c>
      <c r="C124" s="13" t="s">
        <v>3</v>
      </c>
      <c r="D124" s="38"/>
      <c r="E124" s="10">
        <v>3040741.9120000019</v>
      </c>
      <c r="F124" s="9">
        <v>2314460.6029999978</v>
      </c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>
        <f t="shared" si="17"/>
        <v>5355202.5149999997</v>
      </c>
      <c r="R124" s="43">
        <f t="shared" si="20"/>
        <v>1.4273846828516118E-2</v>
      </c>
      <c r="S124" s="40"/>
      <c r="T124" s="10">
        <v>1683151.53</v>
      </c>
      <c r="U124" s="10">
        <v>1638985.8519999981</v>
      </c>
      <c r="V124" s="16">
        <f t="shared" si="13"/>
        <v>-0.23885003397815618</v>
      </c>
      <c r="W124" s="17">
        <f t="shared" si="18"/>
        <v>-0.23885003397815618</v>
      </c>
      <c r="X124" s="16">
        <f t="shared" si="21"/>
        <v>0.41212970214217598</v>
      </c>
      <c r="Y124" s="17">
        <f t="shared" si="19"/>
        <v>0.41212970214217598</v>
      </c>
      <c r="Z124" s="38"/>
      <c r="AA124" s="10">
        <v>4102120.3269999991</v>
      </c>
      <c r="AB124" s="16">
        <f t="shared" si="22"/>
        <v>0.30547182630218367</v>
      </c>
      <c r="AC124" s="17">
        <f t="shared" si="23"/>
        <v>0.30547182630218367</v>
      </c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s="41" customFormat="1" x14ac:dyDescent="0.25">
      <c r="A125" s="6">
        <v>122</v>
      </c>
      <c r="B125" s="42">
        <v>8708910000</v>
      </c>
      <c r="C125" s="13" t="s">
        <v>11</v>
      </c>
      <c r="D125" s="38"/>
      <c r="E125" s="10">
        <v>1602007.0160000001</v>
      </c>
      <c r="F125" s="9">
        <v>1780374.1130000006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>
        <f t="shared" si="17"/>
        <v>3382381.1290000007</v>
      </c>
      <c r="R125" s="43">
        <f t="shared" si="20"/>
        <v>9.0154555342729994E-3</v>
      </c>
      <c r="S125" s="40"/>
      <c r="T125" s="10">
        <v>836444.01199999976</v>
      </c>
      <c r="U125" s="10">
        <v>1899020.9509999994</v>
      </c>
      <c r="V125" s="16">
        <f t="shared" si="13"/>
        <v>0.11133977268424181</v>
      </c>
      <c r="W125" s="17">
        <f t="shared" si="18"/>
        <v>0.11133977268424181</v>
      </c>
      <c r="X125" s="16">
        <f t="shared" si="21"/>
        <v>-6.2477898381016264E-2</v>
      </c>
      <c r="Y125" s="17">
        <f t="shared" si="19"/>
        <v>-6.2477898381016264E-2</v>
      </c>
      <c r="Z125" s="38"/>
      <c r="AA125" s="10">
        <v>3291796.4749999996</v>
      </c>
      <c r="AB125" s="16">
        <f t="shared" si="22"/>
        <v>2.7518303360477666E-2</v>
      </c>
      <c r="AC125" s="17">
        <f t="shared" si="23"/>
        <v>2.7518303360477666E-2</v>
      </c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s="41" customFormat="1" x14ac:dyDescent="0.25">
      <c r="A126" s="6">
        <v>123</v>
      </c>
      <c r="B126" s="42">
        <v>8708920000</v>
      </c>
      <c r="C126" s="13" t="s">
        <v>12</v>
      </c>
      <c r="D126" s="38"/>
      <c r="E126" s="10">
        <v>1003205.9310000002</v>
      </c>
      <c r="F126" s="9">
        <v>588193.99899999995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>
        <f t="shared" si="17"/>
        <v>1591399.9300000002</v>
      </c>
      <c r="R126" s="43">
        <f t="shared" si="20"/>
        <v>4.2417441320109026E-3</v>
      </c>
      <c r="S126" s="40"/>
      <c r="T126" s="10">
        <v>442032.86400000006</v>
      </c>
      <c r="U126" s="10">
        <v>928281.3459999999</v>
      </c>
      <c r="V126" s="16">
        <f t="shared" si="13"/>
        <v>-0.4136856842406369</v>
      </c>
      <c r="W126" s="17">
        <f t="shared" si="18"/>
        <v>-0.4136856842406369</v>
      </c>
      <c r="X126" s="16">
        <f t="shared" si="21"/>
        <v>-0.36636236251590043</v>
      </c>
      <c r="Y126" s="17">
        <f t="shared" si="19"/>
        <v>-0.36636236251590043</v>
      </c>
      <c r="Z126" s="38"/>
      <c r="AA126" s="10">
        <v>1754011.1189999999</v>
      </c>
      <c r="AB126" s="16">
        <f t="shared" si="22"/>
        <v>-9.2708185962189327E-2</v>
      </c>
      <c r="AC126" s="17">
        <f t="shared" si="23"/>
        <v>-9.2708185962189327E-2</v>
      </c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</row>
    <row r="127" spans="1:49" s="41" customFormat="1" x14ac:dyDescent="0.25">
      <c r="A127" s="6">
        <v>124</v>
      </c>
      <c r="B127" s="42">
        <v>8708931000</v>
      </c>
      <c r="C127" s="13" t="s">
        <v>9</v>
      </c>
      <c r="D127" s="38"/>
      <c r="E127" s="10">
        <v>602137.13699999999</v>
      </c>
      <c r="F127" s="9">
        <v>531666.61300000013</v>
      </c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>
        <f t="shared" si="17"/>
        <v>1133803.75</v>
      </c>
      <c r="R127" s="43">
        <f t="shared" si="20"/>
        <v>3.0220595795894347E-3</v>
      </c>
      <c r="S127" s="40"/>
      <c r="T127" s="10">
        <v>498882.35700000002</v>
      </c>
      <c r="U127" s="10">
        <v>608389.20799999987</v>
      </c>
      <c r="V127" s="16">
        <f t="shared" si="13"/>
        <v>-0.1170340104765866</v>
      </c>
      <c r="W127" s="17">
        <f t="shared" si="18"/>
        <v>-0.1170340104765866</v>
      </c>
      <c r="X127" s="16">
        <f t="shared" si="21"/>
        <v>-0.12610775140508371</v>
      </c>
      <c r="Y127" s="17">
        <f t="shared" si="19"/>
        <v>-0.12610775140508371</v>
      </c>
      <c r="Z127" s="38"/>
      <c r="AA127" s="10">
        <v>1123227.6029999999</v>
      </c>
      <c r="AB127" s="16">
        <f t="shared" si="22"/>
        <v>9.4158538943955369E-3</v>
      </c>
      <c r="AC127" s="17">
        <f t="shared" si="23"/>
        <v>9.4158538943955369E-3</v>
      </c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</row>
    <row r="128" spans="1:49" s="41" customFormat="1" x14ac:dyDescent="0.25">
      <c r="A128" s="6">
        <v>125</v>
      </c>
      <c r="B128" s="42">
        <v>8708939100</v>
      </c>
      <c r="C128" s="13" t="s">
        <v>9</v>
      </c>
      <c r="D128" s="38"/>
      <c r="E128" s="10">
        <v>2218768.5039999983</v>
      </c>
      <c r="F128" s="9">
        <v>2176681.5829999996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>
        <f t="shared" si="17"/>
        <v>4395450.0869999975</v>
      </c>
      <c r="R128" s="43">
        <f t="shared" si="20"/>
        <v>1.1715706569170861E-2</v>
      </c>
      <c r="S128" s="40"/>
      <c r="T128" s="10">
        <v>1513992.3550000002</v>
      </c>
      <c r="U128" s="10">
        <v>1768905.8959999995</v>
      </c>
      <c r="V128" s="16">
        <f t="shared" si="13"/>
        <v>-1.8968594931884217E-2</v>
      </c>
      <c r="W128" s="17">
        <f t="shared" si="18"/>
        <v>-1.8968594931884217E-2</v>
      </c>
      <c r="X128" s="16">
        <f t="shared" si="21"/>
        <v>0.23052423982649231</v>
      </c>
      <c r="Y128" s="17">
        <f t="shared" si="19"/>
        <v>0.23052423982649231</v>
      </c>
      <c r="Z128" s="38"/>
      <c r="AA128" s="10">
        <v>3597467.6739999996</v>
      </c>
      <c r="AB128" s="16">
        <f t="shared" si="22"/>
        <v>0.2218178133377712</v>
      </c>
      <c r="AC128" s="17">
        <f t="shared" si="23"/>
        <v>0.2218178133377712</v>
      </c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</row>
    <row r="129" spans="1:49" s="41" customFormat="1" x14ac:dyDescent="0.25">
      <c r="A129" s="6">
        <v>126</v>
      </c>
      <c r="B129" s="42">
        <v>8708939900</v>
      </c>
      <c r="C129" s="13" t="s">
        <v>9</v>
      </c>
      <c r="D129" s="38"/>
      <c r="E129" s="10">
        <v>1335830.2939999993</v>
      </c>
      <c r="F129" s="9">
        <v>1349967.2669999995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>
        <f t="shared" si="17"/>
        <v>2685797.5609999988</v>
      </c>
      <c r="R129" s="43">
        <f t="shared" si="20"/>
        <v>7.1587699794236747E-3</v>
      </c>
      <c r="S129" s="40"/>
      <c r="T129" s="10">
        <v>1087333.2480000001</v>
      </c>
      <c r="U129" s="10">
        <v>828377.64399999939</v>
      </c>
      <c r="V129" s="16">
        <f t="shared" si="13"/>
        <v>1.0582910915778527E-2</v>
      </c>
      <c r="W129" s="17">
        <f t="shared" si="18"/>
        <v>1.0582910915778527E-2</v>
      </c>
      <c r="X129" s="16">
        <f t="shared" si="21"/>
        <v>0.62965197911594117</v>
      </c>
      <c r="Y129" s="17">
        <f t="shared" si="19"/>
        <v>0.62965197911594117</v>
      </c>
      <c r="Z129" s="38"/>
      <c r="AA129" s="10">
        <v>2065830.0629999992</v>
      </c>
      <c r="AB129" s="16">
        <f t="shared" si="22"/>
        <v>0.30010575850546128</v>
      </c>
      <c r="AC129" s="17">
        <f t="shared" si="23"/>
        <v>0.30010575850546128</v>
      </c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</row>
    <row r="130" spans="1:49" s="41" customFormat="1" x14ac:dyDescent="0.25">
      <c r="A130" s="6">
        <v>127</v>
      </c>
      <c r="B130" s="42">
        <v>8708940000</v>
      </c>
      <c r="C130" s="13" t="s">
        <v>10</v>
      </c>
      <c r="D130" s="38"/>
      <c r="E130" s="10">
        <v>296822.76300000009</v>
      </c>
      <c r="F130" s="9">
        <v>311790.64900000003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>
        <f t="shared" si="17"/>
        <v>608613.41200000013</v>
      </c>
      <c r="R130" s="43">
        <f t="shared" si="20"/>
        <v>1.6222084218730198E-3</v>
      </c>
      <c r="S130" s="40"/>
      <c r="T130" s="10">
        <v>211885.60900000003</v>
      </c>
      <c r="U130" s="10">
        <v>213258.79199999999</v>
      </c>
      <c r="V130" s="16">
        <f t="shared" si="13"/>
        <v>5.0427015262302963E-2</v>
      </c>
      <c r="W130" s="17">
        <f t="shared" si="18"/>
        <v>5.0427015262302963E-2</v>
      </c>
      <c r="X130" s="16">
        <f t="shared" si="21"/>
        <v>0.46202951857665991</v>
      </c>
      <c r="Y130" s="17">
        <f t="shared" si="19"/>
        <v>0.46202951857665991</v>
      </c>
      <c r="Z130" s="38"/>
      <c r="AA130" s="10">
        <v>599330.28499999992</v>
      </c>
      <c r="AB130" s="16">
        <f t="shared" si="22"/>
        <v>1.5489167212700111E-2</v>
      </c>
      <c r="AC130" s="17">
        <f t="shared" si="23"/>
        <v>1.5489167212700111E-2</v>
      </c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</row>
    <row r="131" spans="1:49" s="41" customFormat="1" x14ac:dyDescent="0.25">
      <c r="A131" s="6">
        <v>128</v>
      </c>
      <c r="B131" s="42">
        <v>8708991100</v>
      </c>
      <c r="C131" s="13" t="s">
        <v>14</v>
      </c>
      <c r="D131" s="38"/>
      <c r="E131" s="10">
        <v>151184.177</v>
      </c>
      <c r="F131" s="9">
        <v>4208.1540000000005</v>
      </c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>
        <f t="shared" si="17"/>
        <v>155392.33100000001</v>
      </c>
      <c r="R131" s="43">
        <f t="shared" si="20"/>
        <v>4.1418533189123983E-4</v>
      </c>
      <c r="S131" s="40"/>
      <c r="T131" s="10">
        <v>2037777.9079999998</v>
      </c>
      <c r="U131" s="10">
        <v>2567.9389999999999</v>
      </c>
      <c r="V131" s="16">
        <f t="shared" si="13"/>
        <v>-0.97216538077261871</v>
      </c>
      <c r="W131" s="17">
        <f t="shared" si="18"/>
        <v>-0.97216538077261871</v>
      </c>
      <c r="X131" s="16">
        <f t="shared" si="21"/>
        <v>0.63872817851202879</v>
      </c>
      <c r="Y131" s="17">
        <f t="shared" si="19"/>
        <v>0.63872817851202879</v>
      </c>
      <c r="Z131" s="38"/>
      <c r="AA131" s="10">
        <v>9394.0429999999997</v>
      </c>
      <c r="AB131" s="16">
        <f t="shared" si="22"/>
        <v>15.541581830102333</v>
      </c>
      <c r="AC131" s="17">
        <f t="shared" si="23"/>
        <v>15.541581830102333</v>
      </c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</row>
    <row r="132" spans="1:49" s="41" customFormat="1" x14ac:dyDescent="0.25">
      <c r="A132" s="6">
        <v>129</v>
      </c>
      <c r="B132" s="42">
        <v>8708991900</v>
      </c>
      <c r="C132" s="13" t="s">
        <v>14</v>
      </c>
      <c r="D132" s="38"/>
      <c r="E132" s="10">
        <v>77828.962000000014</v>
      </c>
      <c r="F132" s="9">
        <v>43986.725999999995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>
        <f t="shared" si="17"/>
        <v>121815.68800000001</v>
      </c>
      <c r="R132" s="43">
        <f t="shared" ref="R132:R150" si="24">+Q132/$Q$151</f>
        <v>3.2468958306468624E-4</v>
      </c>
      <c r="S132" s="40"/>
      <c r="T132" s="10">
        <v>47484.366000000002</v>
      </c>
      <c r="U132" s="10">
        <v>45728.050999999999</v>
      </c>
      <c r="V132" s="16">
        <f t="shared" ref="V132:V151" si="25">+W132</f>
        <v>-0.43482830980066278</v>
      </c>
      <c r="W132" s="17">
        <f t="shared" si="18"/>
        <v>-0.43482830980066278</v>
      </c>
      <c r="X132" s="16">
        <f t="shared" ref="X132:X150" si="26">+Y132</f>
        <v>-3.8080017886614158E-2</v>
      </c>
      <c r="Y132" s="17">
        <f t="shared" si="19"/>
        <v>-3.8080017886614158E-2</v>
      </c>
      <c r="Z132" s="38"/>
      <c r="AA132" s="10">
        <v>91032.426000000007</v>
      </c>
      <c r="AB132" s="16">
        <f t="shared" ref="AB132:AB150" si="27">+AC132</f>
        <v>0.33815710898444035</v>
      </c>
      <c r="AC132" s="17">
        <f t="shared" ref="AC132:AC150" si="28">IFERROR((Q132-AA132)/AA132,0)</f>
        <v>0.33815710898444035</v>
      </c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</row>
    <row r="133" spans="1:49" s="41" customFormat="1" x14ac:dyDescent="0.25">
      <c r="A133" s="6">
        <v>130</v>
      </c>
      <c r="B133" s="42">
        <v>8708992100</v>
      </c>
      <c r="C133" s="13" t="s">
        <v>13</v>
      </c>
      <c r="D133" s="38"/>
      <c r="E133" s="10">
        <v>147708.23699999999</v>
      </c>
      <c r="F133" s="9">
        <v>123692.85900000001</v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>
        <f t="shared" ref="Q133:Q150" si="29">SUM(E133:P133)</f>
        <v>271401.09600000002</v>
      </c>
      <c r="R133" s="43">
        <f t="shared" si="24"/>
        <v>7.2339704475123839E-4</v>
      </c>
      <c r="S133" s="40"/>
      <c r="T133" s="10">
        <v>86554.302000000011</v>
      </c>
      <c r="U133" s="10">
        <v>183915.88199999998</v>
      </c>
      <c r="V133" s="16">
        <f t="shared" si="25"/>
        <v>-0.16258658614955904</v>
      </c>
      <c r="W133" s="17">
        <f t="shared" ref="W133:W151" si="30">IFERROR((F133-E133)/E133,0)</f>
        <v>-0.16258658614955904</v>
      </c>
      <c r="X133" s="16">
        <f t="shared" si="26"/>
        <v>-0.32744873550398423</v>
      </c>
      <c r="Y133" s="17">
        <f t="shared" ref="Y133:Y151" si="31">IFERROR((F133-U133)/U133,0)</f>
        <v>-0.32744873550398423</v>
      </c>
      <c r="Z133" s="38"/>
      <c r="AA133" s="10">
        <v>253737.64599999998</v>
      </c>
      <c r="AB133" s="16">
        <f t="shared" si="27"/>
        <v>6.9613044333200924E-2</v>
      </c>
      <c r="AC133" s="17">
        <f t="shared" si="28"/>
        <v>6.9613044333200924E-2</v>
      </c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</row>
    <row r="134" spans="1:49" s="41" customFormat="1" x14ac:dyDescent="0.25">
      <c r="A134" s="6">
        <v>131</v>
      </c>
      <c r="B134" s="42">
        <v>8708992900</v>
      </c>
      <c r="C134" s="13" t="s">
        <v>13</v>
      </c>
      <c r="D134" s="38"/>
      <c r="E134" s="10">
        <v>1428870.152</v>
      </c>
      <c r="F134" s="9">
        <v>718688.88399999996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>
        <f t="shared" si="29"/>
        <v>2147559.0359999998</v>
      </c>
      <c r="R134" s="43">
        <f t="shared" si="24"/>
        <v>5.7241399646787644E-3</v>
      </c>
      <c r="S134" s="40"/>
      <c r="T134" s="10">
        <v>1064554.8589999999</v>
      </c>
      <c r="U134" s="10">
        <v>1141966.0109999999</v>
      </c>
      <c r="V134" s="16">
        <f t="shared" si="25"/>
        <v>-0.49702295691876142</v>
      </c>
      <c r="W134" s="17">
        <f t="shared" si="30"/>
        <v>-0.49702295691876142</v>
      </c>
      <c r="X134" s="16">
        <f t="shared" si="26"/>
        <v>-0.37065650196483824</v>
      </c>
      <c r="Y134" s="17">
        <f t="shared" si="31"/>
        <v>-0.37065650196483824</v>
      </c>
      <c r="Z134" s="38"/>
      <c r="AA134" s="10">
        <v>1935088.0890000002</v>
      </c>
      <c r="AB134" s="16">
        <f t="shared" si="27"/>
        <v>0.10979910847872501</v>
      </c>
      <c r="AC134" s="17">
        <f t="shared" si="28"/>
        <v>0.10979910847872501</v>
      </c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</row>
    <row r="135" spans="1:49" s="41" customFormat="1" x14ac:dyDescent="0.25">
      <c r="A135" s="6">
        <v>132</v>
      </c>
      <c r="B135" s="42">
        <v>8708993100</v>
      </c>
      <c r="C135" s="13" t="s">
        <v>10</v>
      </c>
      <c r="D135" s="38"/>
      <c r="E135" s="10">
        <v>52069.811000000002</v>
      </c>
      <c r="F135" s="9">
        <v>76451.663</v>
      </c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>
        <f t="shared" si="29"/>
        <v>128521.474</v>
      </c>
      <c r="R135" s="43">
        <f t="shared" si="24"/>
        <v>3.4256329782350294E-4</v>
      </c>
      <c r="S135" s="40"/>
      <c r="T135" s="10">
        <v>24326.242000000002</v>
      </c>
      <c r="U135" s="10">
        <v>74212.005000000019</v>
      </c>
      <c r="V135" s="16">
        <f t="shared" si="25"/>
        <v>0.46825313039834154</v>
      </c>
      <c r="W135" s="17">
        <f t="shared" si="30"/>
        <v>0.46825313039834154</v>
      </c>
      <c r="X135" s="16">
        <f t="shared" si="26"/>
        <v>3.0179187316121975E-2</v>
      </c>
      <c r="Y135" s="17">
        <f t="shared" si="31"/>
        <v>3.0179187316121975E-2</v>
      </c>
      <c r="Z135" s="38"/>
      <c r="AA135" s="10">
        <v>125265.23200000002</v>
      </c>
      <c r="AB135" s="16">
        <f t="shared" si="27"/>
        <v>2.5994778822586488E-2</v>
      </c>
      <c r="AC135" s="17">
        <f t="shared" si="28"/>
        <v>2.5994778822586488E-2</v>
      </c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</row>
    <row r="136" spans="1:49" s="41" customFormat="1" x14ac:dyDescent="0.25">
      <c r="A136" s="6">
        <v>133</v>
      </c>
      <c r="B136" s="42">
        <v>8708993200</v>
      </c>
      <c r="C136" s="13" t="s">
        <v>10</v>
      </c>
      <c r="D136" s="38"/>
      <c r="E136" s="10">
        <v>438089.22199999989</v>
      </c>
      <c r="F136" s="9">
        <v>197466.965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>
        <f t="shared" si="29"/>
        <v>635556.18699999992</v>
      </c>
      <c r="R136" s="43">
        <f t="shared" si="24"/>
        <v>1.694022147387221E-3</v>
      </c>
      <c r="S136" s="40"/>
      <c r="T136" s="10">
        <v>307798.53600000002</v>
      </c>
      <c r="U136" s="10">
        <v>166153.91300000003</v>
      </c>
      <c r="V136" s="16">
        <f t="shared" si="25"/>
        <v>-0.54925399876648862</v>
      </c>
      <c r="W136" s="17">
        <f t="shared" si="30"/>
        <v>-0.54925399876648862</v>
      </c>
      <c r="X136" s="16">
        <f t="shared" si="26"/>
        <v>0.18845810751384448</v>
      </c>
      <c r="Y136" s="17">
        <f t="shared" si="31"/>
        <v>0.18845810751384448</v>
      </c>
      <c r="Z136" s="38"/>
      <c r="AA136" s="10">
        <v>371160.58499999996</v>
      </c>
      <c r="AB136" s="16">
        <f t="shared" si="27"/>
        <v>0.71234827372631704</v>
      </c>
      <c r="AC136" s="17">
        <f t="shared" si="28"/>
        <v>0.71234827372631704</v>
      </c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</row>
    <row r="137" spans="1:49" s="41" customFormat="1" x14ac:dyDescent="0.25">
      <c r="A137" s="6">
        <v>134</v>
      </c>
      <c r="B137" s="42">
        <v>8708993300</v>
      </c>
      <c r="C137" s="13" t="s">
        <v>10</v>
      </c>
      <c r="D137" s="38"/>
      <c r="E137" s="10">
        <v>338546.18800000008</v>
      </c>
      <c r="F137" s="9">
        <v>461363.446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>
        <f t="shared" si="29"/>
        <v>799909.63400000008</v>
      </c>
      <c r="R137" s="43">
        <f t="shared" si="24"/>
        <v>2.1320925885415167E-3</v>
      </c>
      <c r="S137" s="40"/>
      <c r="T137" s="10">
        <v>158139.77399999998</v>
      </c>
      <c r="U137" s="10">
        <v>195582.73600000012</v>
      </c>
      <c r="V137" s="16">
        <f t="shared" si="25"/>
        <v>0.36277844014595695</v>
      </c>
      <c r="W137" s="17">
        <f t="shared" si="30"/>
        <v>0.36277844014595695</v>
      </c>
      <c r="X137" s="16">
        <f t="shared" si="26"/>
        <v>1.3589170262962253</v>
      </c>
      <c r="Y137" s="17">
        <f t="shared" si="31"/>
        <v>1.3589170262962253</v>
      </c>
      <c r="Z137" s="38"/>
      <c r="AA137" s="10">
        <v>395627.56400000013</v>
      </c>
      <c r="AB137" s="16">
        <f t="shared" si="27"/>
        <v>1.0218753868221371</v>
      </c>
      <c r="AC137" s="17">
        <f t="shared" si="28"/>
        <v>1.0218753868221371</v>
      </c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</row>
    <row r="138" spans="1:49" s="41" customFormat="1" x14ac:dyDescent="0.25">
      <c r="A138" s="6">
        <v>135</v>
      </c>
      <c r="B138" s="42">
        <v>8708993900</v>
      </c>
      <c r="C138" s="13" t="s">
        <v>10</v>
      </c>
      <c r="D138" s="38"/>
      <c r="E138" s="10">
        <v>972521.9439999999</v>
      </c>
      <c r="F138" s="9">
        <v>820014.32600000023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>
        <f t="shared" si="29"/>
        <v>1792536.27</v>
      </c>
      <c r="R138" s="43">
        <f t="shared" si="24"/>
        <v>4.777856314653231E-3</v>
      </c>
      <c r="S138" s="40"/>
      <c r="T138" s="10">
        <v>738290.14299999981</v>
      </c>
      <c r="U138" s="10">
        <v>1167549.56</v>
      </c>
      <c r="V138" s="16">
        <f t="shared" si="25"/>
        <v>-0.15681663425786893</v>
      </c>
      <c r="W138" s="17">
        <f t="shared" si="30"/>
        <v>-0.15681663425786893</v>
      </c>
      <c r="X138" s="16">
        <f t="shared" si="26"/>
        <v>-0.2976620829697369</v>
      </c>
      <c r="Y138" s="17">
        <f t="shared" si="31"/>
        <v>-0.2976620829697369</v>
      </c>
      <c r="Z138" s="38"/>
      <c r="AA138" s="10">
        <v>2942438.8020000011</v>
      </c>
      <c r="AB138" s="16">
        <f t="shared" si="27"/>
        <v>-0.39079913275287231</v>
      </c>
      <c r="AC138" s="17">
        <f t="shared" si="28"/>
        <v>-0.39079913275287231</v>
      </c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</row>
    <row r="139" spans="1:49" s="41" customFormat="1" x14ac:dyDescent="0.25">
      <c r="A139" s="6">
        <v>136</v>
      </c>
      <c r="B139" s="42">
        <v>8708995000</v>
      </c>
      <c r="C139" s="13" t="s">
        <v>14</v>
      </c>
      <c r="D139" s="38"/>
      <c r="E139" s="10">
        <v>335824.06500000018</v>
      </c>
      <c r="F139" s="9">
        <v>89188.951000000001</v>
      </c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>
        <f t="shared" si="29"/>
        <v>425013.01600000018</v>
      </c>
      <c r="R139" s="43">
        <f t="shared" si="24"/>
        <v>1.1328368392263637E-3</v>
      </c>
      <c r="S139" s="40"/>
      <c r="T139" s="10">
        <v>72604.507000000012</v>
      </c>
      <c r="U139" s="10">
        <v>102613.28</v>
      </c>
      <c r="V139" s="16">
        <f t="shared" si="25"/>
        <v>-0.73441763025529472</v>
      </c>
      <c r="W139" s="17">
        <f t="shared" si="30"/>
        <v>-0.73441763025529472</v>
      </c>
      <c r="X139" s="16">
        <f t="shared" si="26"/>
        <v>-0.13082448002831601</v>
      </c>
      <c r="Y139" s="17">
        <f t="shared" si="31"/>
        <v>-0.13082448002831601</v>
      </c>
      <c r="Z139" s="38"/>
      <c r="AA139" s="10">
        <v>131263.10800000001</v>
      </c>
      <c r="AB139" s="16">
        <f t="shared" si="27"/>
        <v>2.2378710398964512</v>
      </c>
      <c r="AC139" s="17">
        <f t="shared" si="28"/>
        <v>2.2378710398964512</v>
      </c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</row>
    <row r="140" spans="1:49" s="41" customFormat="1" x14ac:dyDescent="0.25">
      <c r="A140" s="6">
        <v>137</v>
      </c>
      <c r="B140" s="42">
        <v>8714940000</v>
      </c>
      <c r="C140" s="13" t="s">
        <v>8</v>
      </c>
      <c r="D140" s="38"/>
      <c r="E140" s="10">
        <v>122342.67200000002</v>
      </c>
      <c r="F140" s="9">
        <v>135379.66700000002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>
        <f t="shared" si="29"/>
        <v>257722.33900000004</v>
      </c>
      <c r="R140" s="43">
        <f t="shared" si="24"/>
        <v>6.8693745584202373E-4</v>
      </c>
      <c r="S140" s="40"/>
      <c r="T140" s="10">
        <v>160692.09599999996</v>
      </c>
      <c r="U140" s="10">
        <v>149148.52299999993</v>
      </c>
      <c r="V140" s="16">
        <f t="shared" si="25"/>
        <v>0.10656130675321521</v>
      </c>
      <c r="W140" s="17">
        <f t="shared" si="30"/>
        <v>0.10656130675321521</v>
      </c>
      <c r="X140" s="16">
        <f t="shared" si="26"/>
        <v>-9.2316408657965185E-2</v>
      </c>
      <c r="Y140" s="17">
        <f t="shared" si="31"/>
        <v>-9.2316408657965185E-2</v>
      </c>
      <c r="Z140" s="38"/>
      <c r="AA140" s="10">
        <v>320598.90700000001</v>
      </c>
      <c r="AB140" s="16">
        <f t="shared" si="27"/>
        <v>-0.19612221572545777</v>
      </c>
      <c r="AC140" s="17">
        <f t="shared" si="28"/>
        <v>-0.19612221572545777</v>
      </c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</row>
    <row r="141" spans="1:49" s="41" customFormat="1" x14ac:dyDescent="0.25">
      <c r="A141" s="6">
        <v>138</v>
      </c>
      <c r="B141" s="42">
        <v>9025191200</v>
      </c>
      <c r="C141" s="13" t="s">
        <v>6</v>
      </c>
      <c r="D141" s="38"/>
      <c r="E141" s="10">
        <v>43316.618000000002</v>
      </c>
      <c r="F141" s="9">
        <v>60090.804999999978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>
        <f t="shared" si="29"/>
        <v>103407.42299999998</v>
      </c>
      <c r="R141" s="43">
        <f t="shared" si="24"/>
        <v>2.7562388400797475E-4</v>
      </c>
      <c r="S141" s="40"/>
      <c r="T141" s="10">
        <v>11976.763999999997</v>
      </c>
      <c r="U141" s="10">
        <v>60723.546000000002</v>
      </c>
      <c r="V141" s="16">
        <f t="shared" si="25"/>
        <v>0.38724599875271831</v>
      </c>
      <c r="W141" s="17">
        <f t="shared" si="30"/>
        <v>0.38724599875271831</v>
      </c>
      <c r="X141" s="16">
        <f t="shared" si="26"/>
        <v>-1.0420027183524881E-2</v>
      </c>
      <c r="Y141" s="17">
        <f t="shared" si="31"/>
        <v>-1.0420027183524881E-2</v>
      </c>
      <c r="Z141" s="38"/>
      <c r="AA141" s="10">
        <v>89611.344000000012</v>
      </c>
      <c r="AB141" s="16">
        <f t="shared" si="27"/>
        <v>0.15395460422957127</v>
      </c>
      <c r="AC141" s="17">
        <f t="shared" si="28"/>
        <v>0.15395460422957127</v>
      </c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</row>
    <row r="142" spans="1:49" s="41" customFormat="1" x14ac:dyDescent="0.25">
      <c r="A142" s="6">
        <v>139</v>
      </c>
      <c r="B142" s="42">
        <v>9026101100</v>
      </c>
      <c r="C142" s="13" t="s">
        <v>6</v>
      </c>
      <c r="D142" s="38"/>
      <c r="E142" s="10">
        <v>30965.165999999997</v>
      </c>
      <c r="F142" s="9">
        <v>61082.910000000018</v>
      </c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>
        <f t="shared" si="29"/>
        <v>92048.076000000015</v>
      </c>
      <c r="R142" s="43">
        <f t="shared" si="24"/>
        <v>2.4534648951247197E-4</v>
      </c>
      <c r="S142" s="40"/>
      <c r="T142" s="10">
        <v>77118.692000000025</v>
      </c>
      <c r="U142" s="10">
        <v>51148.892000000007</v>
      </c>
      <c r="V142" s="16">
        <f t="shared" si="25"/>
        <v>0.9726330548332931</v>
      </c>
      <c r="W142" s="17">
        <f t="shared" si="30"/>
        <v>0.9726330548332931</v>
      </c>
      <c r="X142" s="16">
        <f t="shared" si="26"/>
        <v>0.19421765773538183</v>
      </c>
      <c r="Y142" s="17">
        <f t="shared" si="31"/>
        <v>0.19421765773538183</v>
      </c>
      <c r="Z142" s="38"/>
      <c r="AA142" s="10">
        <v>75625.895000000019</v>
      </c>
      <c r="AB142" s="16">
        <f t="shared" si="27"/>
        <v>0.21715023670133085</v>
      </c>
      <c r="AC142" s="17">
        <f t="shared" si="28"/>
        <v>0.21715023670133085</v>
      </c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</row>
    <row r="143" spans="1:49" s="41" customFormat="1" x14ac:dyDescent="0.25">
      <c r="A143" s="6">
        <v>140</v>
      </c>
      <c r="B143" s="42">
        <v>9029201000</v>
      </c>
      <c r="C143" s="13" t="s">
        <v>6</v>
      </c>
      <c r="D143" s="38"/>
      <c r="E143" s="10">
        <v>46603.862999999998</v>
      </c>
      <c r="F143" s="9">
        <v>14963.098999999998</v>
      </c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>
        <f t="shared" si="29"/>
        <v>61566.962</v>
      </c>
      <c r="R143" s="43">
        <f t="shared" si="24"/>
        <v>1.6410161573228056E-4</v>
      </c>
      <c r="S143" s="40"/>
      <c r="T143" s="10">
        <v>16849.873</v>
      </c>
      <c r="U143" s="10">
        <v>60103.127000000008</v>
      </c>
      <c r="V143" s="16">
        <f t="shared" si="25"/>
        <v>-0.67893007066817612</v>
      </c>
      <c r="W143" s="17">
        <f t="shared" si="30"/>
        <v>-0.67893007066817612</v>
      </c>
      <c r="X143" s="16">
        <f t="shared" si="26"/>
        <v>-0.75104291994657779</v>
      </c>
      <c r="Y143" s="17">
        <f t="shared" si="31"/>
        <v>-0.75104291994657779</v>
      </c>
      <c r="Z143" s="38"/>
      <c r="AA143" s="10">
        <v>70686.758000000002</v>
      </c>
      <c r="AB143" s="16">
        <f t="shared" si="27"/>
        <v>-0.12901703597723355</v>
      </c>
      <c r="AC143" s="17">
        <f t="shared" si="28"/>
        <v>-0.12901703597723355</v>
      </c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</row>
    <row r="144" spans="1:49" s="41" customFormat="1" x14ac:dyDescent="0.25">
      <c r="A144" s="6">
        <v>141</v>
      </c>
      <c r="B144" s="42">
        <v>9029202000</v>
      </c>
      <c r="C144" s="13" t="s">
        <v>6</v>
      </c>
      <c r="D144" s="38"/>
      <c r="E144" s="10">
        <v>65942.845000000016</v>
      </c>
      <c r="F144" s="9">
        <v>106385.675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>
        <f t="shared" si="29"/>
        <v>172328.52000000002</v>
      </c>
      <c r="R144" s="43">
        <f t="shared" si="24"/>
        <v>4.5932733482533422E-4</v>
      </c>
      <c r="S144" s="40"/>
      <c r="T144" s="10">
        <v>64867.785999999993</v>
      </c>
      <c r="U144" s="10">
        <v>79625.680000000008</v>
      </c>
      <c r="V144" s="16">
        <f t="shared" si="25"/>
        <v>0.6133012611148333</v>
      </c>
      <c r="W144" s="17">
        <f t="shared" si="30"/>
        <v>0.6133012611148333</v>
      </c>
      <c r="X144" s="16">
        <f t="shared" si="26"/>
        <v>0.3360724203548402</v>
      </c>
      <c r="Y144" s="17">
        <f t="shared" si="31"/>
        <v>0.3360724203548402</v>
      </c>
      <c r="Z144" s="38"/>
      <c r="AA144" s="10">
        <v>200094.86300000001</v>
      </c>
      <c r="AB144" s="16">
        <f t="shared" si="27"/>
        <v>-0.13876589625391827</v>
      </c>
      <c r="AC144" s="17">
        <f t="shared" si="28"/>
        <v>-0.13876589625391827</v>
      </c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</row>
    <row r="145" spans="1:49" s="41" customFormat="1" x14ac:dyDescent="0.25">
      <c r="A145" s="6">
        <v>142</v>
      </c>
      <c r="B145" s="42">
        <v>9029209000</v>
      </c>
      <c r="C145" s="13" t="s">
        <v>6</v>
      </c>
      <c r="D145" s="38"/>
      <c r="E145" s="10">
        <v>193266.25500000003</v>
      </c>
      <c r="F145" s="9">
        <v>107333.88299999997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>
        <f t="shared" si="29"/>
        <v>300600.13800000004</v>
      </c>
      <c r="R145" s="43">
        <f t="shared" si="24"/>
        <v>8.0122466226523431E-4</v>
      </c>
      <c r="S145" s="40"/>
      <c r="T145" s="10">
        <v>72807.811000000002</v>
      </c>
      <c r="U145" s="10">
        <v>46625.614000000001</v>
      </c>
      <c r="V145" s="16">
        <f t="shared" si="25"/>
        <v>-0.44463205436458653</v>
      </c>
      <c r="W145" s="17">
        <f t="shared" si="30"/>
        <v>-0.44463205436458653</v>
      </c>
      <c r="X145" s="16">
        <f t="shared" si="26"/>
        <v>1.302036880415129</v>
      </c>
      <c r="Y145" s="17">
        <f t="shared" si="31"/>
        <v>1.302036880415129</v>
      </c>
      <c r="Z145" s="38"/>
      <c r="AA145" s="10">
        <v>170168.21900000001</v>
      </c>
      <c r="AB145" s="16">
        <f t="shared" si="27"/>
        <v>0.766488124318913</v>
      </c>
      <c r="AC145" s="17">
        <f t="shared" si="28"/>
        <v>0.766488124318913</v>
      </c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</row>
    <row r="146" spans="1:49" s="41" customFormat="1" x14ac:dyDescent="0.25">
      <c r="A146" s="6">
        <v>143</v>
      </c>
      <c r="B146" s="42">
        <v>9029901000</v>
      </c>
      <c r="C146" s="13" t="s">
        <v>6</v>
      </c>
      <c r="D146" s="38"/>
      <c r="E146" s="10">
        <v>195831.76700000005</v>
      </c>
      <c r="F146" s="9">
        <v>42961.101000000002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>
        <f t="shared" si="29"/>
        <v>238792.86800000005</v>
      </c>
      <c r="R146" s="43">
        <f t="shared" si="24"/>
        <v>6.3648252554909573E-4</v>
      </c>
      <c r="S146" s="40"/>
      <c r="T146" s="10">
        <v>41845.09699999998</v>
      </c>
      <c r="U146" s="10">
        <v>157165.44</v>
      </c>
      <c r="V146" s="16">
        <f t="shared" si="25"/>
        <v>-0.78062241045907543</v>
      </c>
      <c r="W146" s="17">
        <f t="shared" si="30"/>
        <v>-0.78062241045907543</v>
      </c>
      <c r="X146" s="16">
        <f t="shared" si="26"/>
        <v>-0.72665045826868813</v>
      </c>
      <c r="Y146" s="17">
        <f t="shared" si="31"/>
        <v>-0.72665045826868813</v>
      </c>
      <c r="Z146" s="38"/>
      <c r="AA146" s="10">
        <v>346697.717</v>
      </c>
      <c r="AB146" s="16">
        <f t="shared" si="27"/>
        <v>-0.31123611062024953</v>
      </c>
      <c r="AC146" s="17">
        <f t="shared" si="28"/>
        <v>-0.31123611062024953</v>
      </c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</row>
    <row r="147" spans="1:49" s="41" customFormat="1" x14ac:dyDescent="0.25">
      <c r="A147" s="6">
        <v>144</v>
      </c>
      <c r="B147" s="42">
        <v>9031802000</v>
      </c>
      <c r="C147" s="13" t="s">
        <v>6</v>
      </c>
      <c r="D147" s="38"/>
      <c r="E147" s="10">
        <v>69473.921999999991</v>
      </c>
      <c r="F147" s="9">
        <v>88472.847000000009</v>
      </c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>
        <f t="shared" si="29"/>
        <v>157946.769</v>
      </c>
      <c r="R147" s="43">
        <f t="shared" si="24"/>
        <v>4.2099397388802918E-4</v>
      </c>
      <c r="S147" s="40"/>
      <c r="T147" s="10">
        <v>59477.988999999994</v>
      </c>
      <c r="U147" s="10">
        <v>75820.635999999984</v>
      </c>
      <c r="V147" s="16">
        <f t="shared" si="25"/>
        <v>0.27346843899211593</v>
      </c>
      <c r="W147" s="17">
        <f t="shared" si="30"/>
        <v>0.27346843899211593</v>
      </c>
      <c r="X147" s="16">
        <f t="shared" si="26"/>
        <v>0.16687028317726096</v>
      </c>
      <c r="Y147" s="17">
        <f t="shared" si="31"/>
        <v>0.16687028317726096</v>
      </c>
      <c r="Z147" s="38"/>
      <c r="AA147" s="10">
        <v>168199.28600000002</v>
      </c>
      <c r="AB147" s="16">
        <f t="shared" si="27"/>
        <v>-6.0954580984368865E-2</v>
      </c>
      <c r="AC147" s="17">
        <f t="shared" si="28"/>
        <v>-6.0954580984368865E-2</v>
      </c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</row>
    <row r="148" spans="1:49" s="41" customFormat="1" x14ac:dyDescent="0.25">
      <c r="A148" s="6">
        <v>145</v>
      </c>
      <c r="B148" s="42">
        <v>9032891100</v>
      </c>
      <c r="C148" s="13" t="s">
        <v>6</v>
      </c>
      <c r="D148" s="38"/>
      <c r="E148" s="10">
        <v>350834.60600000003</v>
      </c>
      <c r="F148" s="9">
        <v>266269.01899999997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>
        <f t="shared" ref="Q148" si="32">SUM(E148:P148)</f>
        <v>617103.625</v>
      </c>
      <c r="R148" s="43">
        <f t="shared" si="24"/>
        <v>1.6448383783618781E-3</v>
      </c>
      <c r="S148" s="40"/>
      <c r="T148" s="10">
        <v>70813.158999999985</v>
      </c>
      <c r="U148" s="10">
        <v>150408.54199999999</v>
      </c>
      <c r="V148" s="16">
        <f t="shared" ref="V148" si="33">+W148</f>
        <v>-0.24104117881689258</v>
      </c>
      <c r="W148" s="17">
        <f t="shared" si="30"/>
        <v>-0.24104117881689258</v>
      </c>
      <c r="X148" s="16">
        <f t="shared" ref="X148" si="34">+Y148</f>
        <v>0.77030516657757375</v>
      </c>
      <c r="Y148" s="17">
        <f t="shared" si="31"/>
        <v>0.77030516657757375</v>
      </c>
      <c r="Z148" s="38"/>
      <c r="AA148" s="10">
        <v>409331.42699999991</v>
      </c>
      <c r="AB148" s="16">
        <f t="shared" ref="AB148" si="35">+AC148</f>
        <v>0.50758916685866917</v>
      </c>
      <c r="AC148" s="17">
        <f t="shared" ref="AC148" si="36">IFERROR((Q148-AA148)/AA148,0)</f>
        <v>0.50758916685866917</v>
      </c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</row>
    <row r="149" spans="1:49" s="41" customFormat="1" x14ac:dyDescent="0.25">
      <c r="A149" s="6">
        <v>146</v>
      </c>
      <c r="B149" s="42">
        <v>9104001000</v>
      </c>
      <c r="C149" s="13" t="s">
        <v>6</v>
      </c>
      <c r="D149" s="38"/>
      <c r="E149" s="10">
        <v>2857.1080000000002</v>
      </c>
      <c r="F149" s="9">
        <v>2437.7820000000002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>
        <f t="shared" si="29"/>
        <v>5294.89</v>
      </c>
      <c r="R149" s="43">
        <f t="shared" si="24"/>
        <v>1.4113088836910535E-5</v>
      </c>
      <c r="S149" s="40"/>
      <c r="T149" s="10">
        <v>1898.405</v>
      </c>
      <c r="U149" s="10">
        <v>1679.1949999999999</v>
      </c>
      <c r="V149" s="16">
        <f t="shared" si="25"/>
        <v>-0.14676589054386463</v>
      </c>
      <c r="W149" s="17">
        <f t="shared" si="30"/>
        <v>-0.14676589054386463</v>
      </c>
      <c r="X149" s="16">
        <f t="shared" si="26"/>
        <v>0.45175634753557525</v>
      </c>
      <c r="Y149" s="17">
        <f t="shared" si="31"/>
        <v>0.45175634753557525</v>
      </c>
      <c r="Z149" s="38"/>
      <c r="AA149" s="10">
        <v>9979.9989999999998</v>
      </c>
      <c r="AB149" s="16">
        <f t="shared" si="27"/>
        <v>-0.46944984663826117</v>
      </c>
      <c r="AC149" s="17">
        <f t="shared" si="28"/>
        <v>-0.46944984663826117</v>
      </c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</row>
    <row r="150" spans="1:49" s="41" customFormat="1" x14ac:dyDescent="0.25">
      <c r="A150" s="6">
        <v>147</v>
      </c>
      <c r="B150" s="42">
        <v>9401200000</v>
      </c>
      <c r="C150" s="13" t="s">
        <v>6</v>
      </c>
      <c r="D150" s="38"/>
      <c r="E150" s="10">
        <v>133131.59700000007</v>
      </c>
      <c r="F150" s="9">
        <v>72854.172000000006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>
        <f t="shared" si="29"/>
        <v>205985.76900000009</v>
      </c>
      <c r="R150" s="43">
        <f t="shared" si="24"/>
        <v>5.4903793223963731E-4</v>
      </c>
      <c r="S150" s="40"/>
      <c r="T150" s="10">
        <v>94981.098999999987</v>
      </c>
      <c r="U150" s="10">
        <v>158075.86100000003</v>
      </c>
      <c r="V150" s="16">
        <f t="shared" si="25"/>
        <v>-0.45276573224010846</v>
      </c>
      <c r="W150" s="17">
        <f t="shared" si="30"/>
        <v>-0.45276573224010846</v>
      </c>
      <c r="X150" s="16">
        <f t="shared" si="26"/>
        <v>-0.53911892973969</v>
      </c>
      <c r="Y150" s="17">
        <f t="shared" si="31"/>
        <v>-0.53911892973969</v>
      </c>
      <c r="Z150" s="38"/>
      <c r="AA150" s="10">
        <v>309333.22100000002</v>
      </c>
      <c r="AB150" s="16">
        <f t="shared" si="27"/>
        <v>-0.33409748770566072</v>
      </c>
      <c r="AC150" s="17">
        <f t="shared" si="28"/>
        <v>-0.33409748770566072</v>
      </c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</row>
    <row r="151" spans="1:49" x14ac:dyDescent="0.25">
      <c r="A151" s="44"/>
      <c r="B151" s="45"/>
      <c r="C151" s="46" t="s">
        <v>19</v>
      </c>
      <c r="D151" s="29"/>
      <c r="E151" s="47">
        <f t="shared" ref="E151:R151" si="37">SUM(E4:E150)</f>
        <v>203649126.37899992</v>
      </c>
      <c r="F151" s="48">
        <f t="shared" si="37"/>
        <v>171526716.49900016</v>
      </c>
      <c r="G151" s="48">
        <f t="shared" si="37"/>
        <v>0</v>
      </c>
      <c r="H151" s="48">
        <f t="shared" si="37"/>
        <v>0</v>
      </c>
      <c r="I151" s="48">
        <f t="shared" si="37"/>
        <v>0</v>
      </c>
      <c r="J151" s="48">
        <f t="shared" si="37"/>
        <v>0</v>
      </c>
      <c r="K151" s="48">
        <f t="shared" si="37"/>
        <v>0</v>
      </c>
      <c r="L151" s="48">
        <f t="shared" si="37"/>
        <v>0</v>
      </c>
      <c r="M151" s="48">
        <f t="shared" si="37"/>
        <v>0</v>
      </c>
      <c r="N151" s="48">
        <f t="shared" si="37"/>
        <v>0</v>
      </c>
      <c r="O151" s="48">
        <f t="shared" si="37"/>
        <v>0</v>
      </c>
      <c r="P151" s="48">
        <f t="shared" si="37"/>
        <v>0</v>
      </c>
      <c r="Q151" s="49">
        <f t="shared" si="37"/>
        <v>375175842.87799984</v>
      </c>
      <c r="R151" s="50">
        <f t="shared" si="37"/>
        <v>1.0000000000000002</v>
      </c>
      <c r="S151" s="29"/>
      <c r="T151" s="47">
        <f>SUM(T4:T150)</f>
        <v>158493749.49400005</v>
      </c>
      <c r="U151" s="47">
        <f>SUM(U4:U150)</f>
        <v>191499722.78099996</v>
      </c>
      <c r="V151" s="20">
        <f t="shared" si="25"/>
        <v>-0.15773409123405002</v>
      </c>
      <c r="W151" s="21">
        <f t="shared" si="30"/>
        <v>-0.15773409123405002</v>
      </c>
      <c r="X151" s="20">
        <f t="shared" ref="X151" si="38">+Y151</f>
        <v>-0.10429783391822987</v>
      </c>
      <c r="Y151" s="21">
        <f t="shared" si="31"/>
        <v>-0.10429783391822987</v>
      </c>
      <c r="Z151" s="29"/>
      <c r="AA151" s="51">
        <f>SUM(AA4:AA150)</f>
        <v>369483245.60399985</v>
      </c>
      <c r="AB151" s="20">
        <f t="shared" ref="AB151" si="39">+AC151</f>
        <v>1.5406915852691005E-2</v>
      </c>
      <c r="AC151" s="21">
        <f>IFERROR((Q151-AA151)/AA151,0)</f>
        <v>1.5406915852691005E-2</v>
      </c>
    </row>
    <row r="152" spans="1:49" x14ac:dyDescent="0.25">
      <c r="A152" s="26"/>
      <c r="B152" s="7" t="s">
        <v>24</v>
      </c>
      <c r="C152" s="3"/>
      <c r="D152" s="52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S152" s="52"/>
      <c r="T152" s="53"/>
      <c r="U152" s="53"/>
      <c r="V152" s="53"/>
      <c r="W152" s="53"/>
      <c r="X152" s="53"/>
      <c r="Y152" s="53"/>
      <c r="Z152" s="52"/>
    </row>
    <row r="153" spans="1:49" x14ac:dyDescent="0.25">
      <c r="B153" s="7" t="s">
        <v>15</v>
      </c>
      <c r="D153" s="52"/>
      <c r="Q153" s="26"/>
      <c r="S153" s="52"/>
      <c r="W153" s="95"/>
      <c r="Z153" s="52"/>
    </row>
    <row r="154" spans="1:49" s="22" customFormat="1" x14ac:dyDescent="0.25">
      <c r="A154" s="41"/>
      <c r="B154" s="41"/>
      <c r="D154" s="54"/>
      <c r="E154" s="26"/>
      <c r="F154" s="26"/>
      <c r="G154" s="26"/>
      <c r="H154" s="26"/>
      <c r="I154" s="26"/>
      <c r="J154" s="26"/>
      <c r="K154" s="94"/>
      <c r="L154" s="94"/>
      <c r="M154" s="26"/>
      <c r="N154" s="26"/>
      <c r="O154" s="26"/>
      <c r="P154" s="26"/>
      <c r="Q154" s="26"/>
      <c r="R154" s="53"/>
      <c r="S154" s="54"/>
      <c r="T154" s="26"/>
      <c r="U154" s="26"/>
      <c r="V154" s="26"/>
      <c r="W154" s="26"/>
      <c r="X154" s="26"/>
      <c r="Y154" s="26"/>
      <c r="Z154" s="54"/>
      <c r="AA154" s="26"/>
      <c r="AB154" s="26"/>
      <c r="AC154" s="26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</row>
    <row r="155" spans="1:49" s="22" customFormat="1" x14ac:dyDescent="0.25">
      <c r="A155" s="41"/>
      <c r="B155" s="41"/>
      <c r="D155" s="54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53"/>
      <c r="R155" s="53"/>
      <c r="S155" s="54"/>
      <c r="T155" s="26"/>
      <c r="U155" s="26"/>
      <c r="V155" s="26"/>
      <c r="W155" s="26"/>
      <c r="X155" s="26"/>
      <c r="Y155" s="26"/>
      <c r="Z155" s="54"/>
      <c r="AA155" s="26"/>
      <c r="AB155" s="26"/>
      <c r="AC155" s="26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</row>
    <row r="156" spans="1:49" x14ac:dyDescent="0.25"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</row>
  </sheetData>
  <sortState xmlns:xlrd2="http://schemas.microsoft.com/office/spreadsheetml/2017/richdata2" ref="B4:AV150">
    <sortCondition descending="1" ref="Q4:Q150"/>
  </sortState>
  <dataConsolidate>
    <dataRefs count="1">
      <dataRef name="$D$9:$D$161,$F$9:$K$161" r:id="rId1"/>
    </dataRefs>
  </dataConsolidate>
  <mergeCells count="3">
    <mergeCell ref="X2:Y2"/>
    <mergeCell ref="AB2:AC2"/>
    <mergeCell ref="V2:W2"/>
  </mergeCells>
  <conditionalFormatting sqref="B4:B150">
    <cfRule type="duplicateValues" dxfId="18" priority="62"/>
  </conditionalFormatting>
  <conditionalFormatting sqref="W4:W151 Y4:Y151 AC4:AC151">
    <cfRule type="cellIs" dxfId="17" priority="1" operator="lessThan">
      <formula>0%</formula>
    </cfRule>
    <cfRule type="cellIs" dxfId="16" priority="2" operator="greaterThanOrEqual">
      <formula>1%</formula>
    </cfRule>
  </conditionalFormatting>
  <pageMargins left="0.97" right="0.7" top="0.75" bottom="0.75" header="0.3" footer="0.3"/>
  <pageSetup paperSize="9" scale="53" orientation="landscape" verticalDpi="300" r:id="rId2"/>
  <rowBreaks count="3" manualBreakCount="3">
    <brk id="109" max="10" man="1"/>
    <brk id="139" max="10" man="1"/>
    <brk id="153" max="16383" man="1"/>
  </rowBreaks>
  <ignoredErrors>
    <ignoredError sqref="I151:N151 F151:G151 H151 U151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3" id="{4185FC00-E765-4B5F-859B-DDB86965DDC8}">
            <x14:iconSet iconSet="3Arrow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V4:V150</xm:sqref>
        </x14:conditionalFormatting>
        <x14:conditionalFormatting xmlns:xm="http://schemas.microsoft.com/office/excel/2006/main">
          <x14:cfRule type="iconSet" priority="3" id="{5F412593-C693-4AFE-A7BA-803BC1A5A20F}">
            <x14:iconSet iconSet="3Arrow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Arrows" iconId="0"/>
              <x14:cfIcon iconSet="NoIcons" iconId="0"/>
              <x14:cfIcon iconSet="3Arrows" iconId="2"/>
            </x14:iconSet>
          </x14:cfRule>
          <xm:sqref>V151</xm:sqref>
        </x14:conditionalFormatting>
        <x14:conditionalFormatting xmlns:xm="http://schemas.microsoft.com/office/excel/2006/main">
          <x14:cfRule type="iconSet" priority="68" id="{D9508601-F2BE-4A1A-BE2A-6147F5F65492}">
            <x14:iconSet iconSet="3Arrow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X4:X150</xm:sqref>
        </x14:conditionalFormatting>
        <x14:conditionalFormatting xmlns:xm="http://schemas.microsoft.com/office/excel/2006/main">
          <x14:cfRule type="iconSet" priority="42" id="{CAB84E4C-9537-473E-982E-118A5853756E}">
            <x14:iconSet iconSet="3Arrow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Arrows" iconId="0"/>
              <x14:cfIcon iconSet="NoIcons" iconId="0"/>
              <x14:cfIcon iconSet="3Arrows" iconId="2"/>
            </x14:iconSet>
          </x14:cfRule>
          <xm:sqref>X151</xm:sqref>
        </x14:conditionalFormatting>
        <x14:conditionalFormatting xmlns:xm="http://schemas.microsoft.com/office/excel/2006/main">
          <x14:cfRule type="iconSet" priority="73" id="{B0DC66A4-40A0-4299-AE5B-C7EF5C56321A}">
            <x14:iconSet iconSet="3Arrow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AB4:AB150</xm:sqref>
        </x14:conditionalFormatting>
        <x14:conditionalFormatting xmlns:xm="http://schemas.microsoft.com/office/excel/2006/main">
          <x14:cfRule type="iconSet" priority="37" id="{E352DF02-4DD5-484B-B398-70849A7DECB1}">
            <x14:iconSet iconSet="3Arrow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Arrows" iconId="0"/>
              <x14:cfIcon iconSet="NoIcons" iconId="0"/>
              <x14:cfIcon iconSet="3Arrows" iconId="2"/>
            </x14:iconSet>
          </x14:cfRule>
          <xm:sqref>AB151</xm:sqref>
        </x14:conditionalFormatting>
        <x14:conditionalFormatting xmlns:xm="http://schemas.microsoft.com/office/excel/2006/main">
          <x14:cfRule type="iconSet" priority="7" id="{DC70FCED-9200-46BF-A335-59A4FA7D1D85}">
            <x14:iconSet iconSet="3Arrow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AE7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EF6FE-20B9-44E4-B952-C4EBCC400F5E}">
  <dimension ref="B1:I22"/>
  <sheetViews>
    <sheetView showGridLines="0"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4" sqref="E4"/>
    </sheetView>
  </sheetViews>
  <sheetFormatPr baseColWidth="10" defaultRowHeight="15" x14ac:dyDescent="0.25"/>
  <cols>
    <col min="1" max="1" width="3" customWidth="1"/>
    <col min="2" max="2" width="20.5703125" customWidth="1"/>
    <col min="3" max="3" width="13.7109375" customWidth="1"/>
    <col min="4" max="5" width="13.42578125" customWidth="1"/>
    <col min="6" max="6" width="1.140625" customWidth="1"/>
    <col min="7" max="7" width="14.28515625" customWidth="1"/>
  </cols>
  <sheetData>
    <row r="1" spans="2:9" ht="30.75" customHeight="1" x14ac:dyDescent="0.25">
      <c r="B1" s="121" t="s">
        <v>131</v>
      </c>
    </row>
    <row r="2" spans="2:9" x14ac:dyDescent="0.25">
      <c r="B2" s="102"/>
      <c r="C2" s="109" t="s">
        <v>30</v>
      </c>
      <c r="D2" s="103"/>
      <c r="E2" s="102"/>
      <c r="F2" s="110"/>
      <c r="G2" s="103" t="s">
        <v>31</v>
      </c>
      <c r="H2" s="103"/>
      <c r="I2" s="102"/>
    </row>
    <row r="3" spans="2:9" x14ac:dyDescent="0.25">
      <c r="B3" s="104" t="s">
        <v>25</v>
      </c>
      <c r="C3" s="105">
        <v>2024</v>
      </c>
      <c r="D3" s="105">
        <v>2025</v>
      </c>
      <c r="E3" s="105" t="s">
        <v>33</v>
      </c>
      <c r="F3" s="111"/>
      <c r="G3" s="105">
        <v>2024</v>
      </c>
      <c r="H3" s="105">
        <v>2025</v>
      </c>
      <c r="I3" s="105" t="s">
        <v>33</v>
      </c>
    </row>
    <row r="4" spans="2:9" x14ac:dyDescent="0.25">
      <c r="B4" s="99" t="s">
        <v>27</v>
      </c>
      <c r="C4" s="100">
        <v>82156980.731999993</v>
      </c>
      <c r="D4" s="100">
        <v>91433069.36499995</v>
      </c>
      <c r="E4" s="119">
        <f>(D4/C4)-1</f>
        <v>0.11290688326606113</v>
      </c>
      <c r="F4" s="112"/>
      <c r="G4" s="100">
        <v>290</v>
      </c>
      <c r="H4" s="100">
        <v>1168.23</v>
      </c>
      <c r="I4" s="119">
        <f>IFERROR((H4/G4)-1,"-")</f>
        <v>3.0283793103448273</v>
      </c>
    </row>
    <row r="5" spans="2:9" x14ac:dyDescent="0.25">
      <c r="B5" s="99" t="s">
        <v>4</v>
      </c>
      <c r="C5" s="100">
        <v>60475712.652999863</v>
      </c>
      <c r="D5" s="100">
        <v>63288993.981000155</v>
      </c>
      <c r="E5" s="119">
        <f t="shared" ref="E5:E22" si="0">(D5/C5)-1</f>
        <v>4.6519192657430208E-2</v>
      </c>
      <c r="F5" s="112"/>
      <c r="G5" s="100">
        <v>6620725.5119999964</v>
      </c>
      <c r="H5" s="100">
        <v>3385857.5120000006</v>
      </c>
      <c r="I5" s="119">
        <f t="shared" ref="I5:I21" si="1">IFERROR((H5/G5)-1,"-")</f>
        <v>-0.48859720798526252</v>
      </c>
    </row>
    <row r="6" spans="2:9" x14ac:dyDescent="0.25">
      <c r="B6" s="99" t="s">
        <v>16</v>
      </c>
      <c r="C6" s="100">
        <v>77435776.643999994</v>
      </c>
      <c r="D6" s="100">
        <v>59744388.063999951</v>
      </c>
      <c r="E6" s="119">
        <f t="shared" si="0"/>
        <v>-0.2284653082429029</v>
      </c>
      <c r="F6" s="112"/>
      <c r="G6" s="100">
        <v>0</v>
      </c>
      <c r="H6" s="100">
        <v>0</v>
      </c>
      <c r="I6" s="119" t="str">
        <f t="shared" si="1"/>
        <v>-</v>
      </c>
    </row>
    <row r="7" spans="2:9" x14ac:dyDescent="0.25">
      <c r="B7" s="99" t="s">
        <v>17</v>
      </c>
      <c r="C7" s="100">
        <v>31446035.230999961</v>
      </c>
      <c r="D7" s="100">
        <v>33211683.264999907</v>
      </c>
      <c r="E7" s="119">
        <f t="shared" si="0"/>
        <v>5.6148510329828261E-2</v>
      </c>
      <c r="F7" s="112"/>
      <c r="G7" s="100">
        <v>504126.96599999996</v>
      </c>
      <c r="H7" s="100">
        <v>202220.215</v>
      </c>
      <c r="I7" s="119">
        <f t="shared" si="1"/>
        <v>-0.59887046589767223</v>
      </c>
    </row>
    <row r="8" spans="2:9" x14ac:dyDescent="0.25">
      <c r="B8" s="99" t="s">
        <v>26</v>
      </c>
      <c r="C8" s="100">
        <v>19769167.490999989</v>
      </c>
      <c r="D8" s="100">
        <v>23642757.274999969</v>
      </c>
      <c r="E8" s="119">
        <f t="shared" si="0"/>
        <v>0.19594096644501846</v>
      </c>
      <c r="F8" s="112"/>
      <c r="G8" s="100">
        <v>0</v>
      </c>
      <c r="H8" s="100">
        <v>0</v>
      </c>
      <c r="I8" s="119" t="str">
        <f t="shared" si="1"/>
        <v>-</v>
      </c>
    </row>
    <row r="9" spans="2:9" x14ac:dyDescent="0.25">
      <c r="B9" s="99" t="s">
        <v>5</v>
      </c>
      <c r="C9" s="100">
        <v>14070013.455999954</v>
      </c>
      <c r="D9" s="100">
        <v>16178994.572000001</v>
      </c>
      <c r="E9" s="119">
        <f t="shared" si="0"/>
        <v>0.14989190469471114</v>
      </c>
      <c r="F9" s="112"/>
      <c r="G9" s="100">
        <v>170466.08300000001</v>
      </c>
      <c r="H9" s="100">
        <v>92542.414999999994</v>
      </c>
      <c r="I9" s="119">
        <f t="shared" si="1"/>
        <v>-0.45712124446480074</v>
      </c>
    </row>
    <row r="10" spans="2:9" x14ac:dyDescent="0.25">
      <c r="B10" s="99" t="s">
        <v>9</v>
      </c>
      <c r="C10" s="100">
        <v>15160161.990000006</v>
      </c>
      <c r="D10" s="100">
        <v>16152256.113000017</v>
      </c>
      <c r="E10" s="119">
        <f t="shared" si="0"/>
        <v>6.5440865582730545E-2</v>
      </c>
      <c r="F10" s="112"/>
      <c r="G10" s="100">
        <v>134212.38499999998</v>
      </c>
      <c r="H10" s="100">
        <v>185907.69200000001</v>
      </c>
      <c r="I10" s="119">
        <f t="shared" si="1"/>
        <v>0.38517538452207689</v>
      </c>
    </row>
    <row r="11" spans="2:9" x14ac:dyDescent="0.25">
      <c r="B11" s="99" t="s">
        <v>14</v>
      </c>
      <c r="C11" s="100">
        <v>12808016.504000006</v>
      </c>
      <c r="D11" s="100">
        <v>12733703.125000026</v>
      </c>
      <c r="E11" s="119">
        <f t="shared" si="0"/>
        <v>-5.8020989414536706E-3</v>
      </c>
      <c r="F11" s="112"/>
      <c r="G11" s="100">
        <v>17327.321999999996</v>
      </c>
      <c r="H11" s="100">
        <v>38415.168000000005</v>
      </c>
      <c r="I11" s="119">
        <f t="shared" si="1"/>
        <v>1.2170285748715246</v>
      </c>
    </row>
    <row r="12" spans="2:9" x14ac:dyDescent="0.25">
      <c r="B12" s="99" t="s">
        <v>8</v>
      </c>
      <c r="C12" s="100">
        <v>8935633.0799999945</v>
      </c>
      <c r="D12" s="100">
        <v>10555112.336000009</v>
      </c>
      <c r="E12" s="119">
        <f t="shared" si="0"/>
        <v>0.18123833437440284</v>
      </c>
      <c r="F12" s="112"/>
      <c r="G12" s="100">
        <v>3579.893</v>
      </c>
      <c r="H12" s="100">
        <v>6441.5</v>
      </c>
      <c r="I12" s="119">
        <f t="shared" si="1"/>
        <v>0.79935545559601917</v>
      </c>
    </row>
    <row r="13" spans="2:9" x14ac:dyDescent="0.25">
      <c r="B13" s="99" t="s">
        <v>3</v>
      </c>
      <c r="C13" s="100">
        <v>7353547.1930000046</v>
      </c>
      <c r="D13" s="100">
        <v>8111892.3940000115</v>
      </c>
      <c r="E13" s="119">
        <f t="shared" si="0"/>
        <v>0.10312644783484792</v>
      </c>
      <c r="F13" s="112"/>
      <c r="G13" s="100">
        <v>4000.76</v>
      </c>
      <c r="H13" s="100">
        <v>10788.5</v>
      </c>
      <c r="I13" s="119">
        <f t="shared" si="1"/>
        <v>1.6966126435977165</v>
      </c>
    </row>
    <row r="14" spans="2:9" x14ac:dyDescent="0.25">
      <c r="B14" s="99" t="s">
        <v>7</v>
      </c>
      <c r="C14" s="100">
        <v>7428890.284</v>
      </c>
      <c r="D14" s="100">
        <v>7561469.1610000031</v>
      </c>
      <c r="E14" s="119">
        <f t="shared" si="0"/>
        <v>1.7846390501357279E-2</v>
      </c>
      <c r="F14" s="112"/>
      <c r="G14" s="100">
        <v>0</v>
      </c>
      <c r="H14" s="100">
        <v>0</v>
      </c>
      <c r="I14" s="119" t="str">
        <f t="shared" si="1"/>
        <v>-</v>
      </c>
    </row>
    <row r="15" spans="2:9" x14ac:dyDescent="0.25">
      <c r="B15" s="99" t="s">
        <v>6</v>
      </c>
      <c r="C15" s="100">
        <v>4669173.2169999983</v>
      </c>
      <c r="D15" s="100">
        <v>6202913.8840000052</v>
      </c>
      <c r="E15" s="119">
        <f t="shared" si="0"/>
        <v>0.3284822806349974</v>
      </c>
      <c r="F15" s="112"/>
      <c r="G15" s="100">
        <v>1918.1010000000001</v>
      </c>
      <c r="H15" s="100">
        <v>11129.438</v>
      </c>
      <c r="I15" s="119">
        <f t="shared" si="1"/>
        <v>4.8023211499290177</v>
      </c>
    </row>
    <row r="16" spans="2:9" x14ac:dyDescent="0.25">
      <c r="B16" s="99" t="s">
        <v>0</v>
      </c>
      <c r="C16" s="100">
        <v>3088111.6859999974</v>
      </c>
      <c r="D16" s="100">
        <v>5537852.8710000021</v>
      </c>
      <c r="E16" s="119">
        <f t="shared" si="0"/>
        <v>0.79328127803989235</v>
      </c>
      <c r="F16" s="112"/>
      <c r="G16" s="100">
        <v>200</v>
      </c>
      <c r="H16" s="100">
        <v>701</v>
      </c>
      <c r="I16" s="119">
        <f t="shared" si="1"/>
        <v>2.5049999999999999</v>
      </c>
    </row>
    <row r="17" spans="2:9" x14ac:dyDescent="0.25">
      <c r="B17" s="99" t="s">
        <v>2</v>
      </c>
      <c r="C17" s="100">
        <v>5560593.0440000053</v>
      </c>
      <c r="D17" s="100">
        <v>5526634.909</v>
      </c>
      <c r="E17" s="119">
        <f t="shared" si="0"/>
        <v>-6.1069268567759405E-3</v>
      </c>
      <c r="F17" s="112"/>
      <c r="G17" s="100">
        <v>129.57999999999998</v>
      </c>
      <c r="H17" s="100">
        <v>1071.7249999999999</v>
      </c>
      <c r="I17" s="119">
        <f t="shared" si="1"/>
        <v>7.270759376446982</v>
      </c>
    </row>
    <row r="18" spans="2:9" x14ac:dyDescent="0.25">
      <c r="B18" s="99" t="s">
        <v>10</v>
      </c>
      <c r="C18" s="100">
        <v>4405808.5169999953</v>
      </c>
      <c r="D18" s="100">
        <v>3813504.9039999954</v>
      </c>
      <c r="E18" s="119">
        <f t="shared" si="0"/>
        <v>-0.134436984883608</v>
      </c>
      <c r="F18" s="112"/>
      <c r="G18" s="100">
        <v>28013.951000000005</v>
      </c>
      <c r="H18" s="100">
        <v>151632.073</v>
      </c>
      <c r="I18" s="119">
        <f t="shared" si="1"/>
        <v>4.4127342837145669</v>
      </c>
    </row>
    <row r="19" spans="2:9" x14ac:dyDescent="0.25">
      <c r="B19" s="99" t="s">
        <v>11</v>
      </c>
      <c r="C19" s="100">
        <v>3286921.5340000005</v>
      </c>
      <c r="D19" s="100">
        <v>3375753.5260000005</v>
      </c>
      <c r="E19" s="119">
        <f t="shared" si="0"/>
        <v>2.7025893706655202E-2</v>
      </c>
      <c r="F19" s="112"/>
      <c r="G19" s="100">
        <v>4874.9409999999998</v>
      </c>
      <c r="H19" s="100">
        <v>6627.6030000000001</v>
      </c>
      <c r="I19" s="119">
        <f t="shared" si="1"/>
        <v>0.35952476142788203</v>
      </c>
    </row>
    <row r="20" spans="2:9" x14ac:dyDescent="0.25">
      <c r="B20" s="99" t="s">
        <v>13</v>
      </c>
      <c r="C20" s="100">
        <v>2182575.5350000006</v>
      </c>
      <c r="D20" s="100">
        <v>2307432.0649999995</v>
      </c>
      <c r="E20" s="119">
        <f t="shared" si="0"/>
        <v>5.7206052206572933E-2</v>
      </c>
      <c r="F20" s="112"/>
      <c r="G20" s="100">
        <v>6250.2</v>
      </c>
      <c r="H20" s="100">
        <v>111528.06700000001</v>
      </c>
      <c r="I20" s="119">
        <f t="shared" si="1"/>
        <v>16.843919714569136</v>
      </c>
    </row>
    <row r="21" spans="2:9" x14ac:dyDescent="0.25">
      <c r="B21" s="99" t="s">
        <v>12</v>
      </c>
      <c r="C21" s="100">
        <v>1753546.1190000002</v>
      </c>
      <c r="D21" s="100">
        <v>1591193.9300000002</v>
      </c>
      <c r="E21" s="119">
        <f t="shared" si="0"/>
        <v>-9.2585069329448322E-2</v>
      </c>
      <c r="F21" s="112"/>
      <c r="G21" s="100">
        <v>465</v>
      </c>
      <c r="H21" s="100">
        <v>206</v>
      </c>
      <c r="I21" s="119">
        <f t="shared" si="1"/>
        <v>-0.55698924731182797</v>
      </c>
    </row>
    <row r="22" spans="2:9" x14ac:dyDescent="0.25">
      <c r="B22" s="106" t="s">
        <v>32</v>
      </c>
      <c r="C22" s="107">
        <f>SUM(C4:C21)</f>
        <v>361986664.90999985</v>
      </c>
      <c r="D22" s="107">
        <f>SUM(D4:D21)</f>
        <v>370969605.74000001</v>
      </c>
      <c r="E22" s="108">
        <f t="shared" si="0"/>
        <v>2.4815667815369924E-2</v>
      </c>
      <c r="F22" s="113"/>
      <c r="G22" s="107">
        <f>SUM(G4:G21)</f>
        <v>7496580.6939999955</v>
      </c>
      <c r="H22" s="107">
        <f>SUM(H4:H21)</f>
        <v>4206237.1380000003</v>
      </c>
      <c r="I22" s="108">
        <f t="shared" ref="I22" si="2">(H22/G22)-1</f>
        <v>-0.4389125776546996</v>
      </c>
    </row>
  </sheetData>
  <conditionalFormatting sqref="E4:E21">
    <cfRule type="cellIs" dxfId="15" priority="3" operator="lessThan">
      <formula>0%</formula>
    </cfRule>
    <cfRule type="cellIs" dxfId="14" priority="4" operator="greaterThanOrEqual">
      <formula>1%</formula>
    </cfRule>
  </conditionalFormatting>
  <conditionalFormatting sqref="I4:I21">
    <cfRule type="cellIs" dxfId="13" priority="1" operator="lessThan">
      <formula>0%</formula>
    </cfRule>
    <cfRule type="cellIs" dxfId="12" priority="2" operator="greaterThanOrEqual">
      <formula>1%</formula>
    </cfRule>
  </conditionalFormatting>
  <pageMargins left="0.7" right="0.7" top="0.75" bottom="0.75" header="0.3" footer="0.3"/>
  <ignoredErrors>
    <ignoredError sqref="C22:D2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8D889-2CD4-49B4-963D-7116992B8DF0}">
  <dimension ref="A1:F54"/>
  <sheetViews>
    <sheetView showGridLines="0" zoomScale="80" zoomScaleNormal="80" workbookViewId="0">
      <pane xSplit="1" ySplit="2" topLeftCell="B45" activePane="bottomRight" state="frozen"/>
      <selection pane="topRight" activeCell="B1" sqref="B1"/>
      <selection pane="bottomLeft" activeCell="A3" sqref="A3"/>
      <selection pane="bottomRight" activeCell="F23" sqref="F23"/>
    </sheetView>
  </sheetViews>
  <sheetFormatPr baseColWidth="10" defaultRowHeight="15" x14ac:dyDescent="0.25"/>
  <cols>
    <col min="1" max="1" width="5.42578125" customWidth="1"/>
    <col min="2" max="2" width="26" customWidth="1"/>
    <col min="3" max="3" width="19.85546875" customWidth="1"/>
    <col min="4" max="6" width="14.7109375" customWidth="1"/>
  </cols>
  <sheetData>
    <row r="1" spans="1:6" ht="29.25" customHeight="1" x14ac:dyDescent="0.25">
      <c r="B1" s="121" t="s">
        <v>141</v>
      </c>
    </row>
    <row r="2" spans="1:6" ht="25.5" customHeight="1" x14ac:dyDescent="0.25">
      <c r="B2" s="122" t="s">
        <v>77</v>
      </c>
      <c r="C2" s="123">
        <v>2024</v>
      </c>
      <c r="D2" s="123">
        <v>2025</v>
      </c>
      <c r="E2" s="123" t="s">
        <v>79</v>
      </c>
      <c r="F2" s="123" t="s">
        <v>80</v>
      </c>
    </row>
    <row r="3" spans="1:6" x14ac:dyDescent="0.25">
      <c r="A3" s="118">
        <v>1</v>
      </c>
      <c r="B3" s="99" t="s">
        <v>35</v>
      </c>
      <c r="C3" s="100">
        <v>85335331.514000088</v>
      </c>
      <c r="D3" s="100">
        <v>110314773.15699996</v>
      </c>
      <c r="E3" s="101">
        <f>D3/$D$54</f>
        <v>0.29403485126005913</v>
      </c>
      <c r="F3" s="119">
        <f>(D3/C3)-1</f>
        <v>0.29272097734690061</v>
      </c>
    </row>
    <row r="4" spans="1:6" x14ac:dyDescent="0.25">
      <c r="A4" s="118">
        <v>2</v>
      </c>
      <c r="B4" s="99" t="s">
        <v>34</v>
      </c>
      <c r="C4" s="100">
        <v>120975463.39399973</v>
      </c>
      <c r="D4" s="100">
        <v>94371084.503999829</v>
      </c>
      <c r="E4" s="101">
        <f t="shared" ref="E4:E53" si="0">D4/$D$54</f>
        <v>0.251538275439252</v>
      </c>
      <c r="F4" s="119">
        <f t="shared" ref="F4:F54" si="1">(D4/C4)-1</f>
        <v>-0.21991549479214023</v>
      </c>
    </row>
    <row r="5" spans="1:6" x14ac:dyDescent="0.25">
      <c r="A5" s="118">
        <v>3</v>
      </c>
      <c r="B5" s="99" t="s">
        <v>36</v>
      </c>
      <c r="C5" s="100">
        <v>28897890.428999972</v>
      </c>
      <c r="D5" s="100">
        <v>25528961.326999992</v>
      </c>
      <c r="E5" s="101">
        <f t="shared" si="0"/>
        <v>6.8045322777622277E-2</v>
      </c>
      <c r="F5" s="119">
        <f t="shared" si="1"/>
        <v>-0.1165804510982279</v>
      </c>
    </row>
    <row r="6" spans="1:6" x14ac:dyDescent="0.25">
      <c r="A6" s="118">
        <v>4</v>
      </c>
      <c r="B6" s="99" t="s">
        <v>38</v>
      </c>
      <c r="C6" s="100">
        <v>14560265.363999991</v>
      </c>
      <c r="D6" s="100">
        <v>15778057.241999986</v>
      </c>
      <c r="E6" s="101">
        <f t="shared" si="0"/>
        <v>4.205509907291851E-2</v>
      </c>
      <c r="F6" s="119">
        <f t="shared" si="1"/>
        <v>8.3638027711429253E-2</v>
      </c>
    </row>
    <row r="7" spans="1:6" x14ac:dyDescent="0.25">
      <c r="A7" s="118">
        <v>5</v>
      </c>
      <c r="B7" s="99" t="s">
        <v>37</v>
      </c>
      <c r="C7" s="100">
        <v>16146130.068000004</v>
      </c>
      <c r="D7" s="100">
        <v>15206915.073000005</v>
      </c>
      <c r="E7" s="101">
        <f t="shared" si="0"/>
        <v>4.0532767132197833E-2</v>
      </c>
      <c r="F7" s="119">
        <f t="shared" si="1"/>
        <v>-5.8169666108501605E-2</v>
      </c>
    </row>
    <row r="8" spans="1:6" x14ac:dyDescent="0.25">
      <c r="A8" s="118">
        <v>6</v>
      </c>
      <c r="B8" s="99" t="s">
        <v>40</v>
      </c>
      <c r="C8" s="100">
        <v>12946161.778999982</v>
      </c>
      <c r="D8" s="100">
        <v>13622729.157000003</v>
      </c>
      <c r="E8" s="101">
        <f t="shared" si="0"/>
        <v>3.6310251354402537E-2</v>
      </c>
      <c r="F8" s="119">
        <f t="shared" si="1"/>
        <v>5.2260074418155611E-2</v>
      </c>
    </row>
    <row r="9" spans="1:6" x14ac:dyDescent="0.25">
      <c r="A9" s="118">
        <v>7</v>
      </c>
      <c r="B9" s="99" t="s">
        <v>41</v>
      </c>
      <c r="C9" s="100">
        <v>8870437.541000003</v>
      </c>
      <c r="D9" s="100">
        <v>13487439.291000014</v>
      </c>
      <c r="E9" s="101">
        <f t="shared" si="0"/>
        <v>3.594964747073516E-2</v>
      </c>
      <c r="F9" s="119">
        <f t="shared" si="1"/>
        <v>0.52049312434249062</v>
      </c>
    </row>
    <row r="10" spans="1:6" x14ac:dyDescent="0.25">
      <c r="A10" s="118">
        <v>8</v>
      </c>
      <c r="B10" s="99" t="s">
        <v>39</v>
      </c>
      <c r="C10" s="100">
        <v>12360035.254000008</v>
      </c>
      <c r="D10" s="100">
        <v>11731344.974999998</v>
      </c>
      <c r="E10" s="101">
        <f t="shared" si="0"/>
        <v>3.1268924153026602E-2</v>
      </c>
      <c r="F10" s="119">
        <f t="shared" si="1"/>
        <v>-5.0864764224402226E-2</v>
      </c>
    </row>
    <row r="11" spans="1:6" x14ac:dyDescent="0.25">
      <c r="A11" s="118">
        <v>9</v>
      </c>
      <c r="B11" s="99" t="s">
        <v>44</v>
      </c>
      <c r="C11" s="100">
        <v>5225354.2179999975</v>
      </c>
      <c r="D11" s="100">
        <v>8387432.7149999989</v>
      </c>
      <c r="E11" s="101">
        <f t="shared" si="0"/>
        <v>2.2356004189020874E-2</v>
      </c>
      <c r="F11" s="119">
        <f t="shared" si="1"/>
        <v>0.60514146315812556</v>
      </c>
    </row>
    <row r="12" spans="1:6" x14ac:dyDescent="0.25">
      <c r="A12" s="118">
        <v>10</v>
      </c>
      <c r="B12" s="99" t="s">
        <v>42</v>
      </c>
      <c r="C12" s="100">
        <v>6444369.0279999897</v>
      </c>
      <c r="D12" s="100">
        <v>8200912.9450000068</v>
      </c>
      <c r="E12" s="101">
        <f t="shared" si="0"/>
        <v>2.1858851257826835E-2</v>
      </c>
      <c r="F12" s="119">
        <f t="shared" si="1"/>
        <v>0.27257034930309709</v>
      </c>
    </row>
    <row r="13" spans="1:6" x14ac:dyDescent="0.25">
      <c r="A13" s="118">
        <v>11</v>
      </c>
      <c r="B13" s="99" t="s">
        <v>43</v>
      </c>
      <c r="C13" s="100">
        <v>6459546.473000004</v>
      </c>
      <c r="D13" s="100">
        <v>5929690.5910000093</v>
      </c>
      <c r="E13" s="101">
        <f t="shared" si="0"/>
        <v>1.5805097006014419E-2</v>
      </c>
      <c r="F13" s="119">
        <f t="shared" si="1"/>
        <v>-8.2026793090616779E-2</v>
      </c>
    </row>
    <row r="14" spans="1:6" x14ac:dyDescent="0.25">
      <c r="A14" s="118">
        <v>12</v>
      </c>
      <c r="B14" s="99" t="s">
        <v>47</v>
      </c>
      <c r="C14" s="100">
        <v>5298098.9240000006</v>
      </c>
      <c r="D14" s="100">
        <v>3749410.5180000034</v>
      </c>
      <c r="E14" s="101">
        <f t="shared" si="0"/>
        <v>9.9937418391280661E-3</v>
      </c>
      <c r="F14" s="119">
        <f t="shared" si="1"/>
        <v>-0.29231020941956221</v>
      </c>
    </row>
    <row r="15" spans="1:6" x14ac:dyDescent="0.25">
      <c r="A15" s="118">
        <v>13</v>
      </c>
      <c r="B15" s="99" t="s">
        <v>45</v>
      </c>
      <c r="C15" s="100">
        <v>4184053.3069999996</v>
      </c>
      <c r="D15" s="100">
        <v>3494217.3039999991</v>
      </c>
      <c r="E15" s="101">
        <f t="shared" si="0"/>
        <v>9.3135455555869943E-3</v>
      </c>
      <c r="F15" s="119">
        <f t="shared" si="1"/>
        <v>-0.16487266112166687</v>
      </c>
    </row>
    <row r="16" spans="1:6" x14ac:dyDescent="0.25">
      <c r="A16" s="118">
        <v>14</v>
      </c>
      <c r="B16" s="99" t="s">
        <v>46</v>
      </c>
      <c r="C16" s="100">
        <v>4964945.3619999969</v>
      </c>
      <c r="D16" s="100">
        <v>3425617.7289999998</v>
      </c>
      <c r="E16" s="101">
        <f t="shared" si="0"/>
        <v>9.1306990949146689E-3</v>
      </c>
      <c r="F16" s="119">
        <f t="shared" si="1"/>
        <v>-0.31003918890658644</v>
      </c>
    </row>
    <row r="17" spans="1:6" x14ac:dyDescent="0.25">
      <c r="A17" s="118">
        <v>15</v>
      </c>
      <c r="B17" s="99" t="s">
        <v>48</v>
      </c>
      <c r="C17" s="100">
        <v>3449396.5350000011</v>
      </c>
      <c r="D17" s="100">
        <v>3028363.3330000001</v>
      </c>
      <c r="E17" s="101">
        <f t="shared" si="0"/>
        <v>8.07185054818353E-3</v>
      </c>
      <c r="F17" s="119">
        <f t="shared" si="1"/>
        <v>-0.12205995968509342</v>
      </c>
    </row>
    <row r="18" spans="1:6" x14ac:dyDescent="0.25">
      <c r="A18" s="118">
        <v>16</v>
      </c>
      <c r="B18" s="99" t="s">
        <v>49</v>
      </c>
      <c r="C18" s="100">
        <v>2998407.7980000013</v>
      </c>
      <c r="D18" s="100">
        <v>2912816.1229999969</v>
      </c>
      <c r="E18" s="101">
        <f t="shared" si="0"/>
        <v>7.7638690717813383E-3</v>
      </c>
      <c r="F18" s="119">
        <f t="shared" si="1"/>
        <v>-2.8545708511395929E-2</v>
      </c>
    </row>
    <row r="19" spans="1:6" x14ac:dyDescent="0.25">
      <c r="A19" s="118">
        <v>17</v>
      </c>
      <c r="B19" s="99" t="s">
        <v>50</v>
      </c>
      <c r="C19" s="100">
        <v>3124187.7800000003</v>
      </c>
      <c r="D19" s="100">
        <v>2856325.6429999983</v>
      </c>
      <c r="E19" s="101">
        <f t="shared" si="0"/>
        <v>7.6132983965303512E-3</v>
      </c>
      <c r="F19" s="119">
        <f t="shared" si="1"/>
        <v>-8.5738168081561983E-2</v>
      </c>
    </row>
    <row r="20" spans="1:6" x14ac:dyDescent="0.25">
      <c r="A20" s="118">
        <v>18</v>
      </c>
      <c r="B20" s="99" t="s">
        <v>53</v>
      </c>
      <c r="C20" s="100">
        <v>1461501.6840000006</v>
      </c>
      <c r="D20" s="100">
        <v>2675008.0480000009</v>
      </c>
      <c r="E20" s="101">
        <f t="shared" si="0"/>
        <v>7.130011430053252E-3</v>
      </c>
      <c r="F20" s="119">
        <f t="shared" si="1"/>
        <v>0.83031472169005038</v>
      </c>
    </row>
    <row r="21" spans="1:6" x14ac:dyDescent="0.25">
      <c r="A21" s="118">
        <v>19</v>
      </c>
      <c r="B21" s="99" t="s">
        <v>58</v>
      </c>
      <c r="C21" s="100">
        <v>1485168.5729999987</v>
      </c>
      <c r="D21" s="100">
        <v>2073003.6599999997</v>
      </c>
      <c r="E21" s="101">
        <f t="shared" si="0"/>
        <v>5.5254188118772406E-3</v>
      </c>
      <c r="F21" s="119">
        <f t="shared" si="1"/>
        <v>0.39580361292764943</v>
      </c>
    </row>
    <row r="22" spans="1:6" x14ac:dyDescent="0.25">
      <c r="A22" s="118">
        <v>20</v>
      </c>
      <c r="B22" s="99" t="s">
        <v>132</v>
      </c>
      <c r="C22" s="100">
        <v>0</v>
      </c>
      <c r="D22" s="100">
        <v>1974890.9779999997</v>
      </c>
      <c r="E22" s="101">
        <f t="shared" si="0"/>
        <v>5.2639076195590715E-3</v>
      </c>
      <c r="F22" s="119" t="s">
        <v>142</v>
      </c>
    </row>
    <row r="23" spans="1:6" x14ac:dyDescent="0.25">
      <c r="A23" s="118">
        <v>21</v>
      </c>
      <c r="B23" s="99" t="s">
        <v>52</v>
      </c>
      <c r="C23" s="100">
        <v>3315563.5199999996</v>
      </c>
      <c r="D23" s="100">
        <v>1916947.8310000005</v>
      </c>
      <c r="E23" s="101">
        <f t="shared" si="0"/>
        <v>5.1094649812604186E-3</v>
      </c>
      <c r="F23" s="119">
        <f t="shared" si="1"/>
        <v>-0.4218334773450515</v>
      </c>
    </row>
    <row r="24" spans="1:6" x14ac:dyDescent="0.25">
      <c r="A24" s="118">
        <v>22</v>
      </c>
      <c r="B24" s="99" t="s">
        <v>56</v>
      </c>
      <c r="C24" s="100">
        <v>1977115.912999999</v>
      </c>
      <c r="D24" s="100">
        <v>1879475.0059999994</v>
      </c>
      <c r="E24" s="101">
        <f t="shared" si="0"/>
        <v>5.0095842834187226E-3</v>
      </c>
      <c r="F24" s="119">
        <f t="shared" si="1"/>
        <v>-4.9385524823298388E-2</v>
      </c>
    </row>
    <row r="25" spans="1:6" x14ac:dyDescent="0.25">
      <c r="A25" s="118">
        <v>23</v>
      </c>
      <c r="B25" s="99" t="s">
        <v>55</v>
      </c>
      <c r="C25" s="100">
        <v>2124823.2780000004</v>
      </c>
      <c r="D25" s="100">
        <v>1836332.9309999999</v>
      </c>
      <c r="E25" s="101">
        <f t="shared" si="0"/>
        <v>4.8945926713014447E-3</v>
      </c>
      <c r="F25" s="119">
        <f t="shared" si="1"/>
        <v>-0.13577145449552086</v>
      </c>
    </row>
    <row r="26" spans="1:6" x14ac:dyDescent="0.25">
      <c r="A26" s="118">
        <v>24</v>
      </c>
      <c r="B26" s="99" t="s">
        <v>62</v>
      </c>
      <c r="C26" s="100">
        <v>965828.901000001</v>
      </c>
      <c r="D26" s="100">
        <v>1806384.4800000004</v>
      </c>
      <c r="E26" s="101">
        <f t="shared" si="0"/>
        <v>4.8147675664379158E-3</v>
      </c>
      <c r="F26" s="119">
        <f t="shared" si="1"/>
        <v>0.87029449846624396</v>
      </c>
    </row>
    <row r="27" spans="1:6" x14ac:dyDescent="0.25">
      <c r="A27" s="118">
        <v>25</v>
      </c>
      <c r="B27" s="99" t="s">
        <v>66</v>
      </c>
      <c r="C27" s="100">
        <v>569850.79399999999</v>
      </c>
      <c r="D27" s="100">
        <v>1799982.0310000002</v>
      </c>
      <c r="E27" s="101">
        <f t="shared" si="0"/>
        <v>4.7977023712193574E-3</v>
      </c>
      <c r="F27" s="119">
        <f t="shared" si="1"/>
        <v>2.1586900465036472</v>
      </c>
    </row>
    <row r="28" spans="1:6" x14ac:dyDescent="0.25">
      <c r="A28" s="118">
        <v>26</v>
      </c>
      <c r="B28" s="99" t="s">
        <v>57</v>
      </c>
      <c r="C28" s="100">
        <v>1723421.2290000001</v>
      </c>
      <c r="D28" s="100">
        <v>1635443.7199999983</v>
      </c>
      <c r="E28" s="101">
        <f t="shared" si="0"/>
        <v>4.3591391904510618E-3</v>
      </c>
      <c r="F28" s="119">
        <f t="shared" si="1"/>
        <v>-5.1048175292032316E-2</v>
      </c>
    </row>
    <row r="29" spans="1:6" x14ac:dyDescent="0.25">
      <c r="A29" s="118">
        <v>27</v>
      </c>
      <c r="B29" s="99" t="s">
        <v>51</v>
      </c>
      <c r="C29" s="100">
        <v>1410707.7589999991</v>
      </c>
      <c r="D29" s="100">
        <v>1567140.331999999</v>
      </c>
      <c r="E29" s="101">
        <f t="shared" si="0"/>
        <v>4.1770821915887695E-3</v>
      </c>
      <c r="F29" s="119">
        <f t="shared" si="1"/>
        <v>0.11088942553976544</v>
      </c>
    </row>
    <row r="30" spans="1:6" x14ac:dyDescent="0.25">
      <c r="A30" s="118">
        <v>28</v>
      </c>
      <c r="B30" s="99" t="s">
        <v>54</v>
      </c>
      <c r="C30" s="100">
        <v>1158544.4599999995</v>
      </c>
      <c r="D30" s="100">
        <v>1302241.0489999994</v>
      </c>
      <c r="E30" s="101">
        <f t="shared" si="0"/>
        <v>3.4710151885324458E-3</v>
      </c>
      <c r="F30" s="119">
        <f t="shared" si="1"/>
        <v>0.12403200219005828</v>
      </c>
    </row>
    <row r="31" spans="1:6" x14ac:dyDescent="0.25">
      <c r="A31" s="118">
        <v>29</v>
      </c>
      <c r="B31" s="99" t="s">
        <v>59</v>
      </c>
      <c r="C31" s="100">
        <v>914938.88599999971</v>
      </c>
      <c r="D31" s="100">
        <v>1194358.7129999995</v>
      </c>
      <c r="E31" s="101">
        <f t="shared" si="0"/>
        <v>3.1834637961708611E-3</v>
      </c>
      <c r="F31" s="119">
        <f t="shared" si="1"/>
        <v>0.30539725797598227</v>
      </c>
    </row>
    <row r="32" spans="1:6" x14ac:dyDescent="0.25">
      <c r="A32" s="118">
        <v>30</v>
      </c>
      <c r="B32" s="99" t="s">
        <v>60</v>
      </c>
      <c r="C32" s="100">
        <v>773846.39800000016</v>
      </c>
      <c r="D32" s="100">
        <v>1144242.8289999994</v>
      </c>
      <c r="E32" s="101">
        <f t="shared" si="0"/>
        <v>3.0498840762838938E-3</v>
      </c>
      <c r="F32" s="119">
        <f t="shared" si="1"/>
        <v>0.47864334828886701</v>
      </c>
    </row>
    <row r="33" spans="1:6" x14ac:dyDescent="0.25">
      <c r="A33" s="118">
        <v>31</v>
      </c>
      <c r="B33" s="99" t="s">
        <v>61</v>
      </c>
      <c r="C33" s="100">
        <v>1474623.2979999995</v>
      </c>
      <c r="D33" s="100">
        <v>1014954.5909999999</v>
      </c>
      <c r="E33" s="101">
        <f t="shared" si="0"/>
        <v>2.7052770328020413E-3</v>
      </c>
      <c r="F33" s="119">
        <f t="shared" si="1"/>
        <v>-0.31171941174633455</v>
      </c>
    </row>
    <row r="34" spans="1:6" x14ac:dyDescent="0.25">
      <c r="A34" s="118">
        <v>32</v>
      </c>
      <c r="B34" s="99" t="s">
        <v>64</v>
      </c>
      <c r="C34" s="100">
        <v>834661.49699999997</v>
      </c>
      <c r="D34" s="100">
        <v>912274.64999999967</v>
      </c>
      <c r="E34" s="101">
        <f t="shared" si="0"/>
        <v>2.4315921915491093E-3</v>
      </c>
      <c r="F34" s="119">
        <f t="shared" si="1"/>
        <v>9.298758032922616E-2</v>
      </c>
    </row>
    <row r="35" spans="1:6" x14ac:dyDescent="0.25">
      <c r="A35" s="118">
        <v>33</v>
      </c>
      <c r="B35" s="99" t="s">
        <v>63</v>
      </c>
      <c r="C35" s="100">
        <v>919827.37599999993</v>
      </c>
      <c r="D35" s="100">
        <v>879275.72699999949</v>
      </c>
      <c r="E35" s="101">
        <f t="shared" si="0"/>
        <v>2.3436363073246263E-3</v>
      </c>
      <c r="F35" s="119">
        <f t="shared" si="1"/>
        <v>-4.4086151443268662E-2</v>
      </c>
    </row>
    <row r="36" spans="1:6" x14ac:dyDescent="0.25">
      <c r="A36" s="118">
        <v>34</v>
      </c>
      <c r="B36" s="99" t="s">
        <v>70</v>
      </c>
      <c r="C36" s="100">
        <v>487784.67200000002</v>
      </c>
      <c r="D36" s="100">
        <v>804092.93199999991</v>
      </c>
      <c r="E36" s="101">
        <f t="shared" si="0"/>
        <v>2.1432428213707675E-3</v>
      </c>
      <c r="F36" s="119">
        <f t="shared" si="1"/>
        <v>0.64845879371953674</v>
      </c>
    </row>
    <row r="37" spans="1:6" x14ac:dyDescent="0.25">
      <c r="A37" s="118">
        <v>35</v>
      </c>
      <c r="B37" s="99" t="s">
        <v>65</v>
      </c>
      <c r="C37" s="100">
        <v>434118.16400000005</v>
      </c>
      <c r="D37" s="100">
        <v>799091.86199999996</v>
      </c>
      <c r="E37" s="101">
        <f t="shared" si="0"/>
        <v>2.1299128853022927E-3</v>
      </c>
      <c r="F37" s="119">
        <f t="shared" si="1"/>
        <v>0.84072431947353365</v>
      </c>
    </row>
    <row r="38" spans="1:6" x14ac:dyDescent="0.25">
      <c r="A38" s="118">
        <v>36</v>
      </c>
      <c r="B38" s="99" t="s">
        <v>71</v>
      </c>
      <c r="C38" s="100">
        <v>467406.18199999997</v>
      </c>
      <c r="D38" s="100">
        <v>735062.9809999998</v>
      </c>
      <c r="E38" s="101">
        <f t="shared" si="0"/>
        <v>1.9592492292714826E-3</v>
      </c>
      <c r="F38" s="119">
        <f t="shared" si="1"/>
        <v>0.57264283038515695</v>
      </c>
    </row>
    <row r="39" spans="1:6" x14ac:dyDescent="0.25">
      <c r="A39" s="118">
        <v>37</v>
      </c>
      <c r="B39" s="99" t="s">
        <v>68</v>
      </c>
      <c r="C39" s="100">
        <v>454120.10700000013</v>
      </c>
      <c r="D39" s="100">
        <v>597994.2099999995</v>
      </c>
      <c r="E39" s="101">
        <f t="shared" si="0"/>
        <v>1.5939038223056813E-3</v>
      </c>
      <c r="F39" s="119">
        <f t="shared" si="1"/>
        <v>0.31681949506807316</v>
      </c>
    </row>
    <row r="40" spans="1:6" x14ac:dyDescent="0.25">
      <c r="A40" s="118">
        <v>38</v>
      </c>
      <c r="B40" s="99" t="s">
        <v>73</v>
      </c>
      <c r="C40" s="100">
        <v>393609.17000000004</v>
      </c>
      <c r="D40" s="100">
        <v>592569.77299999981</v>
      </c>
      <c r="E40" s="101">
        <f t="shared" si="0"/>
        <v>1.5794454367167041E-3</v>
      </c>
      <c r="F40" s="119">
        <f t="shared" si="1"/>
        <v>0.50547756039321889</v>
      </c>
    </row>
    <row r="41" spans="1:6" x14ac:dyDescent="0.25">
      <c r="A41" s="118">
        <v>39</v>
      </c>
      <c r="B41" s="99" t="s">
        <v>67</v>
      </c>
      <c r="C41" s="100">
        <v>488285.87900000002</v>
      </c>
      <c r="D41" s="100">
        <v>433516.83899999992</v>
      </c>
      <c r="E41" s="101">
        <f t="shared" si="0"/>
        <v>1.1555030720380674E-3</v>
      </c>
      <c r="F41" s="119">
        <f t="shared" si="1"/>
        <v>-0.11216593056544255</v>
      </c>
    </row>
    <row r="42" spans="1:6" x14ac:dyDescent="0.25">
      <c r="A42" s="118">
        <v>40</v>
      </c>
      <c r="B42" s="99" t="s">
        <v>72</v>
      </c>
      <c r="C42" s="100">
        <v>496429.72000000009</v>
      </c>
      <c r="D42" s="100">
        <v>398169.84800000006</v>
      </c>
      <c r="E42" s="101">
        <f t="shared" si="0"/>
        <v>1.0612886078848033E-3</v>
      </c>
      <c r="F42" s="119">
        <f t="shared" si="1"/>
        <v>-0.19793309715622986</v>
      </c>
    </row>
    <row r="43" spans="1:6" x14ac:dyDescent="0.25">
      <c r="A43" s="118">
        <v>41</v>
      </c>
      <c r="B43" s="99" t="s">
        <v>69</v>
      </c>
      <c r="C43" s="100">
        <v>490549.41899999994</v>
      </c>
      <c r="D43" s="100">
        <v>382628.83</v>
      </c>
      <c r="E43" s="101">
        <f t="shared" si="0"/>
        <v>1.019865317193207E-3</v>
      </c>
      <c r="F43" s="119">
        <f t="shared" si="1"/>
        <v>-0.21999942272890538</v>
      </c>
    </row>
    <row r="44" spans="1:6" x14ac:dyDescent="0.25">
      <c r="A44" s="118">
        <v>42</v>
      </c>
      <c r="B44" s="99" t="s">
        <v>93</v>
      </c>
      <c r="C44" s="100">
        <v>76168.085999999996</v>
      </c>
      <c r="D44" s="100">
        <v>318057.24499999994</v>
      </c>
      <c r="E44" s="101">
        <f t="shared" si="0"/>
        <v>8.4775512879550264E-4</v>
      </c>
      <c r="F44" s="119">
        <f t="shared" si="1"/>
        <v>3.1757284671693071</v>
      </c>
    </row>
    <row r="45" spans="1:6" x14ac:dyDescent="0.25">
      <c r="A45" s="118">
        <v>43</v>
      </c>
      <c r="B45" s="99" t="s">
        <v>75</v>
      </c>
      <c r="C45" s="100">
        <v>334700.90899999987</v>
      </c>
      <c r="D45" s="100">
        <v>287018.87799999985</v>
      </c>
      <c r="E45" s="101">
        <f t="shared" si="0"/>
        <v>7.6502494349918232E-4</v>
      </c>
      <c r="F45" s="119">
        <f t="shared" si="1"/>
        <v>-0.14246161189840101</v>
      </c>
    </row>
    <row r="46" spans="1:6" x14ac:dyDescent="0.25">
      <c r="A46" s="118">
        <v>44</v>
      </c>
      <c r="B46" s="99" t="s">
        <v>120</v>
      </c>
      <c r="C46" s="100">
        <v>169705.927</v>
      </c>
      <c r="D46" s="100">
        <v>240275.20300000001</v>
      </c>
      <c r="E46" s="101">
        <f t="shared" si="0"/>
        <v>6.404335661828128E-4</v>
      </c>
      <c r="F46" s="119">
        <f t="shared" si="1"/>
        <v>0.41583271278439216</v>
      </c>
    </row>
    <row r="47" spans="1:6" x14ac:dyDescent="0.25">
      <c r="A47" s="118">
        <v>45</v>
      </c>
      <c r="B47" s="99" t="s">
        <v>133</v>
      </c>
      <c r="C47" s="100">
        <v>132680.75799999997</v>
      </c>
      <c r="D47" s="100">
        <v>223658.58499999999</v>
      </c>
      <c r="E47" s="101">
        <f t="shared" si="0"/>
        <v>5.9614335316554383E-4</v>
      </c>
      <c r="F47" s="119">
        <f t="shared" si="1"/>
        <v>0.68568968380479123</v>
      </c>
    </row>
    <row r="48" spans="1:6" x14ac:dyDescent="0.25">
      <c r="A48" s="118">
        <v>46</v>
      </c>
      <c r="B48" s="99" t="s">
        <v>134</v>
      </c>
      <c r="C48" s="100">
        <v>29228.66</v>
      </c>
      <c r="D48" s="100">
        <v>204829.05300000007</v>
      </c>
      <c r="E48" s="101">
        <f t="shared" si="0"/>
        <v>5.4595480196364E-4</v>
      </c>
      <c r="F48" s="119">
        <f t="shared" si="1"/>
        <v>6.007815377099055</v>
      </c>
    </row>
    <row r="49" spans="1:6" x14ac:dyDescent="0.25">
      <c r="A49" s="118">
        <v>47</v>
      </c>
      <c r="B49" s="99" t="s">
        <v>76</v>
      </c>
      <c r="C49" s="100">
        <v>146549.80699999997</v>
      </c>
      <c r="D49" s="100">
        <v>203376.465</v>
      </c>
      <c r="E49" s="101">
        <f t="shared" si="0"/>
        <v>5.4208304948390369E-4</v>
      </c>
      <c r="F49" s="119">
        <f t="shared" si="1"/>
        <v>0.38776344481982172</v>
      </c>
    </row>
    <row r="50" spans="1:6" x14ac:dyDescent="0.25">
      <c r="A50" s="118">
        <v>48</v>
      </c>
      <c r="B50" s="99" t="s">
        <v>74</v>
      </c>
      <c r="C50" s="100">
        <v>292592.55499999999</v>
      </c>
      <c r="D50" s="100">
        <v>177341.42300000004</v>
      </c>
      <c r="E50" s="101">
        <f t="shared" si="0"/>
        <v>4.726888107709755E-4</v>
      </c>
      <c r="F50" s="119">
        <f t="shared" si="1"/>
        <v>-0.3938963245322491</v>
      </c>
    </row>
    <row r="51" spans="1:6" x14ac:dyDescent="0.25">
      <c r="A51" s="118">
        <v>49</v>
      </c>
      <c r="B51" s="99" t="s">
        <v>135</v>
      </c>
      <c r="C51" s="100">
        <v>91381.066999999995</v>
      </c>
      <c r="D51" s="100">
        <v>136590.82699999999</v>
      </c>
      <c r="E51" s="101">
        <f t="shared" si="0"/>
        <v>3.6407148699181259E-4</v>
      </c>
      <c r="F51" s="119">
        <f t="shared" si="1"/>
        <v>0.49473880623433741</v>
      </c>
    </row>
    <row r="52" spans="1:6" x14ac:dyDescent="0.25">
      <c r="A52" s="118">
        <v>50</v>
      </c>
      <c r="B52" s="99" t="s">
        <v>122</v>
      </c>
      <c r="C52" s="100">
        <v>73158.074999999968</v>
      </c>
      <c r="D52" s="100">
        <v>129651.105</v>
      </c>
      <c r="E52" s="101">
        <f t="shared" si="0"/>
        <v>3.4557423528507974E-4</v>
      </c>
      <c r="F52" s="119">
        <f t="shared" si="1"/>
        <v>0.77220498215678934</v>
      </c>
    </row>
    <row r="53" spans="1:6" x14ac:dyDescent="0.25">
      <c r="B53" s="99" t="s">
        <v>78</v>
      </c>
      <c r="C53" s="100">
        <v>1074278.1129999997</v>
      </c>
      <c r="D53" s="100">
        <v>873868.61599999981</v>
      </c>
      <c r="E53" s="101">
        <f t="shared" si="0"/>
        <v>2.329224102747377E-3</v>
      </c>
      <c r="F53" s="119">
        <f t="shared" si="1"/>
        <v>-0.18655271346852798</v>
      </c>
    </row>
    <row r="54" spans="1:6" x14ac:dyDescent="0.25">
      <c r="B54" s="114" t="s">
        <v>32</v>
      </c>
      <c r="C54" s="115">
        <f>SUM(C3:C53)</f>
        <v>369483245.60399961</v>
      </c>
      <c r="D54" s="115">
        <f>SUM(D3:D53)</f>
        <v>375175842.87799972</v>
      </c>
      <c r="E54" s="116">
        <f>SUM(E3:E53)</f>
        <v>1</v>
      </c>
      <c r="F54" s="117">
        <f t="shared" si="1"/>
        <v>1.5406915852691272E-2</v>
      </c>
    </row>
  </sheetData>
  <conditionalFormatting sqref="F3:F53">
    <cfRule type="cellIs" dxfId="11" priority="1" operator="lessThan">
      <formula>0%</formula>
    </cfRule>
    <cfRule type="cellIs" dxfId="10" priority="2" operator="greaterThanOrEqual">
      <formula>1%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19AB8-E1F6-4F7D-B4C3-4FBD2C0C2604}">
  <dimension ref="A1:F19"/>
  <sheetViews>
    <sheetView showGridLines="0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" sqref="B2"/>
    </sheetView>
  </sheetViews>
  <sheetFormatPr baseColWidth="10" defaultRowHeight="15" x14ac:dyDescent="0.25"/>
  <cols>
    <col min="1" max="1" width="6.42578125" customWidth="1"/>
    <col min="2" max="2" width="39.42578125" customWidth="1"/>
    <col min="3" max="3" width="19.28515625" customWidth="1"/>
    <col min="4" max="4" width="23.85546875" customWidth="1"/>
    <col min="5" max="5" width="15.140625" customWidth="1"/>
    <col min="6" max="6" width="12.7109375" customWidth="1"/>
  </cols>
  <sheetData>
    <row r="1" spans="1:6" ht="27.75" customHeight="1" x14ac:dyDescent="0.25">
      <c r="B1" s="139" t="s">
        <v>140</v>
      </c>
      <c r="C1" s="139"/>
      <c r="D1" s="139"/>
      <c r="E1" s="139"/>
      <c r="F1" s="139"/>
    </row>
    <row r="2" spans="1:6" ht="27" customHeight="1" x14ac:dyDescent="0.25">
      <c r="B2" s="120" t="s">
        <v>92</v>
      </c>
      <c r="C2" s="120">
        <v>2024</v>
      </c>
      <c r="D2" s="120">
        <v>2025</v>
      </c>
      <c r="E2" s="120" t="s">
        <v>79</v>
      </c>
      <c r="F2" s="120" t="s">
        <v>80</v>
      </c>
    </row>
    <row r="3" spans="1:6" ht="15.95" customHeight="1" x14ac:dyDescent="0.25">
      <c r="A3">
        <v>1</v>
      </c>
      <c r="B3" s="124" t="s">
        <v>94</v>
      </c>
      <c r="C3" s="125">
        <v>35715643.91399999</v>
      </c>
      <c r="D3" s="125">
        <v>27669809.577000007</v>
      </c>
      <c r="E3" s="126">
        <f>D3/$D$19</f>
        <v>7.3751575700458066E-2</v>
      </c>
      <c r="F3" s="127">
        <f>IFERROR((D3/C3)-1,"-")</f>
        <v>-0.22527479432748343</v>
      </c>
    </row>
    <row r="4" spans="1:6" ht="15.95" customHeight="1" x14ac:dyDescent="0.25">
      <c r="A4">
        <v>2</v>
      </c>
      <c r="B4" s="124" t="s">
        <v>82</v>
      </c>
      <c r="C4" s="125">
        <v>28408621.287</v>
      </c>
      <c r="D4" s="125">
        <v>18532360.132000007</v>
      </c>
      <c r="E4" s="126">
        <f t="shared" ref="E4:E18" si="0">D4/$D$19</f>
        <v>4.9396464308141388E-2</v>
      </c>
      <c r="F4" s="127">
        <f t="shared" ref="F4:F18" si="1">IFERROR((D4/C4)-1,"-")</f>
        <v>-0.34765013955532731</v>
      </c>
    </row>
    <row r="5" spans="1:6" ht="15.95" customHeight="1" x14ac:dyDescent="0.25">
      <c r="A5">
        <v>3</v>
      </c>
      <c r="B5" s="124" t="s">
        <v>81</v>
      </c>
      <c r="C5" s="125">
        <v>16376725.323999999</v>
      </c>
      <c r="D5" s="125">
        <v>15492919.767999999</v>
      </c>
      <c r="E5" s="126">
        <f t="shared" si="0"/>
        <v>4.1295088855275747E-2</v>
      </c>
      <c r="F5" s="127">
        <f t="shared" si="1"/>
        <v>-5.3967172222445958E-2</v>
      </c>
    </row>
    <row r="6" spans="1:6" ht="15.95" customHeight="1" x14ac:dyDescent="0.25">
      <c r="A6">
        <v>4</v>
      </c>
      <c r="B6" s="124" t="s">
        <v>84</v>
      </c>
      <c r="C6" s="125">
        <v>9813539.9900000002</v>
      </c>
      <c r="D6" s="125">
        <v>15108151.638999995</v>
      </c>
      <c r="E6" s="126">
        <f t="shared" si="0"/>
        <v>4.0269521414556697E-2</v>
      </c>
      <c r="F6" s="127">
        <f t="shared" si="1"/>
        <v>0.53952107541164618</v>
      </c>
    </row>
    <row r="7" spans="1:6" ht="15.95" customHeight="1" x14ac:dyDescent="0.25">
      <c r="A7">
        <v>5</v>
      </c>
      <c r="B7" s="124" t="s">
        <v>85</v>
      </c>
      <c r="C7" s="125">
        <v>11555530.327000005</v>
      </c>
      <c r="D7" s="125">
        <v>11606166.943000006</v>
      </c>
      <c r="E7" s="126">
        <f t="shared" si="0"/>
        <v>3.0935272521728157E-2</v>
      </c>
      <c r="F7" s="127">
        <f t="shared" si="1"/>
        <v>4.3820244131664854E-3</v>
      </c>
    </row>
    <row r="8" spans="1:6" ht="15.95" customHeight="1" x14ac:dyDescent="0.25">
      <c r="A8">
        <v>6</v>
      </c>
      <c r="B8" s="124" t="s">
        <v>83</v>
      </c>
      <c r="C8" s="125">
        <v>14846283.250999998</v>
      </c>
      <c r="D8" s="125">
        <v>10800251.019000016</v>
      </c>
      <c r="E8" s="126">
        <f t="shared" si="0"/>
        <v>2.8787170666827927E-2</v>
      </c>
      <c r="F8" s="127">
        <f t="shared" si="1"/>
        <v>-0.27252829301417603</v>
      </c>
    </row>
    <row r="9" spans="1:6" ht="15.95" customHeight="1" x14ac:dyDescent="0.25">
      <c r="A9">
        <v>7</v>
      </c>
      <c r="B9" s="124" t="s">
        <v>88</v>
      </c>
      <c r="C9" s="125">
        <v>6745935.6410000017</v>
      </c>
      <c r="D9" s="125">
        <v>9159696.1400000006</v>
      </c>
      <c r="E9" s="126">
        <f t="shared" si="0"/>
        <v>2.4414408107236663E-2</v>
      </c>
      <c r="F9" s="127">
        <f t="shared" si="1"/>
        <v>0.35780959491072006</v>
      </c>
    </row>
    <row r="10" spans="1:6" ht="15.95" customHeight="1" x14ac:dyDescent="0.25">
      <c r="A10">
        <v>8</v>
      </c>
      <c r="B10" s="124" t="s">
        <v>87</v>
      </c>
      <c r="C10" s="125">
        <v>7099965.7099999944</v>
      </c>
      <c r="D10" s="125">
        <v>8673999.8330000006</v>
      </c>
      <c r="E10" s="126">
        <f t="shared" si="0"/>
        <v>2.3119825003819903E-2</v>
      </c>
      <c r="F10" s="127">
        <f t="shared" si="1"/>
        <v>0.22169601759950019</v>
      </c>
    </row>
    <row r="11" spans="1:6" ht="15.95" customHeight="1" x14ac:dyDescent="0.25">
      <c r="A11">
        <v>9</v>
      </c>
      <c r="B11" s="124" t="s">
        <v>86</v>
      </c>
      <c r="C11" s="125">
        <v>13523719.767999999</v>
      </c>
      <c r="D11" s="125">
        <v>6216845.3370000003</v>
      </c>
      <c r="E11" s="126">
        <f t="shared" si="0"/>
        <v>1.65704840943653E-2</v>
      </c>
      <c r="F11" s="127">
        <f t="shared" si="1"/>
        <v>-0.54030063890333047</v>
      </c>
    </row>
    <row r="12" spans="1:6" ht="15.95" customHeight="1" x14ac:dyDescent="0.25">
      <c r="A12">
        <v>10</v>
      </c>
      <c r="B12" s="124" t="s">
        <v>136</v>
      </c>
      <c r="C12" s="125">
        <v>6050921.0899999999</v>
      </c>
      <c r="D12" s="125">
        <v>5707777.0549999997</v>
      </c>
      <c r="E12" s="126">
        <f t="shared" si="0"/>
        <v>1.5213604935795544E-2</v>
      </c>
      <c r="F12" s="127">
        <f t="shared" si="1"/>
        <v>-5.6709388520550075E-2</v>
      </c>
    </row>
    <row r="13" spans="1:6" ht="15.95" customHeight="1" x14ac:dyDescent="0.25">
      <c r="A13">
        <v>11</v>
      </c>
      <c r="B13" s="124" t="s">
        <v>90</v>
      </c>
      <c r="C13" s="125">
        <v>3305964.568</v>
      </c>
      <c r="D13" s="125">
        <v>4212149.8029999994</v>
      </c>
      <c r="E13" s="126">
        <f t="shared" si="0"/>
        <v>1.1227134910095226E-2</v>
      </c>
      <c r="F13" s="127">
        <f t="shared" si="1"/>
        <v>0.27410615460655463</v>
      </c>
    </row>
    <row r="14" spans="1:6" ht="15.95" customHeight="1" x14ac:dyDescent="0.25">
      <c r="A14">
        <v>12</v>
      </c>
      <c r="B14" s="124" t="s">
        <v>89</v>
      </c>
      <c r="C14" s="125">
        <v>3737455.1150000026</v>
      </c>
      <c r="D14" s="125">
        <v>4085138.7490000003</v>
      </c>
      <c r="E14" s="126">
        <f t="shared" si="0"/>
        <v>1.0888597511136678E-2</v>
      </c>
      <c r="F14" s="127">
        <f t="shared" si="1"/>
        <v>9.3026838664789668E-2</v>
      </c>
    </row>
    <row r="15" spans="1:6" ht="15.95" customHeight="1" x14ac:dyDescent="0.25">
      <c r="A15">
        <v>13</v>
      </c>
      <c r="B15" s="124" t="s">
        <v>91</v>
      </c>
      <c r="C15" s="125">
        <v>4018511.4060000041</v>
      </c>
      <c r="D15" s="125">
        <v>3903258.2709999974</v>
      </c>
      <c r="E15" s="126">
        <f t="shared" si="0"/>
        <v>1.040381022684677E-2</v>
      </c>
      <c r="F15" s="127">
        <f t="shared" si="1"/>
        <v>-2.8680554403285541E-2</v>
      </c>
    </row>
    <row r="16" spans="1:6" ht="15.95" customHeight="1" x14ac:dyDescent="0.25">
      <c r="A16">
        <v>14</v>
      </c>
      <c r="B16" s="124" t="s">
        <v>123</v>
      </c>
      <c r="C16" s="125">
        <v>2220010.8130000005</v>
      </c>
      <c r="D16" s="125">
        <v>3630549.1429999992</v>
      </c>
      <c r="E16" s="126">
        <f t="shared" si="0"/>
        <v>9.6769267316088384E-3</v>
      </c>
      <c r="F16" s="127">
        <f t="shared" si="1"/>
        <v>0.63537453139422984</v>
      </c>
    </row>
    <row r="17" spans="1:6" ht="15.95" customHeight="1" x14ac:dyDescent="0.25">
      <c r="A17">
        <v>15</v>
      </c>
      <c r="B17" s="124" t="s">
        <v>137</v>
      </c>
      <c r="C17" s="125">
        <v>2914812.6599999997</v>
      </c>
      <c r="D17" s="125">
        <v>3616222.0199999996</v>
      </c>
      <c r="E17" s="126">
        <f t="shared" si="0"/>
        <v>9.6387389770612765E-3</v>
      </c>
      <c r="F17" s="127">
        <f t="shared" si="1"/>
        <v>0.24063617179431351</v>
      </c>
    </row>
    <row r="18" spans="1:6" ht="15.95" customHeight="1" x14ac:dyDescent="0.25">
      <c r="B18" s="124" t="s">
        <v>78</v>
      </c>
      <c r="C18" s="125">
        <v>203149604.74000016</v>
      </c>
      <c r="D18" s="125">
        <v>226760547.44900027</v>
      </c>
      <c r="E18" s="126">
        <f t="shared" si="0"/>
        <v>0.60441137603504558</v>
      </c>
      <c r="F18" s="127">
        <f t="shared" si="1"/>
        <v>0.11622440880068874</v>
      </c>
    </row>
    <row r="19" spans="1:6" ht="15.75" x14ac:dyDescent="0.25">
      <c r="B19" s="128" t="s">
        <v>19</v>
      </c>
      <c r="C19" s="129">
        <f>SUM(C3:C18)</f>
        <v>369483245.60400015</v>
      </c>
      <c r="D19" s="129">
        <f>SUM(D3:D18)</f>
        <v>375175842.87800038</v>
      </c>
      <c r="E19" s="130">
        <f t="shared" ref="E19" si="2">SUM(E3:E18)</f>
        <v>0.99999999999999978</v>
      </c>
      <c r="F19" s="131">
        <f t="shared" ref="F19" si="3">(D19/C19)-1</f>
        <v>1.5406915852691716E-2</v>
      </c>
    </row>
  </sheetData>
  <mergeCells count="1">
    <mergeCell ref="B1:F1"/>
  </mergeCells>
  <conditionalFormatting sqref="F3:F18">
    <cfRule type="cellIs" dxfId="9" priority="1" operator="lessThan">
      <formula>0%</formula>
    </cfRule>
    <cfRule type="cellIs" dxfId="8" priority="2" operator="greaterThanOrEqual">
      <formula>1%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37FCC-05DC-40D2-9EF5-7FCA29239DCE}">
  <dimension ref="A1:L18"/>
  <sheetViews>
    <sheetView showGridLines="0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" sqref="B2"/>
    </sheetView>
  </sheetViews>
  <sheetFormatPr baseColWidth="10" defaultRowHeight="15" x14ac:dyDescent="0.25"/>
  <cols>
    <col min="1" max="1" width="6.42578125" customWidth="1"/>
    <col min="2" max="2" width="20.7109375" customWidth="1"/>
    <col min="3" max="3" width="48.140625" customWidth="1"/>
    <col min="4" max="4" width="15.28515625" customWidth="1"/>
    <col min="5" max="5" width="15.42578125" customWidth="1"/>
    <col min="6" max="6" width="12.7109375" customWidth="1"/>
  </cols>
  <sheetData>
    <row r="1" spans="1:12" ht="27.75" customHeight="1" x14ac:dyDescent="0.25">
      <c r="B1" s="140" t="s">
        <v>139</v>
      </c>
      <c r="C1" s="140"/>
      <c r="D1" s="140"/>
      <c r="E1" s="140"/>
      <c r="F1" s="140"/>
      <c r="G1" s="140"/>
    </row>
    <row r="2" spans="1:12" ht="27" customHeight="1" x14ac:dyDescent="0.25">
      <c r="B2" s="27" t="s">
        <v>18</v>
      </c>
      <c r="C2" s="28" t="s">
        <v>95</v>
      </c>
      <c r="D2" s="120">
        <v>2024</v>
      </c>
      <c r="E2" s="120">
        <v>2025</v>
      </c>
      <c r="F2" s="120" t="s">
        <v>79</v>
      </c>
      <c r="G2" s="120" t="s">
        <v>80</v>
      </c>
    </row>
    <row r="3" spans="1:12" ht="15.95" customHeight="1" x14ac:dyDescent="0.25">
      <c r="A3">
        <v>1</v>
      </c>
      <c r="B3" s="132">
        <v>4011800000</v>
      </c>
      <c r="C3" s="124" t="s">
        <v>101</v>
      </c>
      <c r="D3" s="125">
        <v>34574506.438000001</v>
      </c>
      <c r="E3" s="125">
        <v>32449091.459000032</v>
      </c>
      <c r="F3" s="126">
        <f t="shared" ref="F3:F17" si="0">E3/$E$18</f>
        <v>0.35488994399155427</v>
      </c>
      <c r="G3" s="127">
        <f>IFERROR((E3/D3)-1,"-")</f>
        <v>-6.1473472739555168E-2</v>
      </c>
    </row>
    <row r="4" spans="1:12" ht="15.95" customHeight="1" x14ac:dyDescent="0.25">
      <c r="A4">
        <v>2</v>
      </c>
      <c r="B4" s="132">
        <v>4011201000</v>
      </c>
      <c r="C4" s="124" t="s">
        <v>96</v>
      </c>
      <c r="D4" s="125">
        <v>25847119.956999999</v>
      </c>
      <c r="E4" s="125">
        <v>32811161.719000008</v>
      </c>
      <c r="F4" s="126">
        <f t="shared" si="0"/>
        <v>0.35884984205078824</v>
      </c>
      <c r="G4" s="127">
        <f t="shared" ref="G4:G18" si="1">IFERROR((E4/D4)-1,"-")</f>
        <v>0.26943202080485507</v>
      </c>
      <c r="I4" s="141"/>
      <c r="J4" s="141"/>
      <c r="K4" s="141"/>
      <c r="L4" s="141"/>
    </row>
    <row r="5" spans="1:12" ht="15.95" customHeight="1" x14ac:dyDescent="0.25">
      <c r="A5">
        <v>3</v>
      </c>
      <c r="B5" s="132">
        <v>4011101000</v>
      </c>
      <c r="C5" s="124" t="s">
        <v>96</v>
      </c>
      <c r="D5" s="125">
        <v>10354487.026000004</v>
      </c>
      <c r="E5" s="125">
        <v>14049732.952999994</v>
      </c>
      <c r="F5" s="126">
        <f t="shared" si="0"/>
        <v>0.15365943133065818</v>
      </c>
      <c r="G5" s="127">
        <f t="shared" si="1"/>
        <v>0.35687387677644167</v>
      </c>
    </row>
    <row r="6" spans="1:12" ht="15.95" customHeight="1" x14ac:dyDescent="0.25">
      <c r="A6">
        <v>4</v>
      </c>
      <c r="B6" s="132">
        <v>4011400000</v>
      </c>
      <c r="C6" s="124" t="s">
        <v>99</v>
      </c>
      <c r="D6" s="125">
        <v>5119259.034</v>
      </c>
      <c r="E6" s="125">
        <v>5444375.7849999983</v>
      </c>
      <c r="F6" s="126">
        <f t="shared" si="0"/>
        <v>5.9544169976189713E-2</v>
      </c>
      <c r="G6" s="127">
        <f t="shared" si="1"/>
        <v>6.3508556383005343E-2</v>
      </c>
    </row>
    <row r="7" spans="1:12" ht="15.95" customHeight="1" x14ac:dyDescent="0.25">
      <c r="A7">
        <v>5</v>
      </c>
      <c r="B7" s="132">
        <v>4011209000</v>
      </c>
      <c r="C7" s="124" t="s">
        <v>98</v>
      </c>
      <c r="D7" s="125">
        <v>2866087.2400000007</v>
      </c>
      <c r="E7" s="125">
        <v>2649103.2449999996</v>
      </c>
      <c r="F7" s="126">
        <f t="shared" si="0"/>
        <v>2.8972771192493241E-2</v>
      </c>
      <c r="G7" s="127">
        <f t="shared" si="1"/>
        <v>-7.5707393680033652E-2</v>
      </c>
    </row>
    <row r="8" spans="1:12" ht="15.95" customHeight="1" x14ac:dyDescent="0.25">
      <c r="A8">
        <v>6</v>
      </c>
      <c r="B8" s="132">
        <v>4013900000</v>
      </c>
      <c r="C8" s="124" t="s">
        <v>107</v>
      </c>
      <c r="D8" s="125">
        <v>1497017.2140000004</v>
      </c>
      <c r="E8" s="125">
        <v>2174598.8069999991</v>
      </c>
      <c r="F8" s="126">
        <f t="shared" si="0"/>
        <v>2.3783200518739975E-2</v>
      </c>
      <c r="G8" s="127">
        <f t="shared" si="1"/>
        <v>0.45262110994002147</v>
      </c>
    </row>
    <row r="9" spans="1:12" ht="15.95" customHeight="1" x14ac:dyDescent="0.25">
      <c r="A9">
        <v>7</v>
      </c>
      <c r="B9" s="132">
        <v>4016994000</v>
      </c>
      <c r="C9" s="124" t="s">
        <v>108</v>
      </c>
      <c r="D9" s="125">
        <v>555653.28200000001</v>
      </c>
      <c r="E9" s="125">
        <v>317159.00300000003</v>
      </c>
      <c r="F9" s="126">
        <f t="shared" si="0"/>
        <v>3.4687116264350351E-3</v>
      </c>
      <c r="G9" s="127">
        <f t="shared" si="1"/>
        <v>-0.42921420016016387</v>
      </c>
    </row>
    <row r="10" spans="1:12" ht="15.95" customHeight="1" x14ac:dyDescent="0.25">
      <c r="A10">
        <v>8</v>
      </c>
      <c r="B10" s="132">
        <v>4011700000</v>
      </c>
      <c r="C10" s="124" t="s">
        <v>100</v>
      </c>
      <c r="D10" s="125">
        <v>533855.6590000001</v>
      </c>
      <c r="E10" s="125">
        <v>874464.4879999999</v>
      </c>
      <c r="F10" s="126">
        <f t="shared" si="0"/>
        <v>9.5638626295913767E-3</v>
      </c>
      <c r="G10" s="127">
        <f t="shared" si="1"/>
        <v>0.6380167059351145</v>
      </c>
    </row>
    <row r="11" spans="1:12" ht="15.95" customHeight="1" x14ac:dyDescent="0.25">
      <c r="A11">
        <v>9</v>
      </c>
      <c r="B11" s="132">
        <v>4011900000</v>
      </c>
      <c r="C11" s="124" t="s">
        <v>97</v>
      </c>
      <c r="D11" s="125">
        <v>281744.93199999997</v>
      </c>
      <c r="E11" s="125">
        <v>240424.46200000003</v>
      </c>
      <c r="F11" s="126">
        <f t="shared" si="0"/>
        <v>2.6294795945577755E-3</v>
      </c>
      <c r="G11" s="127">
        <f t="shared" si="1"/>
        <v>-0.14665914203560526</v>
      </c>
    </row>
    <row r="12" spans="1:12" ht="15.95" customHeight="1" x14ac:dyDescent="0.25">
      <c r="A12">
        <v>10</v>
      </c>
      <c r="B12" s="132">
        <v>4011109000</v>
      </c>
      <c r="C12" s="124" t="s">
        <v>97</v>
      </c>
      <c r="D12" s="125">
        <v>241192.36699999997</v>
      </c>
      <c r="E12" s="125">
        <v>70402.77</v>
      </c>
      <c r="F12" s="126">
        <f t="shared" si="0"/>
        <v>7.6998257820930184E-4</v>
      </c>
      <c r="G12" s="127">
        <f t="shared" si="1"/>
        <v>-0.70810531495799778</v>
      </c>
    </row>
    <row r="13" spans="1:12" ht="15.95" customHeight="1" x14ac:dyDescent="0.25">
      <c r="A13">
        <v>11</v>
      </c>
      <c r="B13" s="132">
        <v>4013100000</v>
      </c>
      <c r="C13" s="124" t="s">
        <v>106</v>
      </c>
      <c r="D13" s="125">
        <v>166144.27900000001</v>
      </c>
      <c r="E13" s="125">
        <v>130778.06499999999</v>
      </c>
      <c r="F13" s="126">
        <f t="shared" si="0"/>
        <v>1.4302964451813989E-3</v>
      </c>
      <c r="G13" s="127">
        <f t="shared" si="1"/>
        <v>-0.21286447064481839</v>
      </c>
    </row>
    <row r="14" spans="1:12" ht="15.95" customHeight="1" x14ac:dyDescent="0.25">
      <c r="A14">
        <v>12</v>
      </c>
      <c r="B14" s="132">
        <v>4012902000</v>
      </c>
      <c r="C14" s="124" t="s">
        <v>104</v>
      </c>
      <c r="D14" s="125">
        <v>100807.12</v>
      </c>
      <c r="E14" s="125">
        <v>215515.261</v>
      </c>
      <c r="F14" s="126">
        <f t="shared" si="0"/>
        <v>2.3570520919593161E-3</v>
      </c>
      <c r="G14" s="127">
        <f t="shared" si="1"/>
        <v>1.1378972140063124</v>
      </c>
    </row>
    <row r="15" spans="1:12" ht="15.95" customHeight="1" x14ac:dyDescent="0.25">
      <c r="A15">
        <v>13</v>
      </c>
      <c r="B15" s="132">
        <v>4012903000</v>
      </c>
      <c r="C15" s="124" t="s">
        <v>105</v>
      </c>
      <c r="D15" s="125">
        <v>19236.184000000001</v>
      </c>
      <c r="E15" s="125">
        <v>142.17400000000001</v>
      </c>
      <c r="F15" s="126">
        <f t="shared" si="0"/>
        <v>1.5549317601328651E-6</v>
      </c>
      <c r="G15" s="127">
        <f t="shared" si="1"/>
        <v>-0.99260903305977943</v>
      </c>
    </row>
    <row r="16" spans="1:12" ht="15.95" customHeight="1" x14ac:dyDescent="0.25">
      <c r="A16">
        <v>14</v>
      </c>
      <c r="B16" s="132">
        <v>4012190000</v>
      </c>
      <c r="C16" s="124" t="s">
        <v>103</v>
      </c>
      <c r="D16" s="125">
        <v>160</v>
      </c>
      <c r="E16" s="125">
        <v>687.404</v>
      </c>
      <c r="F16" s="126">
        <f t="shared" si="0"/>
        <v>7.5180153308085304E-6</v>
      </c>
      <c r="G16" s="127">
        <f t="shared" si="1"/>
        <v>3.2962749999999996</v>
      </c>
    </row>
    <row r="17" spans="1:7" ht="15.95" customHeight="1" x14ac:dyDescent="0.25">
      <c r="A17">
        <v>15</v>
      </c>
      <c r="B17" s="132">
        <v>4012120000</v>
      </c>
      <c r="C17" s="124" t="s">
        <v>102</v>
      </c>
      <c r="D17" s="125"/>
      <c r="E17" s="125">
        <v>6600</v>
      </c>
      <c r="F17" s="126">
        <f t="shared" si="0"/>
        <v>7.2183026551105752E-5</v>
      </c>
      <c r="G17" s="127" t="str">
        <f t="shared" si="1"/>
        <v>-</v>
      </c>
    </row>
    <row r="18" spans="1:7" ht="15.75" x14ac:dyDescent="0.25">
      <c r="B18" s="128" t="s">
        <v>19</v>
      </c>
      <c r="C18" s="129"/>
      <c r="D18" s="129">
        <f>SUM(D3:D17)</f>
        <v>82157270.731999993</v>
      </c>
      <c r="E18" s="129">
        <f>SUM(E3:E17)</f>
        <v>91434237.595000044</v>
      </c>
      <c r="F18" s="130">
        <f>SUM(F3:F17)</f>
        <v>0.99999999999999978</v>
      </c>
      <c r="G18" s="127">
        <f t="shared" si="1"/>
        <v>0.11291717434555304</v>
      </c>
    </row>
  </sheetData>
  <sortState xmlns:xlrd2="http://schemas.microsoft.com/office/spreadsheetml/2017/richdata2" ref="B3:E17">
    <sortCondition descending="1" ref="E3:E17"/>
  </sortState>
  <mergeCells count="2">
    <mergeCell ref="B1:G1"/>
    <mergeCell ref="I4:L4"/>
  </mergeCells>
  <conditionalFormatting sqref="G3:G18">
    <cfRule type="cellIs" dxfId="7" priority="1" operator="lessThan">
      <formula>0%</formula>
    </cfRule>
    <cfRule type="cellIs" dxfId="6" priority="2" operator="greaterThanOrEqual">
      <formula>1%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2B7D2-F2DC-4A1F-AB0C-021F4FD6ECA1}">
  <dimension ref="A1:G8"/>
  <sheetViews>
    <sheetView showGridLines="0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" sqref="B1:G1"/>
    </sheetView>
  </sheetViews>
  <sheetFormatPr baseColWidth="10" defaultRowHeight="15" x14ac:dyDescent="0.25"/>
  <cols>
    <col min="1" max="1" width="6.42578125" customWidth="1"/>
    <col min="2" max="2" width="20.7109375" customWidth="1"/>
    <col min="3" max="3" width="43.7109375" customWidth="1"/>
    <col min="4" max="4" width="16.7109375" customWidth="1"/>
    <col min="5" max="5" width="14.42578125" customWidth="1"/>
    <col min="6" max="6" width="12.7109375" customWidth="1"/>
  </cols>
  <sheetData>
    <row r="1" spans="1:7" ht="27.75" customHeight="1" x14ac:dyDescent="0.25">
      <c r="B1" s="140" t="s">
        <v>138</v>
      </c>
      <c r="C1" s="140"/>
      <c r="D1" s="140"/>
      <c r="E1" s="140"/>
      <c r="F1" s="140"/>
      <c r="G1" s="140"/>
    </row>
    <row r="2" spans="1:7" ht="27" customHeight="1" x14ac:dyDescent="0.25">
      <c r="B2" s="27" t="s">
        <v>18</v>
      </c>
      <c r="C2" s="28" t="s">
        <v>95</v>
      </c>
      <c r="D2" s="120">
        <v>2024</v>
      </c>
      <c r="E2" s="120">
        <v>2025</v>
      </c>
      <c r="F2" s="120" t="s">
        <v>79</v>
      </c>
      <c r="G2" s="120" t="s">
        <v>80</v>
      </c>
    </row>
    <row r="3" spans="1:7" ht="15.95" customHeight="1" x14ac:dyDescent="0.25">
      <c r="A3">
        <v>1</v>
      </c>
      <c r="B3" s="132">
        <v>2710193500</v>
      </c>
      <c r="C3" s="124" t="s">
        <v>110</v>
      </c>
      <c r="D3" s="125">
        <v>33636220.372000009</v>
      </c>
      <c r="E3" s="125">
        <v>23420468.285999998</v>
      </c>
      <c r="F3" s="126">
        <f>E3/$E$8</f>
        <v>0.3920111837267673</v>
      </c>
      <c r="G3" s="127">
        <f>(E3/D3)-1</f>
        <v>-0.30371284207972327</v>
      </c>
    </row>
    <row r="4" spans="1:7" ht="15.95" customHeight="1" x14ac:dyDescent="0.25">
      <c r="A4">
        <v>2</v>
      </c>
      <c r="B4" s="132">
        <v>2710193800</v>
      </c>
      <c r="C4" s="124" t="s">
        <v>112</v>
      </c>
      <c r="D4" s="125">
        <v>28519651.157000028</v>
      </c>
      <c r="E4" s="125">
        <v>25077258.402000025</v>
      </c>
      <c r="F4" s="126">
        <f>E4/$E$8</f>
        <v>0.41974249322189883</v>
      </c>
      <c r="G4" s="127">
        <f t="shared" ref="G4:G8" si="0">(E4/D4)-1</f>
        <v>-0.12070248461489619</v>
      </c>
    </row>
    <row r="5" spans="1:7" ht="15.95" customHeight="1" x14ac:dyDescent="0.25">
      <c r="A5">
        <v>3</v>
      </c>
      <c r="B5" s="132">
        <v>3403990000</v>
      </c>
      <c r="C5" s="124" t="s">
        <v>113</v>
      </c>
      <c r="D5" s="125">
        <v>5962995.4819999998</v>
      </c>
      <c r="E5" s="125">
        <v>4918606.4639999988</v>
      </c>
      <c r="F5" s="126">
        <f>E5/$E$8</f>
        <v>8.2327505953045096E-2</v>
      </c>
      <c r="G5" s="127">
        <f t="shared" si="0"/>
        <v>-0.17514502923113251</v>
      </c>
    </row>
    <row r="6" spans="1:7" ht="15.95" customHeight="1" x14ac:dyDescent="0.25">
      <c r="A6">
        <v>4</v>
      </c>
      <c r="B6" s="132">
        <v>2710193600</v>
      </c>
      <c r="C6" s="124" t="s">
        <v>111</v>
      </c>
      <c r="D6" s="125">
        <v>4970852.2660000008</v>
      </c>
      <c r="E6" s="125">
        <v>2729448.5529999998</v>
      </c>
      <c r="F6" s="126">
        <f>E6/$E$8</f>
        <v>4.5685438272062152E-2</v>
      </c>
      <c r="G6" s="127">
        <f t="shared" si="0"/>
        <v>-0.45090933969832858</v>
      </c>
    </row>
    <row r="7" spans="1:7" ht="15.95" customHeight="1" x14ac:dyDescent="0.25">
      <c r="A7">
        <v>5</v>
      </c>
      <c r="B7" s="132">
        <v>2710193400</v>
      </c>
      <c r="C7" s="124" t="s">
        <v>109</v>
      </c>
      <c r="D7" s="125">
        <v>4346057.3669999996</v>
      </c>
      <c r="E7" s="125">
        <v>3598606.3590000011</v>
      </c>
      <c r="F7" s="126">
        <f>E7/$E$8</f>
        <v>6.0233378826226543E-2</v>
      </c>
      <c r="G7" s="127">
        <f t="shared" si="0"/>
        <v>-0.17198369576882733</v>
      </c>
    </row>
    <row r="8" spans="1:7" ht="15.75" x14ac:dyDescent="0.25">
      <c r="B8" s="128" t="s">
        <v>19</v>
      </c>
      <c r="C8" s="129"/>
      <c r="D8" s="129">
        <f>SUM(D3:D7)</f>
        <v>77435776.644000039</v>
      </c>
      <c r="E8" s="129">
        <f>SUM(E3:E7)</f>
        <v>59744388.064000025</v>
      </c>
      <c r="F8" s="130">
        <f>SUM(F3:F7)</f>
        <v>1</v>
      </c>
      <c r="G8" s="127">
        <f t="shared" si="0"/>
        <v>-0.22846530824290245</v>
      </c>
    </row>
  </sheetData>
  <sortState xmlns:xlrd2="http://schemas.microsoft.com/office/spreadsheetml/2017/richdata2" ref="B3:E7">
    <sortCondition descending="1" ref="E3:E7"/>
  </sortState>
  <mergeCells count="1">
    <mergeCell ref="B1:G1"/>
  </mergeCells>
  <conditionalFormatting sqref="G3:G8">
    <cfRule type="cellIs" dxfId="5" priority="1" operator="lessThan">
      <formula>0%</formula>
    </cfRule>
    <cfRule type="cellIs" dxfId="4" priority="2" operator="greaterThanOrEqual">
      <formula>1%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A71C4-A29E-49E1-AD50-C4EB3F6374BA}">
  <dimension ref="A1:G8"/>
  <sheetViews>
    <sheetView showGridLines="0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" sqref="B2"/>
    </sheetView>
  </sheetViews>
  <sheetFormatPr baseColWidth="10" defaultRowHeight="15" x14ac:dyDescent="0.25"/>
  <cols>
    <col min="1" max="1" width="6.42578125" customWidth="1"/>
    <col min="2" max="2" width="20.7109375" customWidth="1"/>
    <col min="3" max="3" width="52.42578125" customWidth="1"/>
    <col min="4" max="4" width="16.7109375" customWidth="1"/>
    <col min="5" max="5" width="14.42578125" customWidth="1"/>
    <col min="6" max="6" width="12.7109375" customWidth="1"/>
  </cols>
  <sheetData>
    <row r="1" spans="1:7" ht="27.75" customHeight="1" x14ac:dyDescent="0.25">
      <c r="B1" s="140" t="s">
        <v>138</v>
      </c>
      <c r="C1" s="140"/>
      <c r="D1" s="140"/>
      <c r="E1" s="140"/>
      <c r="F1" s="140"/>
      <c r="G1" s="140"/>
    </row>
    <row r="2" spans="1:7" ht="27" customHeight="1" x14ac:dyDescent="0.25">
      <c r="B2" s="27" t="s">
        <v>18</v>
      </c>
      <c r="C2" s="28" t="s">
        <v>95</v>
      </c>
      <c r="D2" s="120">
        <v>2024</v>
      </c>
      <c r="E2" s="120">
        <v>2025</v>
      </c>
      <c r="F2" s="120" t="s">
        <v>79</v>
      </c>
      <c r="G2" s="120" t="s">
        <v>80</v>
      </c>
    </row>
    <row r="3" spans="1:7" ht="30" customHeight="1" x14ac:dyDescent="0.25">
      <c r="A3" s="55">
        <v>1</v>
      </c>
      <c r="B3" s="133">
        <v>8421230000</v>
      </c>
      <c r="C3" s="136" t="s">
        <v>114</v>
      </c>
      <c r="D3" s="134">
        <v>11256892.335999999</v>
      </c>
      <c r="E3" s="134">
        <v>11936997.60800001</v>
      </c>
      <c r="F3" s="135">
        <f>E3/$E$8</f>
        <v>0.35724642633103126</v>
      </c>
      <c r="G3" s="127">
        <f>(E3/D3)-1</f>
        <v>6.0416787484500301E-2</v>
      </c>
    </row>
    <row r="4" spans="1:7" ht="30" customHeight="1" x14ac:dyDescent="0.25">
      <c r="A4" s="55">
        <v>2</v>
      </c>
      <c r="B4" s="133">
        <v>8421310000</v>
      </c>
      <c r="C4" s="136" t="s">
        <v>116</v>
      </c>
      <c r="D4" s="134">
        <v>6764754.887000001</v>
      </c>
      <c r="E4" s="134">
        <v>6151012.202999996</v>
      </c>
      <c r="F4" s="135">
        <f>E4/$E$8</f>
        <v>0.18408541242964035</v>
      </c>
      <c r="G4" s="127">
        <f t="shared" ref="G4:G8" si="0">(E4/D4)-1</f>
        <v>-9.0726522135997856E-2</v>
      </c>
    </row>
    <row r="5" spans="1:7" ht="30" customHeight="1" x14ac:dyDescent="0.25">
      <c r="A5" s="55">
        <v>3</v>
      </c>
      <c r="B5" s="133">
        <v>8421991000</v>
      </c>
      <c r="C5" s="136" t="s">
        <v>118</v>
      </c>
      <c r="D5" s="134">
        <v>5638568.9920000061</v>
      </c>
      <c r="E5" s="134">
        <v>5901794.8639999963</v>
      </c>
      <c r="F5" s="135">
        <f>E5/$E$8</f>
        <v>0.17662692021399218</v>
      </c>
      <c r="G5" s="127">
        <f t="shared" si="0"/>
        <v>4.6683098561612901E-2</v>
      </c>
    </row>
    <row r="6" spans="1:7" ht="30" customHeight="1" x14ac:dyDescent="0.25">
      <c r="A6" s="55">
        <v>4</v>
      </c>
      <c r="B6" s="133">
        <v>8421399000</v>
      </c>
      <c r="C6" s="136" t="s">
        <v>117</v>
      </c>
      <c r="D6" s="134">
        <v>4980727.3680000072</v>
      </c>
      <c r="E6" s="134">
        <v>6140828.9809999997</v>
      </c>
      <c r="F6" s="135">
        <f>E6/$E$8</f>
        <v>0.18378065240643351</v>
      </c>
      <c r="G6" s="127">
        <f t="shared" si="0"/>
        <v>0.2329181116102379</v>
      </c>
    </row>
    <row r="7" spans="1:7" ht="30" customHeight="1" x14ac:dyDescent="0.25">
      <c r="A7" s="55">
        <v>5</v>
      </c>
      <c r="B7" s="133">
        <v>8421299000</v>
      </c>
      <c r="C7" s="136" t="s">
        <v>115</v>
      </c>
      <c r="D7" s="134">
        <v>3309218.6140000029</v>
      </c>
      <c r="E7" s="134">
        <v>3283269.8240000028</v>
      </c>
      <c r="F7" s="135">
        <f>E7/$E$8</f>
        <v>9.8260588618902731E-2</v>
      </c>
      <c r="G7" s="127">
        <f t="shared" si="0"/>
        <v>-7.8413646926258629E-3</v>
      </c>
    </row>
    <row r="8" spans="1:7" ht="15.75" x14ac:dyDescent="0.25">
      <c r="B8" s="128" t="s">
        <v>19</v>
      </c>
      <c r="C8" s="129"/>
      <c r="D8" s="129">
        <f>SUM(D3:D7)</f>
        <v>31950162.197000019</v>
      </c>
      <c r="E8" s="129">
        <f>SUM(E3:E7)</f>
        <v>33413903.480000004</v>
      </c>
      <c r="F8" s="130">
        <f>SUM(F3:F7)</f>
        <v>1</v>
      </c>
      <c r="G8" s="127">
        <f t="shared" si="0"/>
        <v>4.5813266110349415E-2</v>
      </c>
    </row>
  </sheetData>
  <sortState xmlns:xlrd2="http://schemas.microsoft.com/office/spreadsheetml/2017/richdata2" ref="B3:E7">
    <sortCondition descending="1" ref="E3:E7"/>
  </sortState>
  <mergeCells count="1">
    <mergeCell ref="B1:G1"/>
  </mergeCells>
  <conditionalFormatting sqref="G3:G8">
    <cfRule type="cellIs" dxfId="3" priority="1" operator="lessThan">
      <formula>0%</formula>
    </cfRule>
    <cfRule type="cellIs" dxfId="2" priority="2" operator="greaterThanOrEqual">
      <formula>1%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A9280-C05F-4A03-BB82-1D2AC01ABFE6}">
  <dimension ref="A1:G4"/>
  <sheetViews>
    <sheetView showGridLines="0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" sqref="B2"/>
    </sheetView>
  </sheetViews>
  <sheetFormatPr baseColWidth="10" defaultRowHeight="15" x14ac:dyDescent="0.25"/>
  <cols>
    <col min="1" max="1" width="6.42578125" customWidth="1"/>
    <col min="2" max="2" width="20.7109375" customWidth="1"/>
    <col min="3" max="3" width="52.42578125" customWidth="1"/>
    <col min="4" max="4" width="16.7109375" customWidth="1"/>
    <col min="5" max="5" width="14.42578125" customWidth="1"/>
    <col min="6" max="6" width="12.7109375" customWidth="1"/>
  </cols>
  <sheetData>
    <row r="1" spans="1:7" ht="27.75" customHeight="1" x14ac:dyDescent="0.25">
      <c r="B1" s="140" t="s">
        <v>138</v>
      </c>
      <c r="C1" s="140"/>
      <c r="D1" s="140"/>
      <c r="E1" s="140"/>
      <c r="F1" s="140"/>
      <c r="G1" s="140"/>
    </row>
    <row r="2" spans="1:7" ht="27" customHeight="1" x14ac:dyDescent="0.25">
      <c r="B2" s="27" t="s">
        <v>18</v>
      </c>
      <c r="C2" s="28" t="s">
        <v>95</v>
      </c>
      <c r="D2" s="120">
        <v>2024</v>
      </c>
      <c r="E2" s="120">
        <v>2025</v>
      </c>
      <c r="F2" s="120" t="s">
        <v>79</v>
      </c>
      <c r="G2" s="120" t="s">
        <v>80</v>
      </c>
    </row>
    <row r="3" spans="1:7" ht="49.5" customHeight="1" x14ac:dyDescent="0.25">
      <c r="A3" s="55">
        <v>1</v>
      </c>
      <c r="B3" s="133">
        <v>8507100000</v>
      </c>
      <c r="C3" s="136" t="s">
        <v>119</v>
      </c>
      <c r="D3" s="134">
        <v>7428890.284</v>
      </c>
      <c r="E3" s="134">
        <v>7561469.1610000031</v>
      </c>
      <c r="F3" s="135">
        <f>E3/$E$4</f>
        <v>1</v>
      </c>
      <c r="G3" s="127">
        <f>(E3/D3)-1</f>
        <v>1.7846390501357279E-2</v>
      </c>
    </row>
    <row r="4" spans="1:7" ht="15.75" x14ac:dyDescent="0.25">
      <c r="B4" s="128" t="s">
        <v>19</v>
      </c>
      <c r="C4" s="129"/>
      <c r="D4" s="129">
        <f>SUM(D3:D3)</f>
        <v>7428890.284</v>
      </c>
      <c r="E4" s="129">
        <f>SUM(E3:E3)</f>
        <v>7561469.1610000031</v>
      </c>
      <c r="F4" s="130">
        <f>SUM(F3:F3)</f>
        <v>1</v>
      </c>
      <c r="G4" s="127">
        <f t="shared" ref="G4" si="0">(E4/D4)-1</f>
        <v>1.7846390501357279E-2</v>
      </c>
    </row>
  </sheetData>
  <mergeCells count="1">
    <mergeCell ref="B1:G1"/>
  </mergeCells>
  <conditionalFormatting sqref="G3:G4">
    <cfRule type="cellIs" dxfId="1" priority="1" operator="lessThan">
      <formula>0%</formula>
    </cfRule>
    <cfRule type="cellIs" dxfId="0" priority="2" operator="greaterThanOrEqual">
      <formula>1%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</vt:i4>
      </vt:variant>
    </vt:vector>
  </HeadingPairs>
  <TitlesOfParts>
    <vt:vector size="11" baseType="lpstr">
      <vt:lpstr>Resumen</vt:lpstr>
      <vt:lpstr>Detalle_partidas</vt:lpstr>
      <vt:lpstr>Nuevo_Usado</vt:lpstr>
      <vt:lpstr>Origen</vt:lpstr>
      <vt:lpstr>Importador</vt:lpstr>
      <vt:lpstr>Neumaticos</vt:lpstr>
      <vt:lpstr>Lubricantes</vt:lpstr>
      <vt:lpstr>Filtros</vt:lpstr>
      <vt:lpstr>Baterias</vt:lpstr>
      <vt:lpstr>Detalle_partidas!Área_de_impresión</vt:lpstr>
      <vt:lpstr>Resumen!Área_de_impresión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Hidalgo Antigoni</dc:creator>
  <cp:lastModifiedBy>Cristian Aliaga</cp:lastModifiedBy>
  <cp:lastPrinted>2019-05-15T17:25:33Z</cp:lastPrinted>
  <dcterms:created xsi:type="dcterms:W3CDTF">2012-05-03T18:01:00Z</dcterms:created>
  <dcterms:modified xsi:type="dcterms:W3CDTF">2025-03-11T20:01:17Z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6abcbd38-fc9d-4a83-b79c-a05a492b2dd4</vt:lpwstr>
  </property>
</Properties>
</file>